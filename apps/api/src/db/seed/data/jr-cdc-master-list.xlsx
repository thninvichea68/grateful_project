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FDD5E8E-6214-4D41-905F-F0B6D92F539C}" xr6:coauthVersionLast="47" xr6:coauthVersionMax="47" xr10:uidLastSave="{00000000-0000-0000-0000-000000000000}"/>
  <bookViews>
    <workbookView xWindow="-120" yWindow="-120" windowWidth="29040" windowHeight="15690" xr2:uid="{E1B4CCDC-FA15-4B55-8B69-2E4DB60FD9D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00" i="1" l="1"/>
  <c r="J200" i="1"/>
  <c r="I200" i="1"/>
  <c r="L200" i="1" s="1"/>
  <c r="M200" i="1" s="1"/>
  <c r="N200" i="1" s="1"/>
  <c r="G200" i="1"/>
  <c r="K199" i="1"/>
  <c r="J199" i="1"/>
  <c r="I199" i="1"/>
  <c r="L199" i="1" s="1"/>
  <c r="M199" i="1" s="1"/>
  <c r="N199" i="1" s="1"/>
  <c r="G199" i="1"/>
  <c r="K198" i="1"/>
  <c r="J198" i="1"/>
  <c r="I198" i="1"/>
  <c r="L198" i="1" s="1"/>
  <c r="M198" i="1" s="1"/>
  <c r="N198" i="1" s="1"/>
  <c r="G198" i="1"/>
  <c r="L197" i="1"/>
  <c r="M197" i="1" s="1"/>
  <c r="N197" i="1" s="1"/>
  <c r="K197" i="1"/>
  <c r="J197" i="1"/>
  <c r="I197" i="1"/>
  <c r="G197" i="1"/>
  <c r="M196" i="1"/>
  <c r="N196" i="1" s="1"/>
  <c r="L196" i="1"/>
  <c r="K196" i="1"/>
  <c r="J196" i="1"/>
  <c r="I196" i="1"/>
  <c r="G196" i="1"/>
  <c r="K195" i="1"/>
  <c r="J195" i="1"/>
  <c r="I195" i="1"/>
  <c r="L195" i="1" s="1"/>
  <c r="M195" i="1" s="1"/>
  <c r="N195" i="1" s="1"/>
  <c r="G195" i="1"/>
  <c r="L194" i="1"/>
  <c r="M194" i="1" s="1"/>
  <c r="N194" i="1" s="1"/>
  <c r="K194" i="1"/>
  <c r="J194" i="1"/>
  <c r="I194" i="1"/>
  <c r="G194" i="1"/>
  <c r="K193" i="1"/>
  <c r="J193" i="1"/>
  <c r="I193" i="1"/>
  <c r="L193" i="1" s="1"/>
  <c r="M193" i="1" s="1"/>
  <c r="N193" i="1" s="1"/>
  <c r="G193" i="1"/>
  <c r="K192" i="1"/>
  <c r="J192" i="1"/>
  <c r="I192" i="1"/>
  <c r="L192" i="1" s="1"/>
  <c r="M192" i="1" s="1"/>
  <c r="N192" i="1" s="1"/>
  <c r="G192" i="1"/>
  <c r="K191" i="1"/>
  <c r="J191" i="1"/>
  <c r="I191" i="1"/>
  <c r="L191" i="1" s="1"/>
  <c r="M191" i="1" s="1"/>
  <c r="N191" i="1" s="1"/>
  <c r="G191" i="1"/>
  <c r="M190" i="1"/>
  <c r="N190" i="1" s="1"/>
  <c r="L190" i="1"/>
  <c r="K190" i="1"/>
  <c r="J190" i="1"/>
  <c r="I190" i="1"/>
  <c r="G190" i="1"/>
  <c r="L189" i="1"/>
  <c r="M189" i="1" s="1"/>
  <c r="N189" i="1" s="1"/>
  <c r="K189" i="1"/>
  <c r="J189" i="1"/>
  <c r="I189" i="1"/>
  <c r="G189" i="1"/>
  <c r="K188" i="1"/>
  <c r="J188" i="1"/>
  <c r="I188" i="1"/>
  <c r="L188" i="1" s="1"/>
  <c r="M188" i="1" s="1"/>
  <c r="N188" i="1" s="1"/>
  <c r="G188" i="1"/>
  <c r="M187" i="1"/>
  <c r="N187" i="1" s="1"/>
  <c r="L187" i="1"/>
  <c r="K187" i="1"/>
  <c r="J187" i="1"/>
  <c r="I187" i="1"/>
  <c r="G187" i="1"/>
  <c r="K186" i="1"/>
  <c r="J186" i="1"/>
  <c r="I186" i="1"/>
  <c r="L186" i="1" s="1"/>
  <c r="M186" i="1" s="1"/>
  <c r="N186" i="1" s="1"/>
  <c r="G186" i="1"/>
  <c r="K185" i="1"/>
  <c r="J185" i="1"/>
  <c r="I185" i="1"/>
  <c r="L185" i="1" s="1"/>
  <c r="M185" i="1" s="1"/>
  <c r="N185" i="1" s="1"/>
  <c r="G185" i="1"/>
  <c r="K184" i="1"/>
  <c r="J184" i="1"/>
  <c r="I184" i="1"/>
  <c r="L184" i="1" s="1"/>
  <c r="M184" i="1" s="1"/>
  <c r="N184" i="1" s="1"/>
  <c r="G184" i="1"/>
  <c r="K183" i="1"/>
  <c r="J183" i="1"/>
  <c r="I183" i="1"/>
  <c r="L183" i="1" s="1"/>
  <c r="M183" i="1" s="1"/>
  <c r="N183" i="1" s="1"/>
  <c r="G183" i="1"/>
  <c r="M182" i="1"/>
  <c r="N182" i="1" s="1"/>
  <c r="K182" i="1"/>
  <c r="J182" i="1"/>
  <c r="I182" i="1"/>
  <c r="L182" i="1" s="1"/>
  <c r="G182" i="1"/>
  <c r="L181" i="1"/>
  <c r="M181" i="1" s="1"/>
  <c r="N181" i="1" s="1"/>
  <c r="K181" i="1"/>
  <c r="J181" i="1"/>
  <c r="I181" i="1"/>
  <c r="G181" i="1"/>
  <c r="N180" i="1"/>
  <c r="M180" i="1"/>
  <c r="L180" i="1"/>
  <c r="K180" i="1"/>
  <c r="J180" i="1"/>
  <c r="I180" i="1"/>
  <c r="G180" i="1"/>
  <c r="K179" i="1"/>
  <c r="J179" i="1"/>
  <c r="I179" i="1"/>
  <c r="L179" i="1" s="1"/>
  <c r="M179" i="1" s="1"/>
  <c r="N179" i="1" s="1"/>
  <c r="G179" i="1"/>
  <c r="L178" i="1"/>
  <c r="M178" i="1" s="1"/>
  <c r="N178" i="1" s="1"/>
  <c r="K178" i="1"/>
  <c r="J178" i="1"/>
  <c r="I178" i="1"/>
  <c r="G178" i="1"/>
  <c r="K177" i="1"/>
  <c r="J177" i="1"/>
  <c r="I177" i="1"/>
  <c r="L177" i="1" s="1"/>
  <c r="M177" i="1" s="1"/>
  <c r="N177" i="1" s="1"/>
  <c r="G177" i="1"/>
  <c r="K176" i="1"/>
  <c r="J176" i="1"/>
  <c r="I176" i="1"/>
  <c r="L176" i="1" s="1"/>
  <c r="M176" i="1" s="1"/>
  <c r="N176" i="1" s="1"/>
  <c r="G176" i="1"/>
  <c r="K175" i="1"/>
  <c r="J175" i="1"/>
  <c r="I175" i="1"/>
  <c r="L175" i="1" s="1"/>
  <c r="M175" i="1" s="1"/>
  <c r="N175" i="1" s="1"/>
  <c r="G175" i="1"/>
  <c r="M174" i="1"/>
  <c r="N174" i="1" s="1"/>
  <c r="L174" i="1"/>
  <c r="K174" i="1"/>
  <c r="J174" i="1"/>
  <c r="I174" i="1"/>
  <c r="G174" i="1"/>
  <c r="L173" i="1"/>
  <c r="M173" i="1" s="1"/>
  <c r="N173" i="1" s="1"/>
  <c r="K173" i="1"/>
  <c r="J173" i="1"/>
  <c r="I173" i="1"/>
  <c r="G173" i="1"/>
  <c r="K172" i="1"/>
  <c r="J172" i="1"/>
  <c r="I172" i="1"/>
  <c r="L172" i="1" s="1"/>
  <c r="M172" i="1" s="1"/>
  <c r="N172" i="1" s="1"/>
  <c r="G172" i="1"/>
  <c r="M171" i="1"/>
  <c r="N171" i="1" s="1"/>
  <c r="L171" i="1"/>
  <c r="K171" i="1"/>
  <c r="J171" i="1"/>
  <c r="I171" i="1"/>
  <c r="G171" i="1"/>
  <c r="K170" i="1"/>
  <c r="J170" i="1"/>
  <c r="I170" i="1"/>
  <c r="L170" i="1" s="1"/>
  <c r="M170" i="1" s="1"/>
  <c r="N170" i="1" s="1"/>
  <c r="G170" i="1"/>
  <c r="K169" i="1"/>
  <c r="J169" i="1"/>
  <c r="I169" i="1"/>
  <c r="L169" i="1" s="1"/>
  <c r="M169" i="1" s="1"/>
  <c r="N169" i="1" s="1"/>
  <c r="G169" i="1"/>
  <c r="K168" i="1"/>
  <c r="J168" i="1"/>
  <c r="I168" i="1"/>
  <c r="L168" i="1" s="1"/>
  <c r="M168" i="1" s="1"/>
  <c r="N168" i="1" s="1"/>
  <c r="G168" i="1"/>
  <c r="N167" i="1"/>
  <c r="K167" i="1"/>
  <c r="J167" i="1"/>
  <c r="I167" i="1"/>
  <c r="L167" i="1" s="1"/>
  <c r="M167" i="1" s="1"/>
  <c r="G167" i="1"/>
  <c r="K166" i="1"/>
  <c r="J166" i="1"/>
  <c r="I166" i="1"/>
  <c r="L166" i="1" s="1"/>
  <c r="M166" i="1" s="1"/>
  <c r="N166" i="1" s="1"/>
  <c r="G166" i="1"/>
  <c r="L165" i="1"/>
  <c r="M165" i="1" s="1"/>
  <c r="N165" i="1" s="1"/>
  <c r="K165" i="1"/>
  <c r="J165" i="1"/>
  <c r="I165" i="1"/>
  <c r="G165" i="1"/>
  <c r="L164" i="1"/>
  <c r="M164" i="1" s="1"/>
  <c r="N164" i="1" s="1"/>
  <c r="K164" i="1"/>
  <c r="J164" i="1"/>
  <c r="I164" i="1"/>
  <c r="G164" i="1"/>
  <c r="K163" i="1"/>
  <c r="J163" i="1"/>
  <c r="I163" i="1"/>
  <c r="L163" i="1" s="1"/>
  <c r="M163" i="1" s="1"/>
  <c r="N163" i="1" s="1"/>
  <c r="G163" i="1"/>
  <c r="L162" i="1"/>
  <c r="M162" i="1" s="1"/>
  <c r="N162" i="1" s="1"/>
  <c r="K162" i="1"/>
  <c r="J162" i="1"/>
  <c r="I162" i="1"/>
  <c r="G162" i="1"/>
  <c r="L161" i="1"/>
  <c r="M161" i="1" s="1"/>
  <c r="N161" i="1" s="1"/>
  <c r="K161" i="1"/>
  <c r="J161" i="1"/>
  <c r="I161" i="1"/>
  <c r="G161" i="1"/>
  <c r="K160" i="1"/>
  <c r="J160" i="1"/>
  <c r="I160" i="1"/>
  <c r="L160" i="1" s="1"/>
  <c r="M160" i="1" s="1"/>
  <c r="N160" i="1" s="1"/>
  <c r="G160" i="1"/>
  <c r="N159" i="1"/>
  <c r="K159" i="1"/>
  <c r="J159" i="1"/>
  <c r="I159" i="1"/>
  <c r="L159" i="1" s="1"/>
  <c r="M159" i="1" s="1"/>
  <c r="G159" i="1"/>
  <c r="M158" i="1"/>
  <c r="N158" i="1" s="1"/>
  <c r="L158" i="1"/>
  <c r="K158" i="1"/>
  <c r="J158" i="1"/>
  <c r="I158" i="1"/>
  <c r="G158" i="1"/>
  <c r="L157" i="1"/>
  <c r="M157" i="1" s="1"/>
  <c r="N157" i="1" s="1"/>
  <c r="K157" i="1"/>
  <c r="J157" i="1"/>
  <c r="I157" i="1"/>
  <c r="G157" i="1"/>
  <c r="K156" i="1"/>
  <c r="J156" i="1"/>
  <c r="I156" i="1"/>
  <c r="L156" i="1" s="1"/>
  <c r="M156" i="1" s="1"/>
  <c r="N156" i="1" s="1"/>
  <c r="G156" i="1"/>
  <c r="M155" i="1"/>
  <c r="N155" i="1" s="1"/>
  <c r="L155" i="1"/>
  <c r="K155" i="1"/>
  <c r="J155" i="1"/>
  <c r="I155" i="1"/>
  <c r="G155" i="1"/>
  <c r="K154" i="1"/>
  <c r="J154" i="1"/>
  <c r="I154" i="1"/>
  <c r="L154" i="1" s="1"/>
  <c r="M154" i="1" s="1"/>
  <c r="N154" i="1" s="1"/>
  <c r="G154" i="1"/>
  <c r="K153" i="1"/>
  <c r="J153" i="1"/>
  <c r="I153" i="1"/>
  <c r="L153" i="1" s="1"/>
  <c r="M153" i="1" s="1"/>
  <c r="N153" i="1" s="1"/>
  <c r="G153" i="1"/>
  <c r="K152" i="1"/>
  <c r="J152" i="1"/>
  <c r="I152" i="1"/>
  <c r="L152" i="1" s="1"/>
  <c r="M152" i="1" s="1"/>
  <c r="N152" i="1" s="1"/>
  <c r="G152" i="1"/>
  <c r="K151" i="1"/>
  <c r="J151" i="1"/>
  <c r="I151" i="1"/>
  <c r="L151" i="1" s="1"/>
  <c r="M151" i="1" s="1"/>
  <c r="N151" i="1" s="1"/>
  <c r="G151" i="1"/>
  <c r="K150" i="1"/>
  <c r="J150" i="1"/>
  <c r="I150" i="1"/>
  <c r="L150" i="1" s="1"/>
  <c r="M150" i="1" s="1"/>
  <c r="N150" i="1" s="1"/>
  <c r="G150" i="1"/>
  <c r="L149" i="1"/>
  <c r="M149" i="1" s="1"/>
  <c r="N149" i="1" s="1"/>
  <c r="K149" i="1"/>
  <c r="J149" i="1"/>
  <c r="I149" i="1"/>
  <c r="G149" i="1"/>
  <c r="L148" i="1"/>
  <c r="M148" i="1" s="1"/>
  <c r="N148" i="1" s="1"/>
  <c r="K148" i="1"/>
  <c r="J148" i="1"/>
  <c r="I148" i="1"/>
  <c r="G148" i="1"/>
  <c r="N147" i="1"/>
  <c r="K147" i="1"/>
  <c r="J147" i="1"/>
  <c r="I147" i="1"/>
  <c r="L147" i="1" s="1"/>
  <c r="M147" i="1" s="1"/>
  <c r="G147" i="1"/>
  <c r="L146" i="1"/>
  <c r="M146" i="1" s="1"/>
  <c r="N146" i="1" s="1"/>
  <c r="K146" i="1"/>
  <c r="J146" i="1"/>
  <c r="I146" i="1"/>
  <c r="G146" i="1"/>
  <c r="L145" i="1"/>
  <c r="M145" i="1" s="1"/>
  <c r="N145" i="1" s="1"/>
  <c r="K145" i="1"/>
  <c r="J145" i="1"/>
  <c r="I145" i="1"/>
  <c r="G145" i="1"/>
  <c r="K144" i="1"/>
  <c r="J144" i="1"/>
  <c r="I144" i="1"/>
  <c r="L144" i="1" s="1"/>
  <c r="M144" i="1" s="1"/>
  <c r="N144" i="1" s="1"/>
  <c r="G144" i="1"/>
  <c r="N143" i="1"/>
  <c r="K143" i="1"/>
  <c r="J143" i="1"/>
  <c r="I143" i="1"/>
  <c r="L143" i="1" s="1"/>
  <c r="M143" i="1" s="1"/>
  <c r="G143" i="1"/>
  <c r="M142" i="1"/>
  <c r="N142" i="1" s="1"/>
  <c r="L142" i="1"/>
  <c r="K142" i="1"/>
  <c r="J142" i="1"/>
  <c r="I142" i="1"/>
  <c r="G142" i="1"/>
  <c r="L141" i="1"/>
  <c r="M141" i="1" s="1"/>
  <c r="N141" i="1" s="1"/>
  <c r="K141" i="1"/>
  <c r="J141" i="1"/>
  <c r="I141" i="1"/>
  <c r="G141" i="1"/>
  <c r="K140" i="1"/>
  <c r="J140" i="1"/>
  <c r="I140" i="1"/>
  <c r="L140" i="1" s="1"/>
  <c r="M140" i="1" s="1"/>
  <c r="N140" i="1" s="1"/>
  <c r="G140" i="1"/>
  <c r="L139" i="1"/>
  <c r="M139" i="1" s="1"/>
  <c r="N139" i="1" s="1"/>
  <c r="K139" i="1"/>
  <c r="J139" i="1"/>
  <c r="I139" i="1"/>
  <c r="G139" i="1"/>
  <c r="K138" i="1"/>
  <c r="J138" i="1"/>
  <c r="I138" i="1"/>
  <c r="L138" i="1" s="1"/>
  <c r="M138" i="1" s="1"/>
  <c r="N138" i="1" s="1"/>
  <c r="G138" i="1"/>
  <c r="K137" i="1"/>
  <c r="J137" i="1"/>
  <c r="I137" i="1"/>
  <c r="L137" i="1" s="1"/>
  <c r="M137" i="1" s="1"/>
  <c r="N137" i="1" s="1"/>
  <c r="G137" i="1"/>
  <c r="K136" i="1"/>
  <c r="J136" i="1"/>
  <c r="I136" i="1"/>
  <c r="L136" i="1" s="1"/>
  <c r="M136" i="1" s="1"/>
  <c r="N136" i="1" s="1"/>
  <c r="G136" i="1"/>
  <c r="K135" i="1"/>
  <c r="J135" i="1"/>
  <c r="I135" i="1"/>
  <c r="L135" i="1" s="1"/>
  <c r="M135" i="1" s="1"/>
  <c r="N135" i="1" s="1"/>
  <c r="G135" i="1"/>
  <c r="M134" i="1"/>
  <c r="N134" i="1" s="1"/>
  <c r="K134" i="1"/>
  <c r="J134" i="1"/>
  <c r="I134" i="1"/>
  <c r="L134" i="1" s="1"/>
  <c r="G134" i="1"/>
  <c r="L133" i="1"/>
  <c r="M133" i="1" s="1"/>
  <c r="N133" i="1" s="1"/>
  <c r="K133" i="1"/>
  <c r="J133" i="1"/>
  <c r="I133" i="1"/>
  <c r="G133" i="1"/>
  <c r="L132" i="1"/>
  <c r="M132" i="1" s="1"/>
  <c r="N132" i="1" s="1"/>
  <c r="K132" i="1"/>
  <c r="J132" i="1"/>
  <c r="I132" i="1"/>
  <c r="G132" i="1"/>
  <c r="K131" i="1"/>
  <c r="J131" i="1"/>
  <c r="I131" i="1"/>
  <c r="L131" i="1" s="1"/>
  <c r="M131" i="1" s="1"/>
  <c r="N131" i="1" s="1"/>
  <c r="G131" i="1"/>
  <c r="L130" i="1"/>
  <c r="K130" i="1"/>
  <c r="J130" i="1"/>
  <c r="I130" i="1"/>
  <c r="M129" i="1"/>
  <c r="N129" i="1" s="1"/>
  <c r="K129" i="1"/>
  <c r="J129" i="1"/>
  <c r="I129" i="1"/>
  <c r="L129" i="1" s="1"/>
  <c r="G129" i="1"/>
  <c r="K128" i="1"/>
  <c r="J128" i="1"/>
  <c r="I128" i="1"/>
  <c r="L128" i="1" s="1"/>
  <c r="M128" i="1" s="1"/>
  <c r="N128" i="1" s="1"/>
  <c r="G128" i="1"/>
  <c r="L127" i="1"/>
  <c r="K127" i="1"/>
  <c r="J127" i="1"/>
  <c r="I127" i="1"/>
  <c r="N125" i="1"/>
  <c r="K125" i="1"/>
  <c r="J125" i="1"/>
  <c r="I125" i="1"/>
  <c r="L125" i="1" s="1"/>
  <c r="M125" i="1" s="1"/>
  <c r="G125" i="1"/>
  <c r="M124" i="1"/>
  <c r="N124" i="1" s="1"/>
  <c r="L124" i="1"/>
  <c r="K124" i="1"/>
  <c r="J124" i="1"/>
  <c r="I124" i="1"/>
  <c r="G124" i="1"/>
  <c r="N123" i="1"/>
  <c r="K123" i="1"/>
  <c r="J123" i="1"/>
  <c r="I123" i="1"/>
  <c r="L123" i="1" s="1"/>
  <c r="G123" i="1"/>
  <c r="N122" i="1"/>
  <c r="K122" i="1"/>
  <c r="J122" i="1"/>
  <c r="I122" i="1"/>
  <c r="L122" i="1" s="1"/>
  <c r="G122" i="1"/>
  <c r="N121" i="1"/>
  <c r="L121" i="1"/>
  <c r="K121" i="1"/>
  <c r="J121" i="1"/>
  <c r="I121" i="1"/>
  <c r="G121" i="1"/>
  <c r="N120" i="1"/>
  <c r="L120" i="1"/>
  <c r="K120" i="1"/>
  <c r="J120" i="1"/>
  <c r="I120" i="1"/>
  <c r="G120" i="1"/>
  <c r="N119" i="1"/>
  <c r="K119" i="1"/>
  <c r="J119" i="1"/>
  <c r="I119" i="1"/>
  <c r="L119" i="1" s="1"/>
  <c r="G119" i="1"/>
  <c r="N118" i="1"/>
  <c r="K118" i="1"/>
  <c r="J118" i="1"/>
  <c r="I118" i="1"/>
  <c r="L118" i="1" s="1"/>
  <c r="G118" i="1"/>
  <c r="N117" i="1"/>
  <c r="L117" i="1"/>
  <c r="K117" i="1"/>
  <c r="J117" i="1"/>
  <c r="I117" i="1"/>
  <c r="G117" i="1"/>
  <c r="N116" i="1"/>
  <c r="K116" i="1"/>
  <c r="J116" i="1"/>
  <c r="I116" i="1"/>
  <c r="L116" i="1" s="1"/>
  <c r="G116" i="1"/>
  <c r="N115" i="1"/>
  <c r="L115" i="1"/>
  <c r="K115" i="1"/>
  <c r="J115" i="1"/>
  <c r="I115" i="1"/>
  <c r="G115" i="1"/>
  <c r="N114" i="1"/>
  <c r="L114" i="1"/>
  <c r="K114" i="1"/>
  <c r="J114" i="1"/>
  <c r="I114" i="1"/>
  <c r="G114" i="1"/>
  <c r="K113" i="1"/>
  <c r="J113" i="1"/>
  <c r="I113" i="1"/>
  <c r="L113" i="1" s="1"/>
  <c r="M113" i="1" s="1"/>
  <c r="N113" i="1" s="1"/>
  <c r="G113" i="1"/>
  <c r="N112" i="1"/>
  <c r="L112" i="1"/>
  <c r="K112" i="1"/>
  <c r="J112" i="1"/>
  <c r="I112" i="1"/>
  <c r="G112" i="1"/>
  <c r="N111" i="1"/>
  <c r="L111" i="1"/>
  <c r="K111" i="1"/>
  <c r="J111" i="1"/>
  <c r="I111" i="1"/>
  <c r="G111" i="1"/>
  <c r="L110" i="1"/>
  <c r="M110" i="1" s="1"/>
  <c r="N110" i="1" s="1"/>
  <c r="K110" i="1"/>
  <c r="J110" i="1"/>
  <c r="I110" i="1"/>
  <c r="G110" i="1"/>
  <c r="K109" i="1"/>
  <c r="J109" i="1"/>
  <c r="I109" i="1"/>
  <c r="L109" i="1" s="1"/>
  <c r="M109" i="1" s="1"/>
  <c r="N109" i="1" s="1"/>
  <c r="G109" i="1"/>
  <c r="N108" i="1"/>
  <c r="L108" i="1"/>
  <c r="M108" i="1" s="1"/>
  <c r="K108" i="1"/>
  <c r="J108" i="1"/>
  <c r="I108" i="1"/>
  <c r="G108" i="1"/>
  <c r="K107" i="1"/>
  <c r="J107" i="1"/>
  <c r="I107" i="1"/>
  <c r="L107" i="1" s="1"/>
  <c r="M107" i="1" s="1"/>
  <c r="N107" i="1" s="1"/>
  <c r="G107" i="1"/>
  <c r="L106" i="1"/>
  <c r="M106" i="1" s="1"/>
  <c r="N106" i="1" s="1"/>
  <c r="K106" i="1"/>
  <c r="J106" i="1"/>
  <c r="I106" i="1"/>
  <c r="G106" i="1"/>
  <c r="K105" i="1"/>
  <c r="J105" i="1"/>
  <c r="I105" i="1"/>
  <c r="L105" i="1" s="1"/>
  <c r="M105" i="1" s="1"/>
  <c r="N105" i="1" s="1"/>
  <c r="G105" i="1"/>
  <c r="L104" i="1"/>
  <c r="M104" i="1" s="1"/>
  <c r="N104" i="1" s="1"/>
  <c r="K104" i="1"/>
  <c r="J104" i="1"/>
  <c r="I104" i="1"/>
  <c r="G104" i="1"/>
  <c r="K103" i="1"/>
  <c r="J103" i="1"/>
  <c r="I103" i="1"/>
  <c r="L103" i="1" s="1"/>
  <c r="M103" i="1" s="1"/>
  <c r="N103" i="1" s="1"/>
  <c r="G103" i="1"/>
  <c r="N102" i="1"/>
  <c r="L102" i="1"/>
  <c r="M102" i="1" s="1"/>
  <c r="K102" i="1"/>
  <c r="J102" i="1"/>
  <c r="I102" i="1"/>
  <c r="G102" i="1"/>
  <c r="L101" i="1"/>
  <c r="M101" i="1" s="1"/>
  <c r="N101" i="1" s="1"/>
  <c r="K101" i="1"/>
  <c r="J101" i="1"/>
  <c r="I101" i="1"/>
  <c r="G101" i="1"/>
  <c r="N100" i="1"/>
  <c r="L100" i="1"/>
  <c r="M100" i="1" s="1"/>
  <c r="K100" i="1"/>
  <c r="J100" i="1"/>
  <c r="I100" i="1"/>
  <c r="G100" i="1"/>
  <c r="K99" i="1"/>
  <c r="J99" i="1"/>
  <c r="I99" i="1"/>
  <c r="L99" i="1" s="1"/>
  <c r="M99" i="1" s="1"/>
  <c r="N99" i="1" s="1"/>
  <c r="G99" i="1"/>
  <c r="N98" i="1"/>
  <c r="L98" i="1"/>
  <c r="M98" i="1" s="1"/>
  <c r="K98" i="1"/>
  <c r="J98" i="1"/>
  <c r="I98" i="1"/>
  <c r="G98" i="1"/>
  <c r="L97" i="1"/>
  <c r="M97" i="1" s="1"/>
  <c r="N97" i="1" s="1"/>
  <c r="K97" i="1"/>
  <c r="J97" i="1"/>
  <c r="I97" i="1"/>
  <c r="G97" i="1"/>
  <c r="N96" i="1"/>
  <c r="K96" i="1"/>
  <c r="J96" i="1"/>
  <c r="I96" i="1"/>
  <c r="L96" i="1" s="1"/>
  <c r="G96" i="1"/>
  <c r="N95" i="1"/>
  <c r="L95" i="1"/>
  <c r="K95" i="1"/>
  <c r="J95" i="1"/>
  <c r="I95" i="1"/>
  <c r="G95" i="1"/>
  <c r="N94" i="1"/>
  <c r="L94" i="1"/>
  <c r="K94" i="1"/>
  <c r="J94" i="1"/>
  <c r="I94" i="1"/>
  <c r="G94" i="1"/>
  <c r="K93" i="1"/>
  <c r="J93" i="1"/>
  <c r="I93" i="1"/>
  <c r="L93" i="1" s="1"/>
  <c r="M93" i="1" s="1"/>
  <c r="N93" i="1" s="1"/>
  <c r="G93" i="1"/>
  <c r="M92" i="1"/>
  <c r="N92" i="1" s="1"/>
  <c r="L92" i="1"/>
  <c r="K92" i="1"/>
  <c r="J92" i="1"/>
  <c r="I92" i="1"/>
  <c r="G92" i="1"/>
  <c r="N91" i="1"/>
  <c r="K91" i="1"/>
  <c r="J91" i="1"/>
  <c r="I91" i="1"/>
  <c r="L91" i="1" s="1"/>
  <c r="G91" i="1"/>
  <c r="N90" i="1"/>
  <c r="L90" i="1"/>
  <c r="K90" i="1"/>
  <c r="J90" i="1"/>
  <c r="I90" i="1"/>
  <c r="G90" i="1"/>
  <c r="N89" i="1"/>
  <c r="K89" i="1"/>
  <c r="J89" i="1"/>
  <c r="I89" i="1"/>
  <c r="L89" i="1" s="1"/>
  <c r="G89" i="1"/>
  <c r="L88" i="1"/>
  <c r="M88" i="1" s="1"/>
  <c r="N88" i="1" s="1"/>
  <c r="K88" i="1"/>
  <c r="J88" i="1"/>
  <c r="I88" i="1"/>
  <c r="G88" i="1"/>
  <c r="L87" i="1"/>
  <c r="M87" i="1" s="1"/>
  <c r="N87" i="1" s="1"/>
  <c r="K87" i="1"/>
  <c r="J87" i="1"/>
  <c r="I87" i="1"/>
  <c r="G87" i="1"/>
  <c r="K86" i="1"/>
  <c r="J86" i="1"/>
  <c r="I86" i="1"/>
  <c r="L86" i="1" s="1"/>
  <c r="M86" i="1" s="1"/>
  <c r="N86" i="1" s="1"/>
  <c r="G86" i="1"/>
  <c r="L85" i="1"/>
  <c r="M85" i="1" s="1"/>
  <c r="N85" i="1" s="1"/>
  <c r="K85" i="1"/>
  <c r="J85" i="1"/>
  <c r="I85" i="1"/>
  <c r="G85" i="1"/>
  <c r="K84" i="1"/>
  <c r="J84" i="1"/>
  <c r="I84" i="1"/>
  <c r="L84" i="1" s="1"/>
  <c r="M84" i="1" s="1"/>
  <c r="N84" i="1" s="1"/>
  <c r="G84" i="1"/>
  <c r="N83" i="1"/>
  <c r="L83" i="1"/>
  <c r="K83" i="1"/>
  <c r="J83" i="1"/>
  <c r="I83" i="1"/>
  <c r="G83" i="1"/>
  <c r="N82" i="1"/>
  <c r="K82" i="1"/>
  <c r="J82" i="1"/>
  <c r="I82" i="1"/>
  <c r="L82" i="1" s="1"/>
  <c r="G82" i="1"/>
  <c r="N81" i="1"/>
  <c r="K81" i="1"/>
  <c r="J81" i="1"/>
  <c r="I81" i="1"/>
  <c r="L81" i="1" s="1"/>
  <c r="G81" i="1"/>
  <c r="N80" i="1"/>
  <c r="K80" i="1"/>
  <c r="J80" i="1"/>
  <c r="I80" i="1"/>
  <c r="L80" i="1" s="1"/>
  <c r="G80" i="1"/>
  <c r="N79" i="1"/>
  <c r="L79" i="1"/>
  <c r="K79" i="1"/>
  <c r="J79" i="1"/>
  <c r="I79" i="1"/>
  <c r="G79" i="1"/>
  <c r="N78" i="1"/>
  <c r="K78" i="1"/>
  <c r="J78" i="1"/>
  <c r="I78" i="1"/>
  <c r="L78" i="1" s="1"/>
  <c r="G78" i="1"/>
  <c r="N77" i="1"/>
  <c r="K77" i="1"/>
  <c r="J77" i="1"/>
  <c r="I77" i="1"/>
  <c r="L77" i="1" s="1"/>
  <c r="G77" i="1"/>
  <c r="N76" i="1"/>
  <c r="L76" i="1"/>
  <c r="K76" i="1"/>
  <c r="J76" i="1"/>
  <c r="I76" i="1"/>
  <c r="G76" i="1"/>
  <c r="K75" i="1"/>
  <c r="J75" i="1"/>
  <c r="I75" i="1"/>
  <c r="L75" i="1" s="1"/>
  <c r="M75" i="1" s="1"/>
  <c r="N75" i="1" s="1"/>
  <c r="G75" i="1"/>
  <c r="K74" i="1"/>
  <c r="J74" i="1"/>
  <c r="I74" i="1"/>
  <c r="L74" i="1" s="1"/>
  <c r="M74" i="1" s="1"/>
  <c r="N74" i="1" s="1"/>
  <c r="G74" i="1"/>
  <c r="K73" i="1"/>
  <c r="J73" i="1"/>
  <c r="I73" i="1"/>
  <c r="L73" i="1" s="1"/>
  <c r="M73" i="1" s="1"/>
  <c r="N73" i="1" s="1"/>
  <c r="G73" i="1"/>
  <c r="L72" i="1"/>
  <c r="M72" i="1" s="1"/>
  <c r="N72" i="1" s="1"/>
  <c r="K72" i="1"/>
  <c r="J72" i="1"/>
  <c r="I72" i="1"/>
  <c r="G72" i="1"/>
  <c r="K71" i="1"/>
  <c r="J71" i="1"/>
  <c r="I71" i="1"/>
  <c r="L71" i="1" s="1"/>
  <c r="M71" i="1" s="1"/>
  <c r="N71" i="1" s="1"/>
  <c r="G71" i="1"/>
  <c r="K70" i="1"/>
  <c r="J70" i="1"/>
  <c r="I70" i="1"/>
  <c r="L70" i="1" s="1"/>
  <c r="M70" i="1" s="1"/>
  <c r="N70" i="1" s="1"/>
  <c r="G70" i="1"/>
  <c r="M69" i="1"/>
  <c r="N69" i="1" s="1"/>
  <c r="L69" i="1"/>
  <c r="K69" i="1"/>
  <c r="J69" i="1"/>
  <c r="I69" i="1"/>
  <c r="G69" i="1"/>
  <c r="K68" i="1"/>
  <c r="J68" i="1"/>
  <c r="I68" i="1"/>
  <c r="L68" i="1" s="1"/>
  <c r="M68" i="1" s="1"/>
  <c r="N68" i="1" s="1"/>
  <c r="G68" i="1"/>
  <c r="L67" i="1"/>
  <c r="M67" i="1" s="1"/>
  <c r="N67" i="1" s="1"/>
  <c r="K67" i="1"/>
  <c r="J67" i="1"/>
  <c r="I67" i="1"/>
  <c r="G67" i="1"/>
  <c r="K66" i="1"/>
  <c r="J66" i="1"/>
  <c r="I66" i="1"/>
  <c r="L66" i="1" s="1"/>
  <c r="M66" i="1" s="1"/>
  <c r="N66" i="1" s="1"/>
  <c r="G66" i="1"/>
  <c r="K65" i="1"/>
  <c r="J65" i="1"/>
  <c r="I65" i="1"/>
  <c r="L65" i="1" s="1"/>
  <c r="M65" i="1" s="1"/>
  <c r="N65" i="1" s="1"/>
  <c r="G65" i="1"/>
  <c r="K64" i="1"/>
  <c r="J64" i="1"/>
  <c r="I64" i="1"/>
  <c r="L64" i="1" s="1"/>
  <c r="M64" i="1" s="1"/>
  <c r="N64" i="1" s="1"/>
  <c r="G64" i="1"/>
  <c r="L63" i="1"/>
  <c r="M63" i="1" s="1"/>
  <c r="N63" i="1" s="1"/>
  <c r="K63" i="1"/>
  <c r="J63" i="1"/>
  <c r="I63" i="1"/>
  <c r="G63" i="1"/>
  <c r="M62" i="1"/>
  <c r="N62" i="1" s="1"/>
  <c r="L62" i="1"/>
  <c r="K62" i="1"/>
  <c r="J62" i="1"/>
  <c r="I62" i="1"/>
  <c r="G62" i="1"/>
  <c r="K61" i="1"/>
  <c r="J61" i="1"/>
  <c r="I61" i="1"/>
  <c r="L61" i="1" s="1"/>
  <c r="M61" i="1" s="1"/>
  <c r="N61" i="1" s="1"/>
  <c r="G61" i="1"/>
  <c r="L60" i="1"/>
  <c r="M60" i="1" s="1"/>
  <c r="N60" i="1" s="1"/>
  <c r="K60" i="1"/>
  <c r="J60" i="1"/>
  <c r="I60" i="1"/>
  <c r="G60" i="1"/>
  <c r="K59" i="1"/>
  <c r="J59" i="1"/>
  <c r="I59" i="1"/>
  <c r="L59" i="1" s="1"/>
  <c r="M59" i="1" s="1"/>
  <c r="N59" i="1" s="1"/>
  <c r="G59" i="1"/>
  <c r="K58" i="1"/>
  <c r="J58" i="1"/>
  <c r="I58" i="1"/>
  <c r="L58" i="1" s="1"/>
  <c r="M58" i="1" s="1"/>
  <c r="N58" i="1" s="1"/>
  <c r="G58" i="1"/>
  <c r="K57" i="1"/>
  <c r="J57" i="1"/>
  <c r="I57" i="1"/>
  <c r="L57" i="1" s="1"/>
  <c r="M57" i="1" s="1"/>
  <c r="N57" i="1" s="1"/>
  <c r="G57" i="1"/>
  <c r="L56" i="1"/>
  <c r="M56" i="1" s="1"/>
  <c r="N56" i="1" s="1"/>
  <c r="K56" i="1"/>
  <c r="J56" i="1"/>
  <c r="I56" i="1"/>
  <c r="G56" i="1"/>
  <c r="K55" i="1"/>
  <c r="J55" i="1"/>
  <c r="I55" i="1"/>
  <c r="L55" i="1" s="1"/>
  <c r="M55" i="1" s="1"/>
  <c r="N55" i="1" s="1"/>
  <c r="G55" i="1"/>
  <c r="K54" i="1"/>
  <c r="J54" i="1"/>
  <c r="I54" i="1"/>
  <c r="L54" i="1" s="1"/>
  <c r="M54" i="1" s="1"/>
  <c r="N54" i="1" s="1"/>
  <c r="G54" i="1"/>
  <c r="M53" i="1"/>
  <c r="N53" i="1" s="1"/>
  <c r="L53" i="1"/>
  <c r="K53" i="1"/>
  <c r="J53" i="1"/>
  <c r="I53" i="1"/>
  <c r="G53" i="1"/>
  <c r="K52" i="1"/>
  <c r="J52" i="1"/>
  <c r="I52" i="1"/>
  <c r="L52" i="1" s="1"/>
  <c r="M52" i="1" s="1"/>
  <c r="N52" i="1" s="1"/>
  <c r="G52" i="1"/>
  <c r="L51" i="1"/>
  <c r="M51" i="1" s="1"/>
  <c r="N51" i="1" s="1"/>
  <c r="K51" i="1"/>
  <c r="J51" i="1"/>
  <c r="I51" i="1"/>
  <c r="G51" i="1"/>
  <c r="K50" i="1"/>
  <c r="J50" i="1"/>
  <c r="I50" i="1"/>
  <c r="L50" i="1" s="1"/>
  <c r="M50" i="1" s="1"/>
  <c r="N50" i="1" s="1"/>
  <c r="G50" i="1"/>
  <c r="K49" i="1"/>
  <c r="J49" i="1"/>
  <c r="I49" i="1"/>
  <c r="L49" i="1" s="1"/>
  <c r="M49" i="1" s="1"/>
  <c r="N49" i="1" s="1"/>
  <c r="G49" i="1"/>
  <c r="K48" i="1"/>
  <c r="J48" i="1"/>
  <c r="I48" i="1"/>
  <c r="L48" i="1" s="1"/>
  <c r="M48" i="1" s="1"/>
  <c r="N48" i="1" s="1"/>
  <c r="G48" i="1"/>
  <c r="L47" i="1"/>
  <c r="M47" i="1" s="1"/>
  <c r="N47" i="1" s="1"/>
  <c r="K47" i="1"/>
  <c r="J47" i="1"/>
  <c r="I47" i="1"/>
  <c r="G47" i="1"/>
  <c r="M46" i="1"/>
  <c r="N46" i="1" s="1"/>
  <c r="L46" i="1"/>
  <c r="K46" i="1"/>
  <c r="J46" i="1"/>
  <c r="I46" i="1"/>
  <c r="G46" i="1"/>
  <c r="K45" i="1"/>
  <c r="J45" i="1"/>
  <c r="I45" i="1"/>
  <c r="L45" i="1" s="1"/>
  <c r="M45" i="1" s="1"/>
  <c r="N45" i="1" s="1"/>
  <c r="G45" i="1"/>
  <c r="L44" i="1"/>
  <c r="M44" i="1" s="1"/>
  <c r="N44" i="1" s="1"/>
  <c r="K44" i="1"/>
  <c r="J44" i="1"/>
  <c r="I44" i="1"/>
  <c r="G44" i="1"/>
  <c r="K43" i="1"/>
  <c r="J43" i="1"/>
  <c r="I43" i="1"/>
  <c r="L43" i="1" s="1"/>
  <c r="M43" i="1" s="1"/>
  <c r="N43" i="1" s="1"/>
  <c r="G43" i="1"/>
  <c r="K42" i="1"/>
  <c r="J42" i="1"/>
  <c r="I42" i="1"/>
  <c r="L42" i="1" s="1"/>
  <c r="M42" i="1" s="1"/>
  <c r="N42" i="1" s="1"/>
  <c r="G42" i="1"/>
  <c r="K41" i="1"/>
  <c r="J41" i="1"/>
  <c r="I41" i="1"/>
  <c r="L41" i="1" s="1"/>
  <c r="M41" i="1" s="1"/>
  <c r="N41" i="1" s="1"/>
  <c r="G41" i="1"/>
  <c r="K40" i="1"/>
  <c r="J40" i="1"/>
  <c r="I40" i="1"/>
  <c r="L40" i="1" s="1"/>
  <c r="M40" i="1" s="1"/>
  <c r="N40" i="1" s="1"/>
  <c r="G40" i="1"/>
  <c r="L39" i="1"/>
  <c r="M39" i="1" s="1"/>
  <c r="N39" i="1" s="1"/>
  <c r="K39" i="1"/>
  <c r="J39" i="1"/>
  <c r="I39" i="1"/>
  <c r="G39" i="1"/>
  <c r="L38" i="1"/>
  <c r="M38" i="1" s="1"/>
  <c r="N38" i="1" s="1"/>
  <c r="K38" i="1"/>
  <c r="J38" i="1"/>
  <c r="I38" i="1"/>
  <c r="G38" i="1"/>
  <c r="K37" i="1"/>
  <c r="J37" i="1"/>
  <c r="I37" i="1"/>
  <c r="L37" i="1" s="1"/>
  <c r="M37" i="1" s="1"/>
  <c r="N37" i="1" s="1"/>
  <c r="G37" i="1"/>
  <c r="L36" i="1"/>
  <c r="M36" i="1" s="1"/>
  <c r="N36" i="1" s="1"/>
  <c r="K36" i="1"/>
  <c r="J36" i="1"/>
  <c r="I36" i="1"/>
  <c r="G36" i="1"/>
  <c r="L35" i="1"/>
  <c r="M35" i="1" s="1"/>
  <c r="N35" i="1" s="1"/>
  <c r="K35" i="1"/>
  <c r="J35" i="1"/>
  <c r="I35" i="1"/>
  <c r="G35" i="1"/>
  <c r="K34" i="1"/>
  <c r="J34" i="1"/>
  <c r="I34" i="1"/>
  <c r="L34" i="1" s="1"/>
  <c r="M34" i="1" s="1"/>
  <c r="N34" i="1" s="1"/>
  <c r="G34" i="1"/>
  <c r="M33" i="1"/>
  <c r="N33" i="1" s="1"/>
  <c r="L33" i="1"/>
  <c r="K33" i="1"/>
  <c r="J33" i="1"/>
  <c r="I33" i="1"/>
  <c r="G33" i="1"/>
  <c r="K32" i="1"/>
  <c r="J32" i="1"/>
  <c r="I32" i="1"/>
  <c r="L32" i="1" s="1"/>
  <c r="M32" i="1" s="1"/>
  <c r="N32" i="1" s="1"/>
  <c r="G32" i="1"/>
  <c r="L31" i="1"/>
  <c r="M31" i="1" s="1"/>
  <c r="N31" i="1" s="1"/>
  <c r="K31" i="1"/>
  <c r="J31" i="1"/>
  <c r="I31" i="1"/>
  <c r="G31" i="1"/>
  <c r="K30" i="1"/>
  <c r="J30" i="1"/>
  <c r="I30" i="1"/>
  <c r="L30" i="1" s="1"/>
  <c r="M30" i="1" s="1"/>
  <c r="N30" i="1" s="1"/>
  <c r="G30" i="1"/>
  <c r="K29" i="1"/>
  <c r="J29" i="1"/>
  <c r="I29" i="1"/>
  <c r="L29" i="1" s="1"/>
  <c r="M29" i="1" s="1"/>
  <c r="N29" i="1" s="1"/>
  <c r="G29" i="1"/>
  <c r="L28" i="1"/>
  <c r="M28" i="1" s="1"/>
  <c r="N28" i="1" s="1"/>
  <c r="K28" i="1"/>
  <c r="J28" i="1"/>
  <c r="I28" i="1"/>
  <c r="G28" i="1"/>
  <c r="K27" i="1"/>
  <c r="J27" i="1"/>
  <c r="I27" i="1"/>
  <c r="L27" i="1" s="1"/>
  <c r="M27" i="1" s="1"/>
  <c r="N27" i="1" s="1"/>
  <c r="G27" i="1"/>
  <c r="K26" i="1"/>
  <c r="J26" i="1"/>
  <c r="I26" i="1"/>
  <c r="L26" i="1" s="1"/>
  <c r="M26" i="1" s="1"/>
  <c r="N26" i="1" s="1"/>
  <c r="G26" i="1"/>
  <c r="K25" i="1"/>
  <c r="J25" i="1"/>
  <c r="I25" i="1"/>
  <c r="L25" i="1" s="1"/>
  <c r="M25" i="1" s="1"/>
  <c r="N25" i="1" s="1"/>
  <c r="G25" i="1"/>
  <c r="L24" i="1"/>
  <c r="M24" i="1" s="1"/>
  <c r="N24" i="1" s="1"/>
  <c r="K24" i="1"/>
  <c r="J24" i="1"/>
  <c r="I24" i="1"/>
  <c r="G24" i="1"/>
  <c r="K23" i="1"/>
  <c r="J23" i="1"/>
  <c r="I23" i="1"/>
  <c r="L23" i="1" s="1"/>
  <c r="M23" i="1" s="1"/>
  <c r="N23" i="1" s="1"/>
  <c r="G23" i="1"/>
  <c r="K22" i="1"/>
  <c r="J22" i="1"/>
  <c r="I22" i="1"/>
  <c r="L22" i="1" s="1"/>
  <c r="M22" i="1" s="1"/>
  <c r="N22" i="1" s="1"/>
  <c r="G22" i="1"/>
  <c r="L21" i="1"/>
  <c r="M21" i="1" s="1"/>
  <c r="N21" i="1" s="1"/>
  <c r="K21" i="1"/>
  <c r="J21" i="1"/>
  <c r="I21" i="1"/>
  <c r="G21" i="1"/>
  <c r="L20" i="1"/>
  <c r="M20" i="1" s="1"/>
  <c r="N20" i="1" s="1"/>
  <c r="K20" i="1"/>
  <c r="J20" i="1"/>
  <c r="I20" i="1"/>
  <c r="G20" i="1"/>
  <c r="K19" i="1"/>
  <c r="J19" i="1"/>
  <c r="I19" i="1"/>
  <c r="L19" i="1" s="1"/>
  <c r="M19" i="1" s="1"/>
  <c r="N19" i="1" s="1"/>
  <c r="G19" i="1"/>
  <c r="M18" i="1"/>
  <c r="N18" i="1" s="1"/>
  <c r="L18" i="1"/>
  <c r="K18" i="1"/>
  <c r="J18" i="1"/>
  <c r="I18" i="1"/>
  <c r="G18" i="1"/>
  <c r="K17" i="1"/>
  <c r="J17" i="1"/>
  <c r="I17" i="1"/>
  <c r="L17" i="1" s="1"/>
  <c r="M17" i="1" s="1"/>
  <c r="N17" i="1" s="1"/>
  <c r="G17" i="1"/>
  <c r="L16" i="1"/>
  <c r="M16" i="1" s="1"/>
  <c r="N16" i="1" s="1"/>
  <c r="K16" i="1"/>
  <c r="J16" i="1"/>
  <c r="I16" i="1"/>
  <c r="G16" i="1"/>
  <c r="K15" i="1"/>
  <c r="J15" i="1"/>
  <c r="I15" i="1"/>
  <c r="L15" i="1" s="1"/>
  <c r="M15" i="1" s="1"/>
  <c r="N15" i="1" s="1"/>
  <c r="G15" i="1"/>
  <c r="K14" i="1"/>
  <c r="J14" i="1"/>
  <c r="I14" i="1"/>
  <c r="L14" i="1" s="1"/>
  <c r="M14" i="1" s="1"/>
  <c r="N14" i="1" s="1"/>
  <c r="G14" i="1"/>
  <c r="K13" i="1"/>
  <c r="J13" i="1"/>
  <c r="I13" i="1"/>
  <c r="L13" i="1" s="1"/>
  <c r="M13" i="1" s="1"/>
  <c r="N13" i="1" s="1"/>
  <c r="G13" i="1"/>
  <c r="K12" i="1"/>
  <c r="J12" i="1"/>
  <c r="I12" i="1"/>
  <c r="L12" i="1" s="1"/>
  <c r="M12" i="1" s="1"/>
  <c r="N12" i="1" s="1"/>
  <c r="G12" i="1"/>
  <c r="L11" i="1"/>
  <c r="M11" i="1" s="1"/>
  <c r="N11" i="1" s="1"/>
  <c r="K11" i="1"/>
  <c r="J11" i="1"/>
  <c r="I11" i="1"/>
  <c r="G11" i="1"/>
  <c r="K10" i="1"/>
  <c r="J10" i="1"/>
  <c r="I10" i="1"/>
  <c r="L10" i="1" s="1"/>
  <c r="M10" i="1" s="1"/>
  <c r="N10" i="1" s="1"/>
  <c r="G10" i="1"/>
  <c r="K9" i="1"/>
  <c r="J9" i="1"/>
  <c r="I9" i="1"/>
  <c r="L9" i="1" s="1"/>
  <c r="M9" i="1" s="1"/>
  <c r="N9" i="1" s="1"/>
  <c r="G9" i="1"/>
  <c r="K8" i="1"/>
  <c r="J8" i="1"/>
  <c r="I8" i="1"/>
  <c r="L8" i="1" s="1"/>
  <c r="M8" i="1" s="1"/>
  <c r="N8" i="1" s="1"/>
  <c r="G8" i="1"/>
  <c r="L7" i="1"/>
  <c r="M7" i="1" s="1"/>
  <c r="N7" i="1" s="1"/>
  <c r="K7" i="1"/>
  <c r="J7" i="1"/>
  <c r="I7" i="1"/>
  <c r="G7" i="1"/>
  <c r="K6" i="1"/>
  <c r="J6" i="1"/>
  <c r="I6" i="1"/>
  <c r="L6" i="1" s="1"/>
  <c r="M6" i="1" s="1"/>
  <c r="N6" i="1" s="1"/>
  <c r="G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8" i="1" s="1"/>
  <c r="A129" i="1" s="1"/>
  <c r="K5" i="1"/>
  <c r="J5" i="1"/>
  <c r="I5" i="1"/>
  <c r="L5" i="1" s="1"/>
  <c r="M5" i="1" s="1"/>
  <c r="N5" i="1" s="1"/>
  <c r="G5" i="1"/>
  <c r="K4" i="1"/>
  <c r="J4" i="1"/>
  <c r="I4" i="1"/>
  <c r="L4" i="1" s="1"/>
  <c r="M4" i="1" s="1"/>
  <c r="N4" i="1" s="1"/>
  <c r="G4" i="1"/>
  <c r="A4" i="1"/>
  <c r="A5" i="1" s="1"/>
  <c r="L3" i="1"/>
  <c r="M3" i="1" s="1"/>
  <c r="N3" i="1" s="1"/>
  <c r="K3" i="1"/>
  <c r="J3" i="1"/>
  <c r="I3" i="1"/>
  <c r="G3" i="1"/>
  <c r="I126" i="1" l="1"/>
</calcChain>
</file>

<file path=xl/sharedStrings.xml><?xml version="1.0" encoding="utf-8"?>
<sst xmlns="http://schemas.openxmlformats.org/spreadsheetml/2006/main" count="920" uniqueCount="420">
  <si>
    <t>IMPORTED</t>
  </si>
  <si>
    <t>I. MACHINERIES &amp; EQUIPMENTS</t>
  </si>
  <si>
    <t>New/ Used</t>
  </si>
  <si>
    <t>Unit</t>
  </si>
  <si>
    <t>Quantity</t>
  </si>
  <si>
    <t>Unit Price
USD</t>
  </si>
  <si>
    <t>Total Price
USD</t>
  </si>
  <si>
    <t>Remarks</t>
  </si>
  <si>
    <t xml:space="preserve">Q'TY </t>
  </si>
  <si>
    <t>PRICE</t>
  </si>
  <si>
    <t>N.W</t>
  </si>
  <si>
    <t>BALANCE</t>
  </si>
  <si>
    <t>&lt;50%</t>
  </si>
  <si>
    <t>Condition</t>
  </si>
  <si>
    <t>Declare</t>
  </si>
  <si>
    <t>METAL DETECTOR MACHINE</t>
  </si>
  <si>
    <t>New</t>
  </si>
  <si>
    <t>SET</t>
  </si>
  <si>
    <t>N/A</t>
  </si>
  <si>
    <t>I-1</t>
  </si>
  <si>
    <t>HANDHELD SCANNER</t>
  </si>
  <si>
    <t>I-2</t>
  </si>
  <si>
    <t>FABRIC INSPECTION MACHINE</t>
  </si>
  <si>
    <t>I-3</t>
  </si>
  <si>
    <t>ELECTRONIC SCALE-30KG</t>
  </si>
  <si>
    <t>I-4</t>
  </si>
  <si>
    <t>GRAM SCALE-500G</t>
  </si>
  <si>
    <t>I-5</t>
  </si>
  <si>
    <t>HANGING SYSTEM</t>
  </si>
  <si>
    <t>I-6</t>
  </si>
  <si>
    <t>ONE NEEDLE SEWING MACHINE</t>
  </si>
  <si>
    <t>I-7</t>
  </si>
  <si>
    <t>TWO NEEDLE SEWING MACHINE</t>
  </si>
  <si>
    <t>I-8</t>
  </si>
  <si>
    <t>THREE NEEDLE FIVE THREAD SEWING MACHINE</t>
  </si>
  <si>
    <t>I-9</t>
  </si>
  <si>
    <t>FOUR NEEDLE SIX THREAD SEWING MACHINE</t>
  </si>
  <si>
    <t>I-10</t>
  </si>
  <si>
    <t>FOUR THREAD OVERLOCK SEWING MACHINE</t>
  </si>
  <si>
    <t>I-11</t>
  </si>
  <si>
    <t>FIVE THREAD OVERLOCK SEWING MACHINE</t>
  </si>
  <si>
    <t>I-12</t>
  </si>
  <si>
    <t>COVER STITCHING MACHINE</t>
  </si>
  <si>
    <t>I-13</t>
  </si>
  <si>
    <t>SEWING MACHINE</t>
  </si>
  <si>
    <t>I-14</t>
  </si>
  <si>
    <t>LONG ARM SEWING MACHINE</t>
  </si>
  <si>
    <t>I-15</t>
  </si>
  <si>
    <t>BARTACKING MACHINE</t>
  </si>
  <si>
    <t>I-16</t>
  </si>
  <si>
    <t>WAISTBAND  CHAINSTITCHING MACHINE</t>
  </si>
  <si>
    <t>I-17</t>
  </si>
  <si>
    <t>TEMPLATE LASER CUT MACHINE</t>
  </si>
  <si>
    <t>I-18</t>
  </si>
  <si>
    <t>TEMPLATE SEWING MACHINE</t>
  </si>
  <si>
    <t>I-19</t>
  </si>
  <si>
    <t>AUTO POCKET MAKING MACHINE</t>
  </si>
  <si>
    <t>I-20</t>
  </si>
  <si>
    <t>BLIND STITCHING MACHINE</t>
  </si>
  <si>
    <t>I-21</t>
  </si>
  <si>
    <t>UPPER SLEEVE MACHINE</t>
  </si>
  <si>
    <t>I-22</t>
  </si>
  <si>
    <t>SPARE PART OF MACHINE</t>
  </si>
  <si>
    <t>I-23</t>
  </si>
  <si>
    <t>LABEL ATTACHING MACHINE</t>
  </si>
  <si>
    <t>I-24</t>
  </si>
  <si>
    <t>BUTTON HOLING MACHINE</t>
  </si>
  <si>
    <t>I-25</t>
  </si>
  <si>
    <t>BUTTON SEWING MACHINE</t>
  </si>
  <si>
    <t>I-26</t>
  </si>
  <si>
    <t>SNAP FIXING MACHINE</t>
  </si>
  <si>
    <t>I-27</t>
  </si>
  <si>
    <t>EMBRO MACHINE(7~12 HEAD)</t>
  </si>
  <si>
    <t>I-28</t>
  </si>
  <si>
    <t>AUTOMATIC STRING THRUSTING MACHINE</t>
  </si>
  <si>
    <t>I-29</t>
  </si>
  <si>
    <t>AUTO ELASTIC BAND JOINING MACHINE</t>
  </si>
  <si>
    <t>I-30</t>
  </si>
  <si>
    <t>PATTERN SEWING MACHINE</t>
  </si>
  <si>
    <t>I-31</t>
  </si>
  <si>
    <t>TANGENT BUNDLE MACHINE</t>
  </si>
  <si>
    <t>I-32</t>
  </si>
  <si>
    <t>AUTO COLLAR-BAND ATTACHING MACHINE</t>
  </si>
  <si>
    <t>I-33</t>
  </si>
  <si>
    <t>AUXILIARY MACHINE</t>
  </si>
  <si>
    <t>I-34</t>
  </si>
  <si>
    <t>AUTO CUTTING MACHINE</t>
  </si>
  <si>
    <t>I-35</t>
  </si>
  <si>
    <t>FABRIC SPREADING MACHINE</t>
  </si>
  <si>
    <t>I-36</t>
  </si>
  <si>
    <t>CUTTING TABLE</t>
  </si>
  <si>
    <t>I-37</t>
  </si>
  <si>
    <t>FABRIC RELAXING MACHINE</t>
  </si>
  <si>
    <t>I-38</t>
  </si>
  <si>
    <t>FABRIC CUTTING MACHINE</t>
  </si>
  <si>
    <t>I-39</t>
  </si>
  <si>
    <t>HEAT TRANSFER MACHINE</t>
  </si>
  <si>
    <t>I-40</t>
  </si>
  <si>
    <t>CUTTING SAFETY STEEL HAND GLOVE</t>
  </si>
  <si>
    <t>I-41</t>
  </si>
  <si>
    <t>ELECTRIC KNIFE MACHINE</t>
  </si>
  <si>
    <t>I-42</t>
  </si>
  <si>
    <t>FUSING MACHINE</t>
  </si>
  <si>
    <t>I-43</t>
  </si>
  <si>
    <t>PLOTTER</t>
  </si>
  <si>
    <t>I-44</t>
  </si>
  <si>
    <t>NUMBERING MACHINE</t>
  </si>
  <si>
    <t>I-45</t>
  </si>
  <si>
    <t>AUTO PACKED MACHINE SYSTEM</t>
  </si>
  <si>
    <t>I-46</t>
  </si>
  <si>
    <t>AUTO FOLDING MACHINE</t>
  </si>
  <si>
    <t>I-47</t>
  </si>
  <si>
    <t>CONVEYOR SYSTEM</t>
  </si>
  <si>
    <t>I-48</t>
  </si>
  <si>
    <t>FORKLIFT (3 TON)</t>
  </si>
  <si>
    <t>I-49</t>
  </si>
  <si>
    <t>VERY NARROW AISLE FORKLIFT (VNA)</t>
  </si>
  <si>
    <t>I-50</t>
  </si>
  <si>
    <t>STACKER</t>
  </si>
  <si>
    <t>I-51</t>
  </si>
  <si>
    <t>HYDRAULIC HAND PALLET TRUCK</t>
  </si>
  <si>
    <t>I-52</t>
  </si>
  <si>
    <t>PALLET</t>
  </si>
  <si>
    <t>I-53</t>
  </si>
  <si>
    <t>RACKING</t>
  </si>
  <si>
    <t>I-54</t>
  </si>
  <si>
    <t>HANGING GARMENT RACK</t>
  </si>
  <si>
    <t>I-55</t>
  </si>
  <si>
    <t>SWEEPER &amp; WASHING  MACHINE</t>
  </si>
  <si>
    <t>I-56</t>
  </si>
  <si>
    <t>PULLING TEST MACHINE</t>
  </si>
  <si>
    <t>I-57</t>
  </si>
  <si>
    <t>BUTTON PULL TEST MACHINE</t>
  </si>
  <si>
    <t>I-58</t>
  </si>
  <si>
    <t>TEAR TEST MACHINE</t>
  </si>
  <si>
    <t>I-59</t>
  </si>
  <si>
    <t>CRACKING TEST MACHINE</t>
  </si>
  <si>
    <t>I-60</t>
  </si>
  <si>
    <t>FABRIC STRENGTH TESTER</t>
  </si>
  <si>
    <t>I-61</t>
  </si>
  <si>
    <t>PH TEST MACHINE</t>
  </si>
  <si>
    <t>I-62</t>
  </si>
  <si>
    <t>LIGHT BOX</t>
  </si>
  <si>
    <t>I-63</t>
  </si>
  <si>
    <t>AIR COMPRESSOR (30HP)</t>
  </si>
  <si>
    <t>I-64</t>
  </si>
  <si>
    <t>COLD DRYER</t>
  </si>
  <si>
    <t>I-65</t>
  </si>
  <si>
    <t>GAS TANK</t>
  </si>
  <si>
    <t>I-66</t>
  </si>
  <si>
    <t>AIR CONDITIONER SYSTEM</t>
  </si>
  <si>
    <t>I-67</t>
  </si>
  <si>
    <t>BOILER</t>
  </si>
  <si>
    <t>I-68</t>
  </si>
  <si>
    <t>STEAM IRON</t>
  </si>
  <si>
    <t>I-69</t>
  </si>
  <si>
    <t>IRON TABLE</t>
  </si>
  <si>
    <t>I-70</t>
  </si>
  <si>
    <t>ELECTRIC BOILER</t>
  </si>
  <si>
    <t>I-71</t>
  </si>
  <si>
    <t>GENERATOR (DIESEL) (350KVA)</t>
  </si>
  <si>
    <t>I-72</t>
  </si>
  <si>
    <t>DEHUMIDIFIER MACHINE</t>
  </si>
  <si>
    <t>I-73</t>
  </si>
  <si>
    <t>LAMP (USE IN WORKSHOP)</t>
  </si>
  <si>
    <t>I-74</t>
  </si>
  <si>
    <t>EXPLOSION-PROOF  LAMP</t>
  </si>
  <si>
    <t>I-75</t>
  </si>
  <si>
    <t>ELECTRIC WIRE (10-25MM) * 100M/ROLL</t>
  </si>
  <si>
    <t>NRL</t>
  </si>
  <si>
    <t>I-76</t>
  </si>
  <si>
    <t>ELECTRIC WIRE (1.5-6MM)  * 100M / ROLL</t>
  </si>
  <si>
    <t>I-77</t>
  </si>
  <si>
    <t>CABLE (30 - 70MM)</t>
  </si>
  <si>
    <t>MTR</t>
  </si>
  <si>
    <t>I-78</t>
  </si>
  <si>
    <t>CABLE (120-300MM)</t>
  </si>
  <si>
    <t>I-79</t>
  </si>
  <si>
    <t>BREAKERS</t>
  </si>
  <si>
    <t>I-80</t>
  </si>
  <si>
    <t>FAN</t>
  </si>
  <si>
    <t>I-81</t>
  </si>
  <si>
    <t>WATER DRINKING MACHINE</t>
  </si>
  <si>
    <t>I-82</t>
  </si>
  <si>
    <t>WATER SOFTENER SYSTEM (RO)</t>
  </si>
  <si>
    <t>I-83</t>
  </si>
  <si>
    <t>BARCODE PRINTER</t>
  </si>
  <si>
    <t>I-84</t>
  </si>
  <si>
    <t>INFRARED THERMOMETER</t>
  </si>
  <si>
    <t>I-85</t>
  </si>
  <si>
    <t>TEMPERATURE MEASURING DEVICE</t>
  </si>
  <si>
    <t>I-86</t>
  </si>
  <si>
    <t>PUSH BAR</t>
  </si>
  <si>
    <t>I-87</t>
  </si>
  <si>
    <t>PUSH BAR LOCK</t>
  </si>
  <si>
    <t>I-88</t>
  </si>
  <si>
    <t>DOOR CLOSURE</t>
  </si>
  <si>
    <t>I-89</t>
  </si>
  <si>
    <t>MOSQUITO KILLER TUBE</t>
  </si>
  <si>
    <t>I-90</t>
  </si>
  <si>
    <t>MOSQUITO KILLER LAMP STARTER</t>
  </si>
  <si>
    <t>I-91</t>
  </si>
  <si>
    <t>FAUCET</t>
  </si>
  <si>
    <t>I-92</t>
  </si>
  <si>
    <t>ELECTRICAL TAPE</t>
  </si>
  <si>
    <t>I-93</t>
  </si>
  <si>
    <t>CABLE TIE</t>
  </si>
  <si>
    <t>I-94</t>
  </si>
  <si>
    <t>DUMMY</t>
  </si>
  <si>
    <t>I-95</t>
  </si>
  <si>
    <t>INSPECTION TABLE</t>
  </si>
  <si>
    <t>I-96</t>
  </si>
  <si>
    <t>PACKING TABLE</t>
  </si>
  <si>
    <t>I-97</t>
  </si>
  <si>
    <t>TROLLEY</t>
  </si>
  <si>
    <t>I-98</t>
  </si>
  <si>
    <t>PRODUCTION WATER TROUGH</t>
  </si>
  <si>
    <t>I-99</t>
  </si>
  <si>
    <t>LOOSE CLOTH RACK</t>
  </si>
  <si>
    <t>I-100</t>
  </si>
  <si>
    <t>DEHUMIDIFICATION RACK</t>
  </si>
  <si>
    <t>I-101</t>
  </si>
  <si>
    <t>PVC TEMPLATE</t>
  </si>
  <si>
    <t>MTK</t>
  </si>
  <si>
    <t>I-102</t>
  </si>
  <si>
    <t>SEWING SITTING CHAIRS</t>
  </si>
  <si>
    <t>I-103</t>
  </si>
  <si>
    <t>THREAD SUCKING MACHINE</t>
  </si>
  <si>
    <t>I-104</t>
  </si>
  <si>
    <t>ASSEMBLED ISOLATION NET</t>
  </si>
  <si>
    <t>I-105</t>
  </si>
  <si>
    <t>STACKING RACK</t>
  </si>
  <si>
    <t>I-106</t>
  </si>
  <si>
    <t>WATER COOLING SYSTEM</t>
  </si>
  <si>
    <t>I-107</t>
  </si>
  <si>
    <t>SWITCH BOX</t>
  </si>
  <si>
    <t>I-108</t>
  </si>
  <si>
    <t>GALVANIZED PIPE</t>
  </si>
  <si>
    <t>I-109</t>
  </si>
  <si>
    <t>PLASTIC PIPE</t>
  </si>
  <si>
    <t>I-110</t>
  </si>
  <si>
    <t>WATER TANK</t>
  </si>
  <si>
    <t>I-111</t>
  </si>
  <si>
    <t>GALVANIZED BRIDGE FRAME</t>
  </si>
  <si>
    <t>I-112</t>
  </si>
  <si>
    <t>PLASTIC WIRE TROUGH</t>
  </si>
  <si>
    <t>I-113</t>
  </si>
  <si>
    <t>GALVANIZED SQUARE PIPE</t>
  </si>
  <si>
    <t>I-114</t>
  </si>
  <si>
    <t>FLAT LIGHTING</t>
  </si>
  <si>
    <t>I-115</t>
  </si>
  <si>
    <t>STEEL BAR</t>
  </si>
  <si>
    <t>I-116</t>
  </si>
  <si>
    <t>GLASS DOOR</t>
  </si>
  <si>
    <t>I-117</t>
  </si>
  <si>
    <t>GLASS WINDOW</t>
  </si>
  <si>
    <t>I-118</t>
  </si>
  <si>
    <t>ALUMINUM TUBE</t>
  </si>
  <si>
    <t>I-119</t>
  </si>
  <si>
    <t>TEMPERED GLASS</t>
  </si>
  <si>
    <t>I-120</t>
  </si>
  <si>
    <t>GYPSUM BOARD</t>
  </si>
  <si>
    <t>I-121</t>
  </si>
  <si>
    <t>PLASTIC FRAME</t>
  </si>
  <si>
    <t>I-122</t>
  </si>
  <si>
    <t>BARCODE PRINTER MACHINE</t>
  </si>
  <si>
    <t>I-123</t>
  </si>
  <si>
    <t>II. RAW MATERIAL</t>
  </si>
  <si>
    <t>WOVEN FABRIC</t>
  </si>
  <si>
    <t>II-124</t>
  </si>
  <si>
    <t>KNITTED FABRIC</t>
  </si>
  <si>
    <t>II-125</t>
  </si>
  <si>
    <t>III. ACCESSORY</t>
  </si>
  <si>
    <t>NON-WOVEN FABRIC</t>
  </si>
  <si>
    <t>KGM</t>
  </si>
  <si>
    <t>III-126</t>
  </si>
  <si>
    <t>KNITTED RIB</t>
  </si>
  <si>
    <t>III-127</t>
  </si>
  <si>
    <t>LINING FABRIC</t>
  </si>
  <si>
    <t>III-128</t>
  </si>
  <si>
    <t>YOKE</t>
  </si>
  <si>
    <t>DZN</t>
  </si>
  <si>
    <t>III-129</t>
  </si>
  <si>
    <t>INTERLINING</t>
  </si>
  <si>
    <t>III-130</t>
  </si>
  <si>
    <t>PU FABRIC</t>
  </si>
  <si>
    <t>III-131</t>
  </si>
  <si>
    <t>NYLON THREAD</t>
  </si>
  <si>
    <t>UNT</t>
  </si>
  <si>
    <t>1UNIT=100~10000 M</t>
  </si>
  <si>
    <t>III-132</t>
  </si>
  <si>
    <t>COTTON THREAD</t>
  </si>
  <si>
    <t>III-133</t>
  </si>
  <si>
    <t>POLYESTER THREAD</t>
  </si>
  <si>
    <t>III-134</t>
  </si>
  <si>
    <t>ELASTIC THREAD</t>
  </si>
  <si>
    <t>III-135</t>
  </si>
  <si>
    <t>EMBROIDERY THREAD</t>
  </si>
  <si>
    <t>III-136</t>
  </si>
  <si>
    <t>NYLON ZIPPER</t>
  </si>
  <si>
    <t>III-137</t>
  </si>
  <si>
    <t>METAL ZIPPER</t>
  </si>
  <si>
    <t>III-138</t>
  </si>
  <si>
    <t>PLASTIC ZIPPER</t>
  </si>
  <si>
    <t>III-139</t>
  </si>
  <si>
    <t>MAIN LABEL</t>
  </si>
  <si>
    <t>III-140</t>
  </si>
  <si>
    <t>SIZE LABEL</t>
  </si>
  <si>
    <t>III-141</t>
  </si>
  <si>
    <t>LEATHER PATCH</t>
  </si>
  <si>
    <t>III-142</t>
  </si>
  <si>
    <t>PRINTED LABEL</t>
  </si>
  <si>
    <t>III-143</t>
  </si>
  <si>
    <t>CARE LABEL</t>
  </si>
  <si>
    <t>III-144</t>
  </si>
  <si>
    <t>BADGE</t>
  </si>
  <si>
    <t>III-145</t>
  </si>
  <si>
    <t>WOVEN LABEL</t>
  </si>
  <si>
    <t>III-146</t>
  </si>
  <si>
    <t>EMBROIDERY PATCH</t>
  </si>
  <si>
    <t>III-147</t>
  </si>
  <si>
    <t>HEAT TRANSFER LABEL</t>
  </si>
  <si>
    <t>III-148</t>
  </si>
  <si>
    <t>PO LABEL</t>
  </si>
  <si>
    <t>III-149</t>
  </si>
  <si>
    <t>SHOULDER TAPE</t>
  </si>
  <si>
    <t>III-150</t>
  </si>
  <si>
    <t>HERRINGBONE TAPE</t>
  </si>
  <si>
    <t>III-151</t>
  </si>
  <si>
    <t>WOVEN TAPE</t>
  </si>
  <si>
    <t>III-152</t>
  </si>
  <si>
    <t>COTTON TAPE</t>
  </si>
  <si>
    <t>III-153</t>
  </si>
  <si>
    <t>ELASTIC TAPE</t>
  </si>
  <si>
    <t>III-154</t>
  </si>
  <si>
    <t>DRAWSTRING (DOZ)</t>
  </si>
  <si>
    <t>III-155</t>
  </si>
  <si>
    <t>DRAWSTRING (M)</t>
  </si>
  <si>
    <t>III-156</t>
  </si>
  <si>
    <t>ELASTIC STRING</t>
  </si>
  <si>
    <t>III-157</t>
  </si>
  <si>
    <t>ELASTIC BAND</t>
  </si>
  <si>
    <t>III-158</t>
  </si>
  <si>
    <t>PIPING</t>
  </si>
  <si>
    <t>III-159</t>
  </si>
  <si>
    <t>VELCRO</t>
  </si>
  <si>
    <t>III-160</t>
  </si>
  <si>
    <t>STICKER</t>
  </si>
  <si>
    <t>III-161</t>
  </si>
  <si>
    <t>SIZE STICKER</t>
  </si>
  <si>
    <t>III-162</t>
  </si>
  <si>
    <t>PRICE STICKER</t>
  </si>
  <si>
    <t>III-163</t>
  </si>
  <si>
    <t>HANGER STICKER</t>
  </si>
  <si>
    <t>III-164</t>
  </si>
  <si>
    <t>BARCODE STICKER</t>
  </si>
  <si>
    <t>III-165</t>
  </si>
  <si>
    <t>POLYBAG STICKER</t>
  </si>
  <si>
    <t>III-166</t>
  </si>
  <si>
    <t>CARTON STICKER</t>
  </si>
  <si>
    <t>III-167</t>
  </si>
  <si>
    <t>SNAP</t>
  </si>
  <si>
    <t>GRO</t>
  </si>
  <si>
    <t>III-168</t>
  </si>
  <si>
    <t>METAL BUTTON</t>
  </si>
  <si>
    <t>III-169</t>
  </si>
  <si>
    <t>PLASTIC BUTTON</t>
  </si>
  <si>
    <t>III-170</t>
  </si>
  <si>
    <t>STOPPER</t>
  </si>
  <si>
    <t>III-171</t>
  </si>
  <si>
    <t>TOGGLE</t>
  </si>
  <si>
    <t>III-172</t>
  </si>
  <si>
    <t>EYELET</t>
  </si>
  <si>
    <t>III-173</t>
  </si>
  <si>
    <t>RIVET</t>
  </si>
  <si>
    <t>III-174</t>
  </si>
  <si>
    <t>BUCKLE</t>
  </si>
  <si>
    <t>III-175</t>
  </si>
  <si>
    <t>HANG TAG</t>
  </si>
  <si>
    <t>III-176</t>
  </si>
  <si>
    <t>SIZE TAG</t>
  </si>
  <si>
    <t>III-177</t>
  </si>
  <si>
    <t>PAPER HANGTAG</t>
  </si>
  <si>
    <t>III-178</t>
  </si>
  <si>
    <t>PLASTIC HANGTAG</t>
  </si>
  <si>
    <t>III-179</t>
  </si>
  <si>
    <t>WAIST TAG</t>
  </si>
  <si>
    <t>III-180</t>
  </si>
  <si>
    <t>PRICE TAG</t>
  </si>
  <si>
    <t>III-181</t>
  </si>
  <si>
    <t>HANGER</t>
  </si>
  <si>
    <t>III-182</t>
  </si>
  <si>
    <t>SIZER CLIP</t>
  </si>
  <si>
    <t>III-183</t>
  </si>
  <si>
    <t>HANGER CLIP</t>
  </si>
  <si>
    <t>III-184</t>
  </si>
  <si>
    <t>TISSUE PAPER</t>
  </si>
  <si>
    <t>III-185</t>
  </si>
  <si>
    <t>CARDBOARD PAPER</t>
  </si>
  <si>
    <t>III-186</t>
  </si>
  <si>
    <t>SPARE POLYBAG</t>
  </si>
  <si>
    <t>III-187</t>
  </si>
  <si>
    <t>POLYBAG</t>
  </si>
  <si>
    <t>III-188</t>
  </si>
  <si>
    <t>PLASTIC POLYBAG</t>
  </si>
  <si>
    <t>III-189</t>
  </si>
  <si>
    <t>ANTI-MOLD STICKERS</t>
  </si>
  <si>
    <t>III-190</t>
  </si>
  <si>
    <t>SEAL TAPE</t>
  </si>
  <si>
    <t>III-191</t>
  </si>
  <si>
    <t>PLASTIC BOX</t>
  </si>
  <si>
    <t>III-192</t>
  </si>
  <si>
    <t>PLASTIC PIN</t>
  </si>
  <si>
    <t>BX</t>
  </si>
  <si>
    <t>1Box=100~5000pcs</t>
  </si>
  <si>
    <t>III-193</t>
  </si>
  <si>
    <t>DESICCANT</t>
  </si>
  <si>
    <t>III-194</t>
  </si>
  <si>
    <t>BARCODE PRINTER RIBBON</t>
  </si>
  <si>
    <t>III-195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</si>
</sst>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/>
    <xf numFmtId="43" fontId="1" fillId="2" borderId="1" xfId="0" applyNumberFormat="1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3" fontId="5" fillId="3" borderId="2" xfId="0" applyNumberFormat="1" applyFont="1" applyFill="1" applyBorder="1" applyAlignment="1">
      <alignment horizontal="center" vertical="center"/>
    </xf>
    <xf numFmtId="43" fontId="5" fillId="3" borderId="2" xfId="0" applyNumberFormat="1" applyFont="1" applyFill="1" applyBorder="1" applyAlignment="1">
      <alignment horizontal="center" vertical="center" wrapText="1"/>
    </xf>
    <xf numFmtId="43" fontId="1" fillId="2" borderId="2" xfId="0" applyNumberFormat="1" applyFont="1" applyFill="1" applyBorder="1" applyAlignment="1">
      <alignment horizontal="center" vertical="center" wrapText="1"/>
    </xf>
    <xf numFmtId="10" fontId="5" fillId="3" borderId="2" xfId="0" applyNumberFormat="1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43" fontId="0" fillId="0" borderId="2" xfId="0" applyNumberFormat="1" applyBorder="1"/>
    <xf numFmtId="43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3" fontId="2" fillId="0" borderId="2" xfId="0" applyNumberFormat="1" applyFont="1" applyBorder="1"/>
    <xf numFmtId="43" fontId="2" fillId="0" borderId="2" xfId="0" applyNumberFormat="1" applyFont="1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43" fontId="6" fillId="0" borderId="2" xfId="0" applyNumberFormat="1" applyFont="1" applyBorder="1"/>
    <xf numFmtId="1" fontId="7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1">
    <dxf>
      <font>
        <b/>
        <i/>
        <color rgb="FF0000FF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JR%20IMP%20&amp;%20EXP%20SCH.xlsx" TargetMode="External"/><Relationship Id="rId1" Type="http://schemas.openxmlformats.org/officeDocument/2006/relationships/externalLinkPath" Target="JR%20IMP%20&amp;%20EXP%20S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 LIST"/>
      <sheetName val="EXPORT"/>
      <sheetName val="IMPORT"/>
      <sheetName val="CDC"/>
      <sheetName val="LDP"/>
      <sheetName val="MARK"/>
      <sheetName val="GATE"/>
    </sheetNames>
    <sheetDataSet>
      <sheetData sheetId="0"/>
      <sheetData sheetId="1"/>
      <sheetData sheetId="2">
        <row r="2">
          <cell r="J2" t="str">
            <v>ONE NEEDLE SEWING MACHINE</v>
          </cell>
          <cell r="L2">
            <v>64</v>
          </cell>
          <cell r="N2">
            <v>4268</v>
          </cell>
          <cell r="Q2">
            <v>20480</v>
          </cell>
        </row>
        <row r="3">
          <cell r="J3" t="str">
            <v>TWO NEEDLE SEWING MACHINE</v>
          </cell>
          <cell r="L3">
            <v>2</v>
          </cell>
          <cell r="N3">
            <v>138</v>
          </cell>
          <cell r="Q3">
            <v>3000</v>
          </cell>
        </row>
        <row r="4">
          <cell r="J4" t="str">
            <v>FOUR NEEDLE SIX THREAD SEWING MACHINE</v>
          </cell>
          <cell r="L4">
            <v>2</v>
          </cell>
          <cell r="N4">
            <v>380</v>
          </cell>
          <cell r="Q4">
            <v>6000</v>
          </cell>
        </row>
        <row r="5">
          <cell r="J5" t="str">
            <v>FOUR THREAD OVERLOCK SEWING MACHINE</v>
          </cell>
          <cell r="L5">
            <v>24</v>
          </cell>
          <cell r="N5">
            <v>1540</v>
          </cell>
          <cell r="Q5">
            <v>12000</v>
          </cell>
        </row>
        <row r="6">
          <cell r="J6" t="str">
            <v>FIVE THREAD OVERLOCK SEWING MACHINE</v>
          </cell>
          <cell r="L6">
            <v>46</v>
          </cell>
          <cell r="N6">
            <v>3082</v>
          </cell>
          <cell r="Q6">
            <v>25300</v>
          </cell>
        </row>
        <row r="7">
          <cell r="J7" t="str">
            <v>SEWING MACHINE</v>
          </cell>
          <cell r="L7">
            <v>7</v>
          </cell>
          <cell r="N7">
            <v>553</v>
          </cell>
          <cell r="Q7">
            <v>7000</v>
          </cell>
        </row>
        <row r="8">
          <cell r="J8" t="str">
            <v>BARTACKING MACHINE</v>
          </cell>
          <cell r="L8">
            <v>10</v>
          </cell>
          <cell r="N8">
            <v>820</v>
          </cell>
          <cell r="Q8">
            <v>12000</v>
          </cell>
        </row>
        <row r="9">
          <cell r="J9" t="str">
            <v>AUTO POCKET MAKING MACHINE</v>
          </cell>
          <cell r="L9">
            <v>4</v>
          </cell>
          <cell r="N9">
            <v>1040</v>
          </cell>
          <cell r="Q9">
            <v>12800</v>
          </cell>
        </row>
        <row r="10">
          <cell r="J10" t="str">
            <v>BUTTON SEWING MACHINE</v>
          </cell>
          <cell r="L10">
            <v>5</v>
          </cell>
          <cell r="N10">
            <v>370</v>
          </cell>
          <cell r="Q10">
            <v>7500</v>
          </cell>
        </row>
        <row r="11">
          <cell r="J11" t="str">
            <v>FABRIC INSPECTION MACHINE</v>
          </cell>
          <cell r="L11">
            <v>2</v>
          </cell>
          <cell r="N11">
            <v>1660</v>
          </cell>
          <cell r="Q11">
            <v>11000</v>
          </cell>
        </row>
        <row r="12">
          <cell r="J12" t="str">
            <v>FABRIC RELAXING MACHINE</v>
          </cell>
          <cell r="L12">
            <v>1</v>
          </cell>
          <cell r="N12">
            <v>230</v>
          </cell>
          <cell r="Q12">
            <v>2100</v>
          </cell>
        </row>
        <row r="13">
          <cell r="J13" t="str">
            <v>FUSING MACHINE</v>
          </cell>
          <cell r="L13">
            <v>2</v>
          </cell>
          <cell r="N13">
            <v>1160</v>
          </cell>
          <cell r="Q13">
            <v>6000</v>
          </cell>
        </row>
        <row r="14">
          <cell r="J14" t="str">
            <v>IRON TABLE</v>
          </cell>
          <cell r="L14">
            <v>20</v>
          </cell>
          <cell r="N14">
            <v>1180</v>
          </cell>
          <cell r="Q14">
            <v>4000</v>
          </cell>
        </row>
        <row r="15">
          <cell r="J15" t="str">
            <v>BUTTON PULL TEST MACHINE</v>
          </cell>
          <cell r="L15">
            <v>1</v>
          </cell>
          <cell r="N15">
            <v>272.2</v>
          </cell>
          <cell r="Q15">
            <v>600</v>
          </cell>
        </row>
        <row r="16">
          <cell r="J16" t="str">
            <v>TEMPERATURE MEASURING DEVICE</v>
          </cell>
          <cell r="L16">
            <v>2</v>
          </cell>
          <cell r="N16">
            <v>1</v>
          </cell>
          <cell r="Q16">
            <v>120</v>
          </cell>
        </row>
        <row r="17">
          <cell r="J17" t="str">
            <v>SEWING SITTING CHAIRS</v>
          </cell>
          <cell r="L17">
            <v>212</v>
          </cell>
          <cell r="N17">
            <v>172.8</v>
          </cell>
          <cell r="Q17">
            <v>2120</v>
          </cell>
        </row>
        <row r="18">
          <cell r="J18" t="str">
            <v>TROLLEY</v>
          </cell>
          <cell r="L18">
            <v>18</v>
          </cell>
          <cell r="N18">
            <v>580</v>
          </cell>
          <cell r="Q18">
            <v>1980</v>
          </cell>
        </row>
        <row r="19">
          <cell r="J19" t="str">
            <v>PLASTIC FRAME</v>
          </cell>
          <cell r="L19">
            <v>20</v>
          </cell>
          <cell r="N19">
            <v>25</v>
          </cell>
          <cell r="Q19">
            <v>400</v>
          </cell>
        </row>
        <row r="20">
          <cell r="J20" t="str">
            <v>SNAP FIXING MACHINE</v>
          </cell>
          <cell r="L20">
            <v>6</v>
          </cell>
          <cell r="N20">
            <v>40.4</v>
          </cell>
          <cell r="Q20">
            <v>1800</v>
          </cell>
        </row>
        <row r="21">
          <cell r="J21" t="str">
            <v>INSPECTION TABLE</v>
          </cell>
          <cell r="L21">
            <v>40</v>
          </cell>
          <cell r="N21">
            <v>1973.7</v>
          </cell>
          <cell r="Q21">
            <v>3200</v>
          </cell>
        </row>
        <row r="22">
          <cell r="J22" t="str">
            <v>LOOSE CLOTH RACK</v>
          </cell>
          <cell r="L22">
            <v>5</v>
          </cell>
          <cell r="N22">
            <v>0.56999999999999995</v>
          </cell>
          <cell r="Q22">
            <v>1200</v>
          </cell>
        </row>
        <row r="23">
          <cell r="J23" t="str">
            <v>BOILER</v>
          </cell>
          <cell r="L23">
            <v>1</v>
          </cell>
          <cell r="N23">
            <v>3360.6</v>
          </cell>
          <cell r="Q23">
            <v>8000</v>
          </cell>
        </row>
        <row r="24">
          <cell r="J24" t="str">
            <v>VERY NARROW AISLE FORKLIFT (VNA)</v>
          </cell>
          <cell r="L24">
            <v>1</v>
          </cell>
          <cell r="N24">
            <v>903</v>
          </cell>
          <cell r="Q24">
            <v>6000</v>
          </cell>
        </row>
        <row r="25">
          <cell r="J25" t="str">
            <v>LIGHT BOX</v>
          </cell>
          <cell r="L25">
            <v>1</v>
          </cell>
          <cell r="N25">
            <v>476.2</v>
          </cell>
          <cell r="Q25">
            <v>700</v>
          </cell>
        </row>
        <row r="26">
          <cell r="J26" t="str">
            <v>METAL DETECTOR MACHINE</v>
          </cell>
          <cell r="L26">
            <v>1</v>
          </cell>
          <cell r="N26">
            <v>1014.6</v>
          </cell>
          <cell r="Q26">
            <v>4500</v>
          </cell>
        </row>
        <row r="27">
          <cell r="J27" t="str">
            <v>HANDHELD SCANNER</v>
          </cell>
          <cell r="L27">
            <v>2</v>
          </cell>
          <cell r="N27">
            <v>197</v>
          </cell>
          <cell r="Q27">
            <v>260</v>
          </cell>
        </row>
        <row r="28">
          <cell r="J28" t="str">
            <v>FABRIC SPREADING MACHINE</v>
          </cell>
          <cell r="L28">
            <v>1</v>
          </cell>
          <cell r="N28">
            <v>4785.07</v>
          </cell>
          <cell r="Q28">
            <v>19000</v>
          </cell>
        </row>
        <row r="30">
          <cell r="J30" t="str">
            <v>KNITTED FABRIC</v>
          </cell>
          <cell r="L30">
            <v>17262</v>
          </cell>
          <cell r="N30">
            <v>6298.9</v>
          </cell>
          <cell r="Q30">
            <v>17262</v>
          </cell>
        </row>
        <row r="31">
          <cell r="J31" t="str">
            <v>WOVEN FABRIC</v>
          </cell>
          <cell r="L31">
            <v>50625.4</v>
          </cell>
          <cell r="N31">
            <v>12927.4</v>
          </cell>
          <cell r="Q31">
            <v>91125.72</v>
          </cell>
        </row>
        <row r="32">
          <cell r="J32" t="str">
            <v>HANGER</v>
          </cell>
          <cell r="L32">
            <v>380</v>
          </cell>
          <cell r="N32">
            <v>375.4</v>
          </cell>
          <cell r="Q32">
            <v>380</v>
          </cell>
        </row>
        <row r="33">
          <cell r="J33" t="str">
            <v>WOVEN FABRIC</v>
          </cell>
          <cell r="L33">
            <v>28887.4</v>
          </cell>
          <cell r="N33">
            <v>7934.8</v>
          </cell>
          <cell r="Q33">
            <v>51997.32</v>
          </cell>
        </row>
        <row r="35">
          <cell r="J35" t="str">
            <v>KNITTED FABRIC</v>
          </cell>
          <cell r="L35">
            <v>41469.800000000003</v>
          </cell>
          <cell r="N35">
            <v>19220.900000000001</v>
          </cell>
          <cell r="Q35">
            <v>41469.800000000003</v>
          </cell>
        </row>
        <row r="36">
          <cell r="J36" t="str">
            <v>WOVEN TAPE</v>
          </cell>
          <cell r="L36">
            <v>2977</v>
          </cell>
          <cell r="N36">
            <v>94.3</v>
          </cell>
          <cell r="Q36">
            <v>59.54</v>
          </cell>
        </row>
        <row r="37">
          <cell r="J37" t="str">
            <v>KNITTED FABRIC</v>
          </cell>
          <cell r="L37">
            <v>39717.9</v>
          </cell>
          <cell r="N37">
            <v>23936</v>
          </cell>
          <cell r="Q37">
            <v>39717.9</v>
          </cell>
        </row>
        <row r="39">
          <cell r="J39" t="str">
            <v>KNITTED FABRIC</v>
          </cell>
          <cell r="L39">
            <v>29217.8</v>
          </cell>
          <cell r="N39">
            <v>8594.9</v>
          </cell>
          <cell r="Q39">
            <v>29217.8</v>
          </cell>
        </row>
        <row r="40">
          <cell r="J40" t="str">
            <v>WOVEN FABRIC</v>
          </cell>
          <cell r="L40">
            <v>282.5</v>
          </cell>
          <cell r="N40">
            <v>97.9</v>
          </cell>
          <cell r="Q40">
            <v>508.5</v>
          </cell>
        </row>
        <row r="41">
          <cell r="J41" t="str">
            <v>WOVEN TAPE</v>
          </cell>
          <cell r="L41">
            <v>4013</v>
          </cell>
          <cell r="N41">
            <v>110.4</v>
          </cell>
          <cell r="Q41">
            <v>80.260000000000005</v>
          </cell>
        </row>
        <row r="42">
          <cell r="J42" t="str">
            <v>HANGER</v>
          </cell>
          <cell r="L42">
            <v>234</v>
          </cell>
          <cell r="N42">
            <v>161.1</v>
          </cell>
          <cell r="Q42">
            <v>234</v>
          </cell>
        </row>
        <row r="43">
          <cell r="J43" t="str">
            <v>WOVEN FABRIC</v>
          </cell>
          <cell r="L43">
            <v>13511.9</v>
          </cell>
          <cell r="N43">
            <v>2147.8000000000002</v>
          </cell>
          <cell r="Q43">
            <v>24321.42</v>
          </cell>
        </row>
        <row r="44">
          <cell r="J44" t="str">
            <v>KNITTED FABRIC</v>
          </cell>
          <cell r="L44">
            <v>57310.9</v>
          </cell>
          <cell r="N44">
            <v>18189.7</v>
          </cell>
          <cell r="Q44">
            <v>57310.9</v>
          </cell>
        </row>
        <row r="45">
          <cell r="J45" t="str">
            <v>KNITTED FABRIC</v>
          </cell>
          <cell r="L45">
            <v>51525.8</v>
          </cell>
          <cell r="N45">
            <v>19277.7</v>
          </cell>
          <cell r="Q45">
            <v>51525.8</v>
          </cell>
        </row>
        <row r="47">
          <cell r="J47" t="str">
            <v>WOVEN FABRIC</v>
          </cell>
          <cell r="L47">
            <v>4111.1000000000004</v>
          </cell>
          <cell r="N47">
            <v>1403.6</v>
          </cell>
          <cell r="Q47">
            <v>7399.98</v>
          </cell>
        </row>
        <row r="48">
          <cell r="J48" t="str">
            <v>KNITTED FABRIC</v>
          </cell>
          <cell r="L48">
            <v>31748</v>
          </cell>
          <cell r="N48">
            <v>13949.4</v>
          </cell>
          <cell r="Q48">
            <v>31748</v>
          </cell>
        </row>
        <row r="49">
          <cell r="J49" t="str">
            <v>HANGER</v>
          </cell>
          <cell r="L49">
            <v>142</v>
          </cell>
          <cell r="N49">
            <v>97.3</v>
          </cell>
          <cell r="Q49">
            <v>142</v>
          </cell>
        </row>
        <row r="50">
          <cell r="J50" t="str">
            <v>KNITTED FABRIC</v>
          </cell>
          <cell r="L50">
            <v>20161.3</v>
          </cell>
          <cell r="N50">
            <v>9037.2999999999993</v>
          </cell>
          <cell r="Q50">
            <v>20161.3</v>
          </cell>
        </row>
        <row r="51">
          <cell r="J51" t="str">
            <v>KNITTED FABRIC</v>
          </cell>
          <cell r="L51">
            <v>41686.300000000003</v>
          </cell>
          <cell r="N51">
            <v>24819.5</v>
          </cell>
          <cell r="Q51">
            <v>41686.300000000003</v>
          </cell>
        </row>
        <row r="52">
          <cell r="J52" t="str">
            <v>KNITTED FABRIC</v>
          </cell>
          <cell r="L52">
            <v>18692.3</v>
          </cell>
          <cell r="N52">
            <v>9748</v>
          </cell>
          <cell r="Q52">
            <v>18692.3</v>
          </cell>
        </row>
        <row r="54">
          <cell r="J54" t="str">
            <v>WOVEN FABRIC</v>
          </cell>
          <cell r="L54">
            <v>315</v>
          </cell>
          <cell r="N54">
            <v>28.5</v>
          </cell>
          <cell r="Q54">
            <v>567</v>
          </cell>
        </row>
        <row r="55">
          <cell r="J55" t="str">
            <v>KNITTED FABRIC</v>
          </cell>
          <cell r="L55">
            <v>5998.5</v>
          </cell>
          <cell r="N55">
            <v>2295.6</v>
          </cell>
          <cell r="Q55">
            <v>5998.5</v>
          </cell>
        </row>
        <row r="56">
          <cell r="J56" t="str">
            <v>INTERLINING</v>
          </cell>
          <cell r="L56">
            <v>714.2</v>
          </cell>
          <cell r="N56">
            <v>437</v>
          </cell>
          <cell r="Q56">
            <v>142.84</v>
          </cell>
        </row>
        <row r="57">
          <cell r="J57" t="str">
            <v>MAIN LABEL</v>
          </cell>
          <cell r="L57">
            <v>240</v>
          </cell>
          <cell r="N57">
            <v>9.5</v>
          </cell>
          <cell r="Q57">
            <v>12</v>
          </cell>
        </row>
        <row r="58">
          <cell r="J58" t="str">
            <v>METAL BUTTON</v>
          </cell>
          <cell r="L58">
            <v>341</v>
          </cell>
          <cell r="N58">
            <v>61</v>
          </cell>
          <cell r="Q58">
            <v>1364</v>
          </cell>
        </row>
        <row r="59">
          <cell r="J59" t="str">
            <v>PLASTIC BUTTON</v>
          </cell>
          <cell r="L59">
            <v>393</v>
          </cell>
          <cell r="N59">
            <v>483.1</v>
          </cell>
          <cell r="Q59">
            <v>589.5</v>
          </cell>
        </row>
        <row r="60">
          <cell r="J60" t="str">
            <v>HANG TAG</v>
          </cell>
          <cell r="L60">
            <v>61</v>
          </cell>
          <cell r="N60">
            <v>15.5</v>
          </cell>
          <cell r="Q60">
            <v>7.32</v>
          </cell>
        </row>
        <row r="61">
          <cell r="J61" t="str">
            <v>INTERLINING</v>
          </cell>
          <cell r="L61">
            <v>302</v>
          </cell>
          <cell r="N61">
            <v>26.95</v>
          </cell>
          <cell r="Q61">
            <v>60.4</v>
          </cell>
        </row>
        <row r="62">
          <cell r="J62" t="str">
            <v>PLASTIC ZIPPER</v>
          </cell>
          <cell r="L62">
            <v>602</v>
          </cell>
          <cell r="N62">
            <v>23</v>
          </cell>
          <cell r="Q62">
            <v>722.4</v>
          </cell>
        </row>
        <row r="63">
          <cell r="J63" t="str">
            <v>ELASTIC TAPE</v>
          </cell>
          <cell r="L63">
            <v>341</v>
          </cell>
          <cell r="N63">
            <v>22</v>
          </cell>
          <cell r="Q63">
            <v>10.23</v>
          </cell>
        </row>
        <row r="64">
          <cell r="J64" t="str">
            <v>PLASTIC BUTTON</v>
          </cell>
          <cell r="L64">
            <v>143</v>
          </cell>
          <cell r="N64">
            <v>72.2</v>
          </cell>
          <cell r="Q64">
            <v>214.5</v>
          </cell>
        </row>
        <row r="65">
          <cell r="J65" t="str">
            <v>HANG TAG</v>
          </cell>
          <cell r="L65">
            <v>773</v>
          </cell>
          <cell r="N65">
            <v>33</v>
          </cell>
          <cell r="Q65">
            <v>92.76</v>
          </cell>
        </row>
        <row r="67">
          <cell r="J67" t="str">
            <v>KNITTED FABRIC</v>
          </cell>
          <cell r="L67">
            <v>28752</v>
          </cell>
          <cell r="N67">
            <v>15190.6</v>
          </cell>
          <cell r="Q67">
            <v>28752</v>
          </cell>
        </row>
        <row r="68">
          <cell r="J68" t="str">
            <v>WOVEN LABEL</v>
          </cell>
          <cell r="L68">
            <v>764</v>
          </cell>
          <cell r="N68">
            <v>10.7</v>
          </cell>
          <cell r="Q68">
            <v>38.200000000000003</v>
          </cell>
        </row>
        <row r="69">
          <cell r="J69" t="str">
            <v>PLASTIC BUTTON</v>
          </cell>
          <cell r="L69">
            <v>14</v>
          </cell>
          <cell r="N69">
            <v>0.9</v>
          </cell>
          <cell r="Q69">
            <v>21</v>
          </cell>
        </row>
        <row r="70">
          <cell r="J70" t="str">
            <v>HANG TAG</v>
          </cell>
          <cell r="L70">
            <v>450</v>
          </cell>
          <cell r="N70">
            <v>18.399999999999999</v>
          </cell>
          <cell r="Q70">
            <v>54</v>
          </cell>
        </row>
        <row r="71">
          <cell r="J71" t="str">
            <v>KNITTED FABRIC</v>
          </cell>
          <cell r="L71">
            <v>50616.7</v>
          </cell>
          <cell r="N71">
            <v>21453.1</v>
          </cell>
          <cell r="Q71">
            <v>50616.7</v>
          </cell>
        </row>
        <row r="72">
          <cell r="J72" t="str">
            <v>KNITTED FABRIC</v>
          </cell>
          <cell r="L72">
            <v>50579.7</v>
          </cell>
          <cell r="N72">
            <v>21441</v>
          </cell>
          <cell r="Q72">
            <v>50579.7</v>
          </cell>
        </row>
        <row r="73">
          <cell r="J73" t="str">
            <v>METAL BUTTON</v>
          </cell>
          <cell r="L73">
            <v>1228</v>
          </cell>
          <cell r="N73">
            <v>493.8</v>
          </cell>
          <cell r="Q73">
            <v>4912</v>
          </cell>
        </row>
        <row r="74">
          <cell r="J74" t="str">
            <v>PLASTIC BUTTON</v>
          </cell>
          <cell r="L74">
            <v>299</v>
          </cell>
          <cell r="N74">
            <v>6.5</v>
          </cell>
          <cell r="Q74">
            <v>448.5</v>
          </cell>
        </row>
        <row r="75">
          <cell r="J75" t="str">
            <v>MAIN LABEL</v>
          </cell>
          <cell r="L75">
            <v>7175</v>
          </cell>
          <cell r="N75">
            <v>42</v>
          </cell>
          <cell r="Q75">
            <v>358.75</v>
          </cell>
        </row>
        <row r="76">
          <cell r="J76" t="str">
            <v>KNITTED FABRIC</v>
          </cell>
          <cell r="L76">
            <v>39790.300000000003</v>
          </cell>
          <cell r="N76">
            <v>19321.400000000001</v>
          </cell>
          <cell r="Q76">
            <v>39790.300000000003</v>
          </cell>
        </row>
        <row r="78">
          <cell r="J78" t="str">
            <v>KNITTED FABRIC</v>
          </cell>
          <cell r="L78">
            <v>14274</v>
          </cell>
          <cell r="N78">
            <v>8009.9</v>
          </cell>
          <cell r="Q78">
            <v>14274</v>
          </cell>
        </row>
        <row r="79">
          <cell r="J79" t="str">
            <v>KNITTED FABRIC</v>
          </cell>
          <cell r="L79">
            <v>24797.9</v>
          </cell>
          <cell r="N79">
            <v>10415.299999999999</v>
          </cell>
          <cell r="Q79">
            <v>24797.9</v>
          </cell>
        </row>
        <row r="80">
          <cell r="J80" t="str">
            <v>GENERATOR (DIESEL) (350KVA)</v>
          </cell>
          <cell r="L80">
            <v>1</v>
          </cell>
          <cell r="N80">
            <v>2415</v>
          </cell>
          <cell r="Q80">
            <v>11000</v>
          </cell>
        </row>
        <row r="81">
          <cell r="J81" t="str">
            <v>-MADE IN CHINA
-MODEL: YX220
-ENGINE : YC6MK350LD20
-MANUFACTURING DATE: JULY 2026</v>
          </cell>
        </row>
        <row r="83">
          <cell r="J83" t="str">
            <v>KNITTED FABRIC</v>
          </cell>
          <cell r="L83">
            <v>32636.7</v>
          </cell>
          <cell r="N83">
            <v>17932.599999999999</v>
          </cell>
          <cell r="Q83">
            <v>32636.7</v>
          </cell>
        </row>
        <row r="84">
          <cell r="J84" t="str">
            <v>INTERLINING</v>
          </cell>
          <cell r="L84">
            <v>4968.8</v>
          </cell>
          <cell r="N84">
            <v>678.8</v>
          </cell>
          <cell r="Q84">
            <v>993.76</v>
          </cell>
        </row>
        <row r="85">
          <cell r="J85" t="str">
            <v>KNITTED FABRIC</v>
          </cell>
          <cell r="L85">
            <v>43579.5</v>
          </cell>
          <cell r="N85">
            <v>23993.3</v>
          </cell>
          <cell r="Q85">
            <v>43579.5</v>
          </cell>
        </row>
        <row r="86">
          <cell r="J86" t="str">
            <v>WOVEN FABRIC</v>
          </cell>
          <cell r="L86">
            <v>69565</v>
          </cell>
          <cell r="N86">
            <v>24790.5</v>
          </cell>
          <cell r="Q86">
            <v>125217</v>
          </cell>
        </row>
        <row r="87">
          <cell r="J87" t="str">
            <v>WOVEN FABRIC</v>
          </cell>
          <cell r="L87">
            <v>31205.7</v>
          </cell>
          <cell r="N87">
            <v>11012.3</v>
          </cell>
          <cell r="Q87">
            <v>56170.26</v>
          </cell>
        </row>
      </sheetData>
      <sheetData sheetId="3">
        <row r="6">
          <cell r="B6" t="str">
            <v>METAL DETECTOR MACHINE</v>
          </cell>
        </row>
        <row r="7">
          <cell r="B7" t="str">
            <v>HANDHELD SCANNER</v>
          </cell>
        </row>
        <row r="8">
          <cell r="B8" t="str">
            <v>FABRIC INSPECTION MACHINE</v>
          </cell>
        </row>
        <row r="9">
          <cell r="B9" t="str">
            <v>ELECTRONIC SCALE-30KG</v>
          </cell>
        </row>
        <row r="10">
          <cell r="B10" t="str">
            <v>GRAM SCALE-500G</v>
          </cell>
        </row>
        <row r="11">
          <cell r="B11" t="str">
            <v>HANGING SYSTEM</v>
          </cell>
        </row>
        <row r="12">
          <cell r="B12" t="str">
            <v>ONE NEEDLE SEWING MACHINE</v>
          </cell>
        </row>
        <row r="13">
          <cell r="B13" t="str">
            <v>TWO NEEDLE SEWING MACHINE</v>
          </cell>
        </row>
        <row r="14">
          <cell r="B14" t="str">
            <v>THREE NEEDLE FIVE THREAD SEWING MACHINE</v>
          </cell>
        </row>
        <row r="15">
          <cell r="B15" t="str">
            <v>FOUR NEEDLE SIX THREAD SEWING MACHINE</v>
          </cell>
        </row>
        <row r="16">
          <cell r="B16" t="str">
            <v>FOUR THREAD OVERLOCK SEWING MACHINE</v>
          </cell>
        </row>
        <row r="17">
          <cell r="B17" t="str">
            <v>FIVE THREAD OVERLOCK SEWING MACHINE</v>
          </cell>
        </row>
        <row r="18">
          <cell r="B18" t="str">
            <v>COVER STITCHING MACHINE</v>
          </cell>
        </row>
        <row r="19">
          <cell r="B19" t="str">
            <v>SEWING MACHINE</v>
          </cell>
        </row>
        <row r="20">
          <cell r="B20" t="str">
            <v>LONG ARM SEWING MACHINE</v>
          </cell>
        </row>
        <row r="21">
          <cell r="B21" t="str">
            <v>BARTACKING MACHINE</v>
          </cell>
        </row>
        <row r="22">
          <cell r="B22" t="str">
            <v>WAISTBAND  CHAINSTITCHING MACHINE</v>
          </cell>
        </row>
        <row r="23">
          <cell r="B23" t="str">
            <v>TEMPLATE LASER CUT MACHINE</v>
          </cell>
        </row>
        <row r="24">
          <cell r="B24" t="str">
            <v>TEMPLATE SEWING MACHINE</v>
          </cell>
        </row>
        <row r="25">
          <cell r="B25" t="str">
            <v>AUTO POCKET MAKING MACHINE</v>
          </cell>
        </row>
        <row r="26">
          <cell r="B26" t="str">
            <v>BLIND STITCHING MACHINE</v>
          </cell>
        </row>
        <row r="27">
          <cell r="B27" t="str">
            <v>UPPER SLEEVE MACHINE</v>
          </cell>
        </row>
        <row r="28">
          <cell r="B28" t="str">
            <v>SPARE PART OF MACHINE</v>
          </cell>
        </row>
        <row r="29">
          <cell r="B29" t="str">
            <v>LABEL ATTACHING MACHINE</v>
          </cell>
        </row>
        <row r="30">
          <cell r="B30" t="str">
            <v>BUTTON HOLING MACHINE</v>
          </cell>
        </row>
        <row r="31">
          <cell r="B31" t="str">
            <v>BUTTON SEWING MACHINE</v>
          </cell>
        </row>
        <row r="32">
          <cell r="B32" t="str">
            <v>SNAP FIXING MACHINE</v>
          </cell>
        </row>
        <row r="33">
          <cell r="B33" t="str">
            <v>EMBRO MACHINE(7~12 HEAD)</v>
          </cell>
        </row>
        <row r="34">
          <cell r="B34" t="str">
            <v>AUTOMATIC STRING THRUSTING MACHINE</v>
          </cell>
        </row>
        <row r="35">
          <cell r="B35" t="str">
            <v>AUTO ELASTIC BAND JOINING MACHINE</v>
          </cell>
        </row>
        <row r="36">
          <cell r="B36" t="str">
            <v>PATTERN SEWING MACHINE</v>
          </cell>
        </row>
        <row r="37">
          <cell r="B37" t="str">
            <v>TANGENT BUNDLE MACHINE</v>
          </cell>
        </row>
        <row r="38">
          <cell r="B38" t="str">
            <v>AUTO COLLAR-BAND ATTACHING MACHINE</v>
          </cell>
        </row>
        <row r="39">
          <cell r="B39" t="str">
            <v>AUXILIARY MACHINE</v>
          </cell>
        </row>
        <row r="40">
          <cell r="B40" t="str">
            <v>AUTO CUTTING MACHINE</v>
          </cell>
        </row>
        <row r="41">
          <cell r="B41" t="str">
            <v>FABRIC SPREADING MACHINE</v>
          </cell>
        </row>
        <row r="42">
          <cell r="B42" t="str">
            <v>CUTTING TABLE</v>
          </cell>
        </row>
        <row r="43">
          <cell r="B43" t="str">
            <v>FABRIC RELAXING MACHINE</v>
          </cell>
        </row>
        <row r="44">
          <cell r="B44" t="str">
            <v>FABRIC CUTTING MACHINE</v>
          </cell>
        </row>
        <row r="45">
          <cell r="B45" t="str">
            <v>HEAT TRANSFER MACHINE</v>
          </cell>
        </row>
        <row r="46">
          <cell r="B46" t="str">
            <v>CUTTING SAFETY STEEL HAND GLOVE</v>
          </cell>
        </row>
        <row r="47">
          <cell r="B47" t="str">
            <v>ELECTRIC KNIFE MACHINE</v>
          </cell>
        </row>
        <row r="48">
          <cell r="B48" t="str">
            <v>FUSING MACHINE</v>
          </cell>
        </row>
        <row r="49">
          <cell r="B49" t="str">
            <v>PLOTTER</v>
          </cell>
        </row>
        <row r="50">
          <cell r="B50" t="str">
            <v>NUMBERING MACHINE</v>
          </cell>
        </row>
        <row r="51">
          <cell r="B51" t="str">
            <v>AUTO PACKED MACHINE SYSTEM</v>
          </cell>
        </row>
        <row r="52">
          <cell r="B52" t="str">
            <v>AUTO FOLDING MACHINE</v>
          </cell>
        </row>
        <row r="53">
          <cell r="B53" t="str">
            <v>CONVEYOR SYSTEM</v>
          </cell>
        </row>
        <row r="54">
          <cell r="B54" t="str">
            <v>FORKLIFT (3 TON)</v>
          </cell>
        </row>
        <row r="55">
          <cell r="B55" t="str">
            <v>VERY NARROW AISLE FORKLIFT (VNA)</v>
          </cell>
        </row>
        <row r="56">
          <cell r="B56" t="str">
            <v>STACKER</v>
          </cell>
        </row>
        <row r="57">
          <cell r="B57" t="str">
            <v>HYDRAULIC HAND PALLET TRUCK</v>
          </cell>
        </row>
        <row r="58">
          <cell r="B58" t="str">
            <v>PALLET</v>
          </cell>
        </row>
        <row r="59">
          <cell r="B59" t="str">
            <v>RACKING</v>
          </cell>
        </row>
        <row r="60">
          <cell r="B60" t="str">
            <v>HANGING GARMENT RACK</v>
          </cell>
        </row>
        <row r="61">
          <cell r="B61" t="str">
            <v>SWEEPER &amp; WASHING  MACHINE</v>
          </cell>
        </row>
        <row r="62">
          <cell r="B62" t="str">
            <v>PULLING TEST MACHINE</v>
          </cell>
        </row>
        <row r="63">
          <cell r="B63" t="str">
            <v>BUTTON PULL TEST MACHINE</v>
          </cell>
        </row>
        <row r="64">
          <cell r="B64" t="str">
            <v>TEAR TEST MACHINE</v>
          </cell>
        </row>
        <row r="65">
          <cell r="B65" t="str">
            <v>CRACKING TEST MACHINE</v>
          </cell>
        </row>
        <row r="66">
          <cell r="B66" t="str">
            <v>FABRIC STRENGTH TESTER</v>
          </cell>
        </row>
        <row r="67">
          <cell r="B67" t="str">
            <v>PH TEST MACHINE</v>
          </cell>
        </row>
        <row r="68">
          <cell r="B68" t="str">
            <v>LIGHT BOX</v>
          </cell>
        </row>
        <row r="69">
          <cell r="B69" t="str">
            <v>AIR COMPRESSOR (30HP)</v>
          </cell>
        </row>
        <row r="70">
          <cell r="B70" t="str">
            <v>COLD DRYER</v>
          </cell>
        </row>
        <row r="71">
          <cell r="B71" t="str">
            <v>GAS TANK</v>
          </cell>
        </row>
        <row r="72">
          <cell r="B72" t="str">
            <v>AIR CONDITIONER SYSTEM</v>
          </cell>
        </row>
        <row r="73">
          <cell r="B73" t="str">
            <v>BOILER</v>
          </cell>
        </row>
        <row r="74">
          <cell r="B74" t="str">
            <v>STEAM IRON</v>
          </cell>
        </row>
        <row r="75">
          <cell r="B75" t="str">
            <v>IRON TABLE</v>
          </cell>
        </row>
        <row r="76">
          <cell r="B76" t="str">
            <v>ELECTRIC BOILER</v>
          </cell>
        </row>
        <row r="77">
          <cell r="B77" t="str">
            <v>GENERATOR (DIESEL) (350KVA)</v>
          </cell>
        </row>
        <row r="78">
          <cell r="B78" t="str">
            <v>DEHUMIDIFIER MACHINE</v>
          </cell>
        </row>
        <row r="79">
          <cell r="B79" t="str">
            <v>LAMP (USE IN WORKSHOP)</v>
          </cell>
        </row>
        <row r="80">
          <cell r="B80" t="str">
            <v>EXPLOSION-PROOF  LAMP</v>
          </cell>
        </row>
        <row r="81">
          <cell r="B81" t="str">
            <v>ELECTRIC WIRE (10-25MM) * 100M/ROLL</v>
          </cell>
        </row>
        <row r="82">
          <cell r="B82" t="str">
            <v>ELECTRIC WIRE (1.5-6MM)  * 100M / ROLL</v>
          </cell>
        </row>
        <row r="83">
          <cell r="B83" t="str">
            <v>CABLE (30 - 70MM)</v>
          </cell>
        </row>
        <row r="84">
          <cell r="B84" t="str">
            <v>CABLE (120-300MM)</v>
          </cell>
        </row>
        <row r="85">
          <cell r="B85" t="str">
            <v>BREAKERS</v>
          </cell>
        </row>
        <row r="86">
          <cell r="B86" t="str">
            <v>FAN</v>
          </cell>
        </row>
        <row r="87">
          <cell r="B87" t="str">
            <v>WATER DRINKING MACHINE</v>
          </cell>
        </row>
        <row r="88">
          <cell r="B88" t="str">
            <v>WATER SOFTENER SYSTEM (RO)</v>
          </cell>
        </row>
        <row r="89">
          <cell r="B89" t="str">
            <v>BARCODE PRINTER</v>
          </cell>
        </row>
        <row r="90">
          <cell r="B90" t="str">
            <v>INFRARED THERMOMETER</v>
          </cell>
        </row>
        <row r="91">
          <cell r="B91" t="str">
            <v>TEMPERATURE MEASURING DEVICE</v>
          </cell>
        </row>
        <row r="92">
          <cell r="B92" t="str">
            <v>PUSH BAR</v>
          </cell>
        </row>
        <row r="93">
          <cell r="B93" t="str">
            <v>PUSH BAR LOCK</v>
          </cell>
        </row>
        <row r="94">
          <cell r="B94" t="str">
            <v>DOOR CLOSURE</v>
          </cell>
        </row>
        <row r="95">
          <cell r="B95" t="str">
            <v>MOSQUITO KILLER TUBE</v>
          </cell>
        </row>
        <row r="96">
          <cell r="B96" t="str">
            <v>MOSQUITO KILLER LAMP STARTER</v>
          </cell>
        </row>
        <row r="97">
          <cell r="B97" t="str">
            <v>FAUCET</v>
          </cell>
        </row>
        <row r="98">
          <cell r="B98" t="str">
            <v>ELECTRICAL TAPE</v>
          </cell>
        </row>
        <row r="99">
          <cell r="B99" t="str">
            <v>CABLE TIE</v>
          </cell>
        </row>
        <row r="100">
          <cell r="B100" t="str">
            <v>DUMMY</v>
          </cell>
        </row>
        <row r="101">
          <cell r="B101" t="str">
            <v>INSPECTION TABLE</v>
          </cell>
        </row>
        <row r="102">
          <cell r="B102" t="str">
            <v>PACKING TABLE</v>
          </cell>
        </row>
        <row r="103">
          <cell r="B103" t="str">
            <v>TROLLEY</v>
          </cell>
        </row>
        <row r="104">
          <cell r="B104" t="str">
            <v>PRODUCTION WATER TROUGH</v>
          </cell>
        </row>
        <row r="105">
          <cell r="B105" t="str">
            <v>LOOSE CLOTH RACK</v>
          </cell>
        </row>
        <row r="106">
          <cell r="B106" t="str">
            <v>DEHUMIDIFICATION RACK</v>
          </cell>
        </row>
        <row r="107">
          <cell r="B107" t="str">
            <v>PVC TEMPLATE</v>
          </cell>
        </row>
        <row r="108">
          <cell r="B108" t="str">
            <v>SEWING SITTING CHAIRS</v>
          </cell>
        </row>
        <row r="109">
          <cell r="B109" t="str">
            <v>THREAD SUCKING MACHINE</v>
          </cell>
        </row>
        <row r="110">
          <cell r="B110" t="str">
            <v>ASSEMBLED ISOLATION NET</v>
          </cell>
        </row>
        <row r="111">
          <cell r="B111" t="str">
            <v>STACKING RACK</v>
          </cell>
        </row>
        <row r="112">
          <cell r="B112" t="str">
            <v>WATER COOLING SYSTEM</v>
          </cell>
        </row>
        <row r="113">
          <cell r="B113" t="str">
            <v>SWITCH BOX</v>
          </cell>
        </row>
        <row r="114">
          <cell r="B114" t="str">
            <v>GALVANIZED PIPE</v>
          </cell>
        </row>
        <row r="115">
          <cell r="B115" t="str">
            <v>PLASTIC PIPE</v>
          </cell>
        </row>
        <row r="116">
          <cell r="B116" t="str">
            <v>WATER TANK</v>
          </cell>
        </row>
        <row r="117">
          <cell r="B117" t="str">
            <v>GALVANIZED BRIDGE FRAME</v>
          </cell>
        </row>
        <row r="118">
          <cell r="B118" t="str">
            <v>PLASTIC WIRE TROUGH</v>
          </cell>
        </row>
        <row r="119">
          <cell r="B119" t="str">
            <v>GALVANIZED SQUARE PIPE</v>
          </cell>
        </row>
        <row r="120">
          <cell r="B120" t="str">
            <v>FLAT LIGHTING</v>
          </cell>
        </row>
        <row r="121">
          <cell r="B121" t="str">
            <v>STEEL BAR</v>
          </cell>
        </row>
        <row r="122">
          <cell r="B122" t="str">
            <v>GLASS DOOR</v>
          </cell>
        </row>
        <row r="123">
          <cell r="B123" t="str">
            <v>GLASS WINDOW</v>
          </cell>
        </row>
        <row r="124">
          <cell r="B124" t="str">
            <v>ALUMINUM TUBE</v>
          </cell>
        </row>
        <row r="125">
          <cell r="B125" t="str">
            <v>TEMPERED GLASS</v>
          </cell>
        </row>
        <row r="127">
          <cell r="B127" t="str">
            <v>PLASTIC FRAME</v>
          </cell>
        </row>
        <row r="128">
          <cell r="B128" t="str">
            <v>BARCODE PRINTER MACHINE</v>
          </cell>
        </row>
        <row r="131">
          <cell r="B131" t="str">
            <v>WOVEN FABRIC</v>
          </cell>
        </row>
        <row r="132">
          <cell r="B132" t="str">
            <v>KNITTED FABRIC</v>
          </cell>
        </row>
        <row r="134">
          <cell r="B134" t="str">
            <v>NON-WOVEN FABRIC</v>
          </cell>
        </row>
        <row r="135">
          <cell r="B135" t="str">
            <v>KNITTED RIB</v>
          </cell>
        </row>
        <row r="136">
          <cell r="B136" t="str">
            <v>LINING FABRIC</v>
          </cell>
        </row>
        <row r="137">
          <cell r="B137" t="str">
            <v>YOKE</v>
          </cell>
        </row>
        <row r="138">
          <cell r="B138" t="str">
            <v>INTERLINING</v>
          </cell>
        </row>
        <row r="139">
          <cell r="B139" t="str">
            <v>PU FABRIC</v>
          </cell>
        </row>
        <row r="140">
          <cell r="B140" t="str">
            <v>NYLON THREAD</v>
          </cell>
        </row>
        <row r="141">
          <cell r="B141" t="str">
            <v>COTTON THREAD</v>
          </cell>
        </row>
        <row r="142">
          <cell r="B142" t="str">
            <v>POLYESTER THREAD</v>
          </cell>
        </row>
        <row r="143">
          <cell r="B143" t="str">
            <v>ELASTIC THREAD</v>
          </cell>
        </row>
        <row r="144">
          <cell r="B144" t="str">
            <v>EMBROIDERY THREAD</v>
          </cell>
        </row>
        <row r="145">
          <cell r="B145" t="str">
            <v>NYLON ZIPPER</v>
          </cell>
        </row>
        <row r="146">
          <cell r="B146" t="str">
            <v>METAL ZIPPER</v>
          </cell>
        </row>
        <row r="147">
          <cell r="B147" t="str">
            <v>PLASTIC ZIPPER</v>
          </cell>
        </row>
        <row r="148">
          <cell r="B148" t="str">
            <v>MAIN LABEL</v>
          </cell>
        </row>
        <row r="149">
          <cell r="B149" t="str">
            <v>SIZE LABEL</v>
          </cell>
        </row>
        <row r="150">
          <cell r="B150" t="str">
            <v>LEATHER PATCH</v>
          </cell>
        </row>
        <row r="151">
          <cell r="B151" t="str">
            <v>PRINTED LABEL</v>
          </cell>
        </row>
        <row r="152">
          <cell r="B152" t="str">
            <v>CARE LABEL</v>
          </cell>
        </row>
        <row r="153">
          <cell r="B153" t="str">
            <v>BADGE</v>
          </cell>
        </row>
        <row r="154">
          <cell r="B154" t="str">
            <v>WOVEN LABEL</v>
          </cell>
        </row>
        <row r="155">
          <cell r="B155" t="str">
            <v>EMBROIDERY PATCH</v>
          </cell>
        </row>
        <row r="156">
          <cell r="B156" t="str">
            <v>HEAT TRANSFER LABEL</v>
          </cell>
        </row>
        <row r="157">
          <cell r="B157" t="str">
            <v>PO LABEL</v>
          </cell>
        </row>
        <row r="158">
          <cell r="B158" t="str">
            <v>SHOULDER TAPE</v>
          </cell>
        </row>
        <row r="159">
          <cell r="B159" t="str">
            <v>HERRINGBONE TAPE</v>
          </cell>
        </row>
        <row r="160">
          <cell r="B160" t="str">
            <v>WOVEN TAPE</v>
          </cell>
        </row>
        <row r="161">
          <cell r="B161" t="str">
            <v>COTTON TAPE</v>
          </cell>
        </row>
        <row r="162">
          <cell r="B162" t="str">
            <v>ELASTIC TAPE</v>
          </cell>
        </row>
        <row r="163">
          <cell r="B163" t="str">
            <v>DRAWSTRING (DOZ)</v>
          </cell>
        </row>
        <row r="164">
          <cell r="B164" t="str">
            <v>DRAWSTRING (M)</v>
          </cell>
        </row>
        <row r="165">
          <cell r="B165" t="str">
            <v>ELASTIC STRING</v>
          </cell>
        </row>
        <row r="166">
          <cell r="B166" t="str">
            <v>ELASTIC BAND</v>
          </cell>
        </row>
        <row r="167">
          <cell r="B167" t="str">
            <v>PIPING</v>
          </cell>
        </row>
        <row r="168">
          <cell r="B168" t="str">
            <v>VELCRO</v>
          </cell>
        </row>
        <row r="169">
          <cell r="B169" t="str">
            <v>STICKER</v>
          </cell>
        </row>
        <row r="170">
          <cell r="B170" t="str">
            <v>SIZE STICKER</v>
          </cell>
        </row>
        <row r="171">
          <cell r="B171" t="str">
            <v>PRICE STICKER</v>
          </cell>
        </row>
        <row r="172">
          <cell r="B172" t="str">
            <v>HANGER STICKER</v>
          </cell>
        </row>
        <row r="173">
          <cell r="B173" t="str">
            <v>BARCODE STICKER</v>
          </cell>
        </row>
        <row r="174">
          <cell r="B174" t="str">
            <v>POLYBAG STICKER</v>
          </cell>
        </row>
        <row r="175">
          <cell r="B175" t="str">
            <v>CARTON STICKER</v>
          </cell>
        </row>
        <row r="176">
          <cell r="B176" t="str">
            <v>SNAP</v>
          </cell>
        </row>
        <row r="177">
          <cell r="B177" t="str">
            <v>METAL BUTTON</v>
          </cell>
        </row>
        <row r="178">
          <cell r="B178" t="str">
            <v>PLASTIC BUTTON</v>
          </cell>
        </row>
        <row r="179">
          <cell r="B179" t="str">
            <v>STOPPER</v>
          </cell>
        </row>
        <row r="180">
          <cell r="B180" t="str">
            <v>TOGGLE</v>
          </cell>
        </row>
        <row r="181">
          <cell r="B181" t="str">
            <v>EYELET</v>
          </cell>
        </row>
        <row r="182">
          <cell r="B182" t="str">
            <v>RIVET</v>
          </cell>
        </row>
        <row r="183">
          <cell r="B183" t="str">
            <v>BUCKLE</v>
          </cell>
        </row>
        <row r="184">
          <cell r="B184" t="str">
            <v>HANG TAG</v>
          </cell>
        </row>
        <row r="185">
          <cell r="B185" t="str">
            <v>SIZE TAG</v>
          </cell>
        </row>
        <row r="186">
          <cell r="B186" t="str">
            <v>PAPER HANGTAG</v>
          </cell>
        </row>
        <row r="187">
          <cell r="B187" t="str">
            <v>PLASTIC HANGTAG</v>
          </cell>
        </row>
        <row r="188">
          <cell r="B188" t="str">
            <v>WAIST TAG</v>
          </cell>
        </row>
        <row r="189">
          <cell r="B189" t="str">
            <v>PRICE TAG</v>
          </cell>
        </row>
        <row r="190">
          <cell r="B190" t="str">
            <v>HANGER</v>
          </cell>
        </row>
        <row r="191">
          <cell r="B191" t="str">
            <v>SIZER CLIP</v>
          </cell>
        </row>
        <row r="192">
          <cell r="B192" t="str">
            <v>HANGER CLIP</v>
          </cell>
        </row>
        <row r="193">
          <cell r="B193" t="str">
            <v>TISSUE PAPER</v>
          </cell>
        </row>
        <row r="194">
          <cell r="B194" t="str">
            <v>CARDBOARD PAPER</v>
          </cell>
        </row>
        <row r="195">
          <cell r="B195" t="str">
            <v>SPARE POLYBAG</v>
          </cell>
        </row>
        <row r="196">
          <cell r="B196" t="str">
            <v>POLYBAG</v>
          </cell>
        </row>
        <row r="197">
          <cell r="B197" t="str">
            <v>PLASTIC POLYBAG</v>
          </cell>
        </row>
        <row r="198">
          <cell r="B198" t="str">
            <v>ANTI-MOLD STICKERS</v>
          </cell>
        </row>
        <row r="199">
          <cell r="B199" t="str">
            <v>SEAL TAPE</v>
          </cell>
        </row>
        <row r="200">
          <cell r="B200" t="str">
            <v>PLASTIC BOX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8B4B-2E9F-4889-BCFF-3C279AEDAB27}">
  <dimension ref="A1:O200"/>
  <sheetViews>
    <sheetView tabSelected="1" workbookViewId="0">
      <selection activeCell="E9" sqref="E9"/>
    </sheetView>
  </sheetViews>
  <sheetFormatPr defaultRowHeight="15" x14ac:dyDescent="0.25"/>
  <cols>
    <col min="1" max="1" width="11" bestFit="1" customWidth="1"/>
    <col min="2" max="2" width="42.42578125" bestFit="1" customWidth="1"/>
    <col min="3" max="3" width="8.85546875"/>
    <col min="5" max="5" width="14.28515625" bestFit="1" customWidth="1"/>
    <col min="6" max="6" width="14.28515625" customWidth="1"/>
    <col min="7" max="7" width="18.7109375" customWidth="1"/>
    <col min="8" max="8" width="25.85546875" customWidth="1"/>
    <col min="9" max="14" width="14" customWidth="1"/>
    <col min="15" max="15" width="9.7109375" customWidth="1"/>
  </cols>
  <sheetData>
    <row r="1" spans="1:15" x14ac:dyDescent="0.25">
      <c r="A1" s="1"/>
      <c r="D1" s="1"/>
      <c r="E1" s="2"/>
      <c r="F1" s="2"/>
      <c r="G1" s="2"/>
      <c r="H1" s="1"/>
      <c r="I1" s="3" t="s">
        <v>0</v>
      </c>
      <c r="J1" s="3"/>
      <c r="K1" s="3"/>
      <c r="L1" s="1"/>
      <c r="M1" s="4"/>
      <c r="N1" s="1"/>
      <c r="O1" s="1"/>
    </row>
    <row r="2" spans="1:15" ht="30" x14ac:dyDescent="0.25">
      <c r="A2" s="5" t="s">
        <v>1</v>
      </c>
      <c r="B2" s="6"/>
      <c r="C2" s="7" t="s">
        <v>2</v>
      </c>
      <c r="D2" s="7" t="s">
        <v>3</v>
      </c>
      <c r="E2" s="8" t="s">
        <v>4</v>
      </c>
      <c r="F2" s="9" t="s">
        <v>5</v>
      </c>
      <c r="G2" s="9" t="s">
        <v>6</v>
      </c>
      <c r="H2" s="7" t="s">
        <v>7</v>
      </c>
      <c r="I2" s="10" t="s">
        <v>8</v>
      </c>
      <c r="J2" s="10" t="s">
        <v>9</v>
      </c>
      <c r="K2" s="10" t="s">
        <v>10</v>
      </c>
      <c r="L2" s="7" t="s">
        <v>11</v>
      </c>
      <c r="M2" s="11" t="s">
        <v>12</v>
      </c>
      <c r="N2" s="7" t="s">
        <v>13</v>
      </c>
      <c r="O2" s="7" t="s">
        <v>14</v>
      </c>
    </row>
    <row r="3" spans="1:15" x14ac:dyDescent="0.25">
      <c r="A3" s="12">
        <v>1</v>
      </c>
      <c r="B3" s="13" t="s">
        <v>15</v>
      </c>
      <c r="C3" s="13" t="s">
        <v>16</v>
      </c>
      <c r="D3" s="14" t="s">
        <v>17</v>
      </c>
      <c r="E3" s="15">
        <v>3</v>
      </c>
      <c r="F3" s="15">
        <v>4500</v>
      </c>
      <c r="G3" s="15">
        <f>F3*E3</f>
        <v>13500</v>
      </c>
      <c r="H3" s="14" t="s">
        <v>18</v>
      </c>
      <c r="I3" s="16">
        <f>SUMIFS([1]IMPORT!$L$2:$L$93,[1]IMPORT!$J$2:$J$93,[1]CDC!B3)</f>
        <v>0</v>
      </c>
      <c r="J3" s="16">
        <f>SUMIFS([1]IMPORT!$Q$2:$Q$93,[1]IMPORT!$J$2:$J$93,[1]CDC!B3)</f>
        <v>0</v>
      </c>
      <c r="K3" s="16">
        <f>SUMIFS([1]IMPORT!$N$2:$N$93,[1]IMPORT!$J$2:$J$93,[1]CDC!B3)</f>
        <v>0</v>
      </c>
      <c r="L3" s="16">
        <f>E3-I3</f>
        <v>3</v>
      </c>
      <c r="M3" s="17">
        <f>L3/E3</f>
        <v>1</v>
      </c>
      <c r="N3" s="16" t="str">
        <f>IF(M3&lt;50%,"CHECK","OK")</f>
        <v>OK</v>
      </c>
      <c r="O3" s="14" t="s">
        <v>19</v>
      </c>
    </row>
    <row r="4" spans="1:15" x14ac:dyDescent="0.25">
      <c r="A4" s="12">
        <f t="shared" ref="A4:A67" si="0">A3+1</f>
        <v>2</v>
      </c>
      <c r="B4" s="13" t="s">
        <v>20</v>
      </c>
      <c r="C4" s="13" t="s">
        <v>16</v>
      </c>
      <c r="D4" s="14" t="s">
        <v>17</v>
      </c>
      <c r="E4" s="15">
        <v>8</v>
      </c>
      <c r="F4" s="15">
        <v>130</v>
      </c>
      <c r="G4" s="15">
        <f t="shared" ref="G4:G67" si="1">F4*E4</f>
        <v>1040</v>
      </c>
      <c r="H4" s="14" t="s">
        <v>18</v>
      </c>
      <c r="I4" s="16">
        <f>SUMIFS([1]IMPORT!$L$2:$L$93,[1]IMPORT!$J$2:$J$93,[1]CDC!B4)</f>
        <v>0</v>
      </c>
      <c r="J4" s="16">
        <f>SUMIFS([1]IMPORT!$Q$2:$Q$93,[1]IMPORT!$J$2:$J$93,[1]CDC!B4)</f>
        <v>0</v>
      </c>
      <c r="K4" s="16">
        <f>SUMIFS([1]IMPORT!$N$2:$N$93,[1]IMPORT!$J$2:$J$93,[1]CDC!B4)</f>
        <v>0</v>
      </c>
      <c r="L4" s="16">
        <f t="shared" ref="L4:L67" si="2">E4-I4</f>
        <v>8</v>
      </c>
      <c r="M4" s="17">
        <f t="shared" ref="M4:M67" si="3">L4/E4</f>
        <v>1</v>
      </c>
      <c r="N4" s="16" t="str">
        <f t="shared" ref="N4:N67" si="4">IF(M4&lt;50%,"CHECK","OK")</f>
        <v>OK</v>
      </c>
      <c r="O4" s="14" t="s">
        <v>21</v>
      </c>
    </row>
    <row r="5" spans="1:15" x14ac:dyDescent="0.25">
      <c r="A5" s="12">
        <f t="shared" si="0"/>
        <v>3</v>
      </c>
      <c r="B5" s="13" t="s">
        <v>22</v>
      </c>
      <c r="C5" s="13" t="s">
        <v>16</v>
      </c>
      <c r="D5" s="14" t="s">
        <v>17</v>
      </c>
      <c r="E5" s="15">
        <v>3</v>
      </c>
      <c r="F5" s="15">
        <v>5500</v>
      </c>
      <c r="G5" s="15">
        <f t="shared" si="1"/>
        <v>16500</v>
      </c>
      <c r="H5" s="14" t="s">
        <v>18</v>
      </c>
      <c r="I5" s="16">
        <f>SUMIFS([1]IMPORT!$L$2:$L$93,[1]IMPORT!$J$2:$J$93,[1]CDC!B5)</f>
        <v>0</v>
      </c>
      <c r="J5" s="16">
        <f>SUMIFS([1]IMPORT!$Q$2:$Q$93,[1]IMPORT!$J$2:$J$93,[1]CDC!B5)</f>
        <v>0</v>
      </c>
      <c r="K5" s="16">
        <f>SUMIFS([1]IMPORT!$N$2:$N$93,[1]IMPORT!$J$2:$J$93,[1]CDC!B5)</f>
        <v>0</v>
      </c>
      <c r="L5" s="16">
        <f t="shared" si="2"/>
        <v>3</v>
      </c>
      <c r="M5" s="17">
        <f>L5/E5</f>
        <v>1</v>
      </c>
      <c r="N5" s="16" t="str">
        <f t="shared" si="4"/>
        <v>OK</v>
      </c>
      <c r="O5" s="14" t="s">
        <v>23</v>
      </c>
    </row>
    <row r="6" spans="1:15" x14ac:dyDescent="0.25">
      <c r="A6" s="12">
        <f t="shared" si="0"/>
        <v>4</v>
      </c>
      <c r="B6" s="13" t="s">
        <v>24</v>
      </c>
      <c r="C6" s="13" t="s">
        <v>16</v>
      </c>
      <c r="D6" s="14" t="s">
        <v>17</v>
      </c>
      <c r="E6" s="15">
        <v>10</v>
      </c>
      <c r="F6" s="15">
        <v>50</v>
      </c>
      <c r="G6" s="15">
        <f t="shared" si="1"/>
        <v>500</v>
      </c>
      <c r="H6" s="14" t="s">
        <v>18</v>
      </c>
      <c r="I6" s="16">
        <f>SUMIFS([1]IMPORT!$L$2:$L$93,[1]IMPORT!$J$2:$J$93,[1]CDC!B6)</f>
        <v>1</v>
      </c>
      <c r="J6" s="16">
        <f>SUMIFS([1]IMPORT!$Q$2:$Q$93,[1]IMPORT!$J$2:$J$93,[1]CDC!B6)</f>
        <v>4500</v>
      </c>
      <c r="K6" s="16">
        <f>SUMIFS([1]IMPORT!$N$2:$N$93,[1]IMPORT!$J$2:$J$93,[1]CDC!B6)</f>
        <v>1014.6</v>
      </c>
      <c r="L6" s="16">
        <f t="shared" si="2"/>
        <v>9</v>
      </c>
      <c r="M6" s="17">
        <f>L6/E6</f>
        <v>0.9</v>
      </c>
      <c r="N6" s="16" t="str">
        <f t="shared" si="4"/>
        <v>OK</v>
      </c>
      <c r="O6" s="14" t="s">
        <v>25</v>
      </c>
    </row>
    <row r="7" spans="1:15" x14ac:dyDescent="0.25">
      <c r="A7" s="12">
        <f t="shared" si="0"/>
        <v>5</v>
      </c>
      <c r="B7" s="13" t="s">
        <v>26</v>
      </c>
      <c r="C7" s="13" t="s">
        <v>16</v>
      </c>
      <c r="D7" s="14" t="s">
        <v>17</v>
      </c>
      <c r="E7" s="15">
        <v>5</v>
      </c>
      <c r="F7" s="15">
        <v>50</v>
      </c>
      <c r="G7" s="15">
        <f t="shared" si="1"/>
        <v>250</v>
      </c>
      <c r="H7" s="14" t="s">
        <v>18</v>
      </c>
      <c r="I7" s="16">
        <f>SUMIFS([1]IMPORT!$L$2:$L$93,[1]IMPORT!$J$2:$J$93,[1]CDC!B7)</f>
        <v>2</v>
      </c>
      <c r="J7" s="16">
        <f>SUMIFS([1]IMPORT!$Q$2:$Q$93,[1]IMPORT!$J$2:$J$93,[1]CDC!B7)</f>
        <v>260</v>
      </c>
      <c r="K7" s="16">
        <f>SUMIFS([1]IMPORT!$N$2:$N$93,[1]IMPORT!$J$2:$J$93,[1]CDC!B7)</f>
        <v>197</v>
      </c>
      <c r="L7" s="16">
        <f t="shared" si="2"/>
        <v>3</v>
      </c>
      <c r="M7" s="17">
        <f t="shared" si="3"/>
        <v>0.6</v>
      </c>
      <c r="N7" s="16" t="str">
        <f t="shared" si="4"/>
        <v>OK</v>
      </c>
      <c r="O7" s="14" t="s">
        <v>27</v>
      </c>
    </row>
    <row r="8" spans="1:15" x14ac:dyDescent="0.25">
      <c r="A8" s="12">
        <f t="shared" si="0"/>
        <v>6</v>
      </c>
      <c r="B8" s="13" t="s">
        <v>28</v>
      </c>
      <c r="C8" s="13" t="s">
        <v>16</v>
      </c>
      <c r="D8" s="14" t="s">
        <v>17</v>
      </c>
      <c r="E8" s="15">
        <v>8</v>
      </c>
      <c r="F8" s="15">
        <v>35000</v>
      </c>
      <c r="G8" s="15">
        <f t="shared" si="1"/>
        <v>280000</v>
      </c>
      <c r="H8" s="14" t="s">
        <v>18</v>
      </c>
      <c r="I8" s="16">
        <f>SUMIFS([1]IMPORT!$L$2:$L$93,[1]IMPORT!$J$2:$J$93,[1]CDC!B8)</f>
        <v>2</v>
      </c>
      <c r="J8" s="16">
        <f>SUMIFS([1]IMPORT!$Q$2:$Q$93,[1]IMPORT!$J$2:$J$93,[1]CDC!B8)</f>
        <v>11000</v>
      </c>
      <c r="K8" s="16">
        <f>SUMIFS([1]IMPORT!$N$2:$N$93,[1]IMPORT!$J$2:$J$93,[1]CDC!B8)</f>
        <v>1660</v>
      </c>
      <c r="L8" s="16">
        <f t="shared" si="2"/>
        <v>6</v>
      </c>
      <c r="M8" s="17">
        <f t="shared" si="3"/>
        <v>0.75</v>
      </c>
      <c r="N8" s="16" t="str">
        <f t="shared" si="4"/>
        <v>OK</v>
      </c>
      <c r="O8" s="14" t="s">
        <v>29</v>
      </c>
    </row>
    <row r="9" spans="1:15" x14ac:dyDescent="0.25">
      <c r="A9" s="12">
        <f t="shared" si="0"/>
        <v>7</v>
      </c>
      <c r="B9" s="13" t="s">
        <v>30</v>
      </c>
      <c r="C9" s="13" t="s">
        <v>16</v>
      </c>
      <c r="D9" s="14" t="s">
        <v>17</v>
      </c>
      <c r="E9" s="15">
        <v>300</v>
      </c>
      <c r="F9" s="15">
        <v>320</v>
      </c>
      <c r="G9" s="15">
        <f t="shared" si="1"/>
        <v>96000</v>
      </c>
      <c r="H9" s="14" t="s">
        <v>18</v>
      </c>
      <c r="I9" s="16">
        <f>SUMIFS([1]IMPORT!$L$2:$L$93,[1]IMPORT!$J$2:$J$93,[1]CDC!B9)</f>
        <v>0</v>
      </c>
      <c r="J9" s="16">
        <f>SUMIFS([1]IMPORT!$Q$2:$Q$93,[1]IMPORT!$J$2:$J$93,[1]CDC!B9)</f>
        <v>0</v>
      </c>
      <c r="K9" s="16">
        <f>SUMIFS([1]IMPORT!$N$2:$N$93,[1]IMPORT!$J$2:$J$93,[1]CDC!B9)</f>
        <v>0</v>
      </c>
      <c r="L9" s="16">
        <f>E9-I9</f>
        <v>300</v>
      </c>
      <c r="M9" s="17">
        <f>L9/E9</f>
        <v>1</v>
      </c>
      <c r="N9" s="16" t="str">
        <f t="shared" si="4"/>
        <v>OK</v>
      </c>
      <c r="O9" s="14" t="s">
        <v>31</v>
      </c>
    </row>
    <row r="10" spans="1:15" x14ac:dyDescent="0.25">
      <c r="A10" s="12">
        <f t="shared" si="0"/>
        <v>8</v>
      </c>
      <c r="B10" s="13" t="s">
        <v>32</v>
      </c>
      <c r="C10" s="13" t="s">
        <v>16</v>
      </c>
      <c r="D10" s="14" t="s">
        <v>17</v>
      </c>
      <c r="E10" s="15">
        <v>50</v>
      </c>
      <c r="F10" s="15">
        <v>1500</v>
      </c>
      <c r="G10" s="15">
        <f t="shared" si="1"/>
        <v>75000</v>
      </c>
      <c r="H10" s="14" t="s">
        <v>18</v>
      </c>
      <c r="I10" s="16">
        <f>SUMIFS([1]IMPORT!$L$2:$L$93,[1]IMPORT!$J$2:$J$93,[1]CDC!B10)</f>
        <v>0</v>
      </c>
      <c r="J10" s="16">
        <f>SUMIFS([1]IMPORT!$Q$2:$Q$93,[1]IMPORT!$J$2:$J$93,[1]CDC!B10)</f>
        <v>0</v>
      </c>
      <c r="K10" s="16">
        <f>SUMIFS([1]IMPORT!$N$2:$N$93,[1]IMPORT!$J$2:$J$93,[1]CDC!B10)</f>
        <v>0</v>
      </c>
      <c r="L10" s="16">
        <f t="shared" si="2"/>
        <v>50</v>
      </c>
      <c r="M10" s="17">
        <f t="shared" si="3"/>
        <v>1</v>
      </c>
      <c r="N10" s="16" t="str">
        <f t="shared" si="4"/>
        <v>OK</v>
      </c>
      <c r="O10" s="14" t="s">
        <v>33</v>
      </c>
    </row>
    <row r="11" spans="1:15" x14ac:dyDescent="0.25">
      <c r="A11" s="12">
        <f t="shared" si="0"/>
        <v>9</v>
      </c>
      <c r="B11" s="13" t="s">
        <v>34</v>
      </c>
      <c r="C11" s="13" t="s">
        <v>16</v>
      </c>
      <c r="D11" s="14" t="s">
        <v>17</v>
      </c>
      <c r="E11" s="15">
        <v>50</v>
      </c>
      <c r="F11" s="15">
        <v>1500</v>
      </c>
      <c r="G11" s="15">
        <f t="shared" si="1"/>
        <v>75000</v>
      </c>
      <c r="H11" s="14" t="s">
        <v>18</v>
      </c>
      <c r="I11" s="16">
        <f>SUMIFS([1]IMPORT!$L$2:$L$93,[1]IMPORT!$J$2:$J$93,[1]CDC!B11)</f>
        <v>0</v>
      </c>
      <c r="J11" s="16">
        <f>SUMIFS([1]IMPORT!$Q$2:$Q$93,[1]IMPORT!$J$2:$J$93,[1]CDC!B11)</f>
        <v>0</v>
      </c>
      <c r="K11" s="16">
        <f>SUMIFS([1]IMPORT!$N$2:$N$93,[1]IMPORT!$J$2:$J$93,[1]CDC!B11)</f>
        <v>0</v>
      </c>
      <c r="L11" s="16">
        <f t="shared" si="2"/>
        <v>50</v>
      </c>
      <c r="M11" s="17">
        <f t="shared" si="3"/>
        <v>1</v>
      </c>
      <c r="N11" s="16" t="str">
        <f t="shared" si="4"/>
        <v>OK</v>
      </c>
      <c r="O11" s="14" t="s">
        <v>35</v>
      </c>
    </row>
    <row r="12" spans="1:15" x14ac:dyDescent="0.25">
      <c r="A12" s="12">
        <f t="shared" si="0"/>
        <v>10</v>
      </c>
      <c r="B12" s="13" t="s">
        <v>36</v>
      </c>
      <c r="C12" s="13" t="s">
        <v>16</v>
      </c>
      <c r="D12" s="14" t="s">
        <v>17</v>
      </c>
      <c r="E12" s="15">
        <v>40</v>
      </c>
      <c r="F12" s="15">
        <v>3000</v>
      </c>
      <c r="G12" s="15">
        <f t="shared" si="1"/>
        <v>120000</v>
      </c>
      <c r="H12" s="14" t="s">
        <v>18</v>
      </c>
      <c r="I12" s="16">
        <f>SUMIFS([1]IMPORT!$L$2:$L$93,[1]IMPORT!$J$2:$J$93,[1]CDC!B12)</f>
        <v>64</v>
      </c>
      <c r="J12" s="16">
        <f>SUMIFS([1]IMPORT!$Q$2:$Q$93,[1]IMPORT!$J$2:$J$93,[1]CDC!B12)</f>
        <v>20480</v>
      </c>
      <c r="K12" s="16">
        <f>SUMIFS([1]IMPORT!$N$2:$N$93,[1]IMPORT!$J$2:$J$93,[1]CDC!B12)</f>
        <v>4268</v>
      </c>
      <c r="L12" s="16">
        <f t="shared" si="2"/>
        <v>-24</v>
      </c>
      <c r="M12" s="17">
        <f t="shared" si="3"/>
        <v>-0.6</v>
      </c>
      <c r="N12" s="16" t="str">
        <f t="shared" si="4"/>
        <v>CHECK</v>
      </c>
      <c r="O12" s="14" t="s">
        <v>37</v>
      </c>
    </row>
    <row r="13" spans="1:15" x14ac:dyDescent="0.25">
      <c r="A13" s="12">
        <f t="shared" si="0"/>
        <v>11</v>
      </c>
      <c r="B13" s="13" t="s">
        <v>38</v>
      </c>
      <c r="C13" s="13" t="s">
        <v>16</v>
      </c>
      <c r="D13" s="14" t="s">
        <v>17</v>
      </c>
      <c r="E13" s="15">
        <v>300</v>
      </c>
      <c r="F13" s="15">
        <v>500</v>
      </c>
      <c r="G13" s="15">
        <f t="shared" si="1"/>
        <v>150000</v>
      </c>
      <c r="H13" s="14" t="s">
        <v>18</v>
      </c>
      <c r="I13" s="16">
        <f>SUMIFS([1]IMPORT!$L$2:$L$93,[1]IMPORT!$J$2:$J$93,[1]CDC!B13)</f>
        <v>2</v>
      </c>
      <c r="J13" s="16">
        <f>SUMIFS([1]IMPORT!$Q$2:$Q$93,[1]IMPORT!$J$2:$J$93,[1]CDC!B13)</f>
        <v>3000</v>
      </c>
      <c r="K13" s="16">
        <f>SUMIFS([1]IMPORT!$N$2:$N$93,[1]IMPORT!$J$2:$J$93,[1]CDC!B13)</f>
        <v>138</v>
      </c>
      <c r="L13" s="16">
        <f t="shared" si="2"/>
        <v>298</v>
      </c>
      <c r="M13" s="17">
        <f>L13/E13</f>
        <v>0.99333333333333329</v>
      </c>
      <c r="N13" s="16" t="str">
        <f t="shared" si="4"/>
        <v>OK</v>
      </c>
      <c r="O13" s="14" t="s">
        <v>39</v>
      </c>
    </row>
    <row r="14" spans="1:15" x14ac:dyDescent="0.25">
      <c r="A14" s="12">
        <f t="shared" si="0"/>
        <v>12</v>
      </c>
      <c r="B14" s="13" t="s">
        <v>40</v>
      </c>
      <c r="C14" s="13" t="s">
        <v>16</v>
      </c>
      <c r="D14" s="14" t="s">
        <v>17</v>
      </c>
      <c r="E14" s="15">
        <v>50</v>
      </c>
      <c r="F14" s="15">
        <v>550</v>
      </c>
      <c r="G14" s="15">
        <f t="shared" si="1"/>
        <v>27500</v>
      </c>
      <c r="H14" s="14" t="s">
        <v>18</v>
      </c>
      <c r="I14" s="16">
        <f>SUMIFS([1]IMPORT!$L$2:$L$93,[1]IMPORT!$J$2:$J$93,[1]CDC!B14)</f>
        <v>0</v>
      </c>
      <c r="J14" s="16">
        <f>SUMIFS([1]IMPORT!$Q$2:$Q$93,[1]IMPORT!$J$2:$J$93,[1]CDC!B14)</f>
        <v>0</v>
      </c>
      <c r="K14" s="16">
        <f>SUMIFS([1]IMPORT!$N$2:$N$93,[1]IMPORT!$J$2:$J$93,[1]CDC!B14)</f>
        <v>0</v>
      </c>
      <c r="L14" s="16">
        <f>E14-I14</f>
        <v>50</v>
      </c>
      <c r="M14" s="17">
        <f t="shared" si="3"/>
        <v>1</v>
      </c>
      <c r="N14" s="16" t="str">
        <f t="shared" si="4"/>
        <v>OK</v>
      </c>
      <c r="O14" s="14" t="s">
        <v>41</v>
      </c>
    </row>
    <row r="15" spans="1:15" x14ac:dyDescent="0.25">
      <c r="A15" s="12">
        <f t="shared" si="0"/>
        <v>13</v>
      </c>
      <c r="B15" s="13" t="s">
        <v>42</v>
      </c>
      <c r="C15" s="13" t="s">
        <v>16</v>
      </c>
      <c r="D15" s="14" t="s">
        <v>17</v>
      </c>
      <c r="E15" s="15">
        <v>30</v>
      </c>
      <c r="F15" s="15">
        <v>600</v>
      </c>
      <c r="G15" s="15">
        <f t="shared" si="1"/>
        <v>18000</v>
      </c>
      <c r="H15" s="14" t="s">
        <v>18</v>
      </c>
      <c r="I15" s="16">
        <f>SUMIFS([1]IMPORT!$L$2:$L$93,[1]IMPORT!$J$2:$J$93,[1]CDC!B15)</f>
        <v>2</v>
      </c>
      <c r="J15" s="16">
        <f>SUMIFS([1]IMPORT!$Q$2:$Q$93,[1]IMPORT!$J$2:$J$93,[1]CDC!B15)</f>
        <v>6000</v>
      </c>
      <c r="K15" s="16">
        <f>SUMIFS([1]IMPORT!$N$2:$N$93,[1]IMPORT!$J$2:$J$93,[1]CDC!B15)</f>
        <v>380</v>
      </c>
      <c r="L15" s="16">
        <f t="shared" si="2"/>
        <v>28</v>
      </c>
      <c r="M15" s="17">
        <f t="shared" si="3"/>
        <v>0.93333333333333335</v>
      </c>
      <c r="N15" s="16" t="str">
        <f t="shared" si="4"/>
        <v>OK</v>
      </c>
      <c r="O15" s="14" t="s">
        <v>43</v>
      </c>
    </row>
    <row r="16" spans="1:15" x14ac:dyDescent="0.25">
      <c r="A16" s="12">
        <f t="shared" si="0"/>
        <v>14</v>
      </c>
      <c r="B16" s="13" t="s">
        <v>44</v>
      </c>
      <c r="C16" s="13" t="s">
        <v>16</v>
      </c>
      <c r="D16" s="14" t="s">
        <v>17</v>
      </c>
      <c r="E16" s="15">
        <v>100</v>
      </c>
      <c r="F16" s="15">
        <v>1000</v>
      </c>
      <c r="G16" s="15">
        <f t="shared" si="1"/>
        <v>100000</v>
      </c>
      <c r="H16" s="14" t="s">
        <v>18</v>
      </c>
      <c r="I16" s="16">
        <f>SUMIFS([1]IMPORT!$L$2:$L$93,[1]IMPORT!$J$2:$J$93,[1]CDC!B16)</f>
        <v>24</v>
      </c>
      <c r="J16" s="16">
        <f>SUMIFS([1]IMPORT!$Q$2:$Q$93,[1]IMPORT!$J$2:$J$93,[1]CDC!B16)</f>
        <v>12000</v>
      </c>
      <c r="K16" s="16">
        <f>SUMIFS([1]IMPORT!$N$2:$N$93,[1]IMPORT!$J$2:$J$93,[1]CDC!B16)</f>
        <v>1540</v>
      </c>
      <c r="L16" s="16">
        <f t="shared" si="2"/>
        <v>76</v>
      </c>
      <c r="M16" s="17">
        <f t="shared" si="3"/>
        <v>0.76</v>
      </c>
      <c r="N16" s="16" t="str">
        <f t="shared" si="4"/>
        <v>OK</v>
      </c>
      <c r="O16" s="14" t="s">
        <v>45</v>
      </c>
    </row>
    <row r="17" spans="1:15" x14ac:dyDescent="0.25">
      <c r="A17" s="12">
        <f t="shared" si="0"/>
        <v>15</v>
      </c>
      <c r="B17" s="13" t="s">
        <v>46</v>
      </c>
      <c r="C17" s="13" t="s">
        <v>16</v>
      </c>
      <c r="D17" s="14" t="s">
        <v>17</v>
      </c>
      <c r="E17" s="15">
        <v>10</v>
      </c>
      <c r="F17" s="15">
        <v>800</v>
      </c>
      <c r="G17" s="15">
        <f t="shared" si="1"/>
        <v>8000</v>
      </c>
      <c r="H17" s="14" t="s">
        <v>18</v>
      </c>
      <c r="I17" s="16">
        <f>SUMIFS([1]IMPORT!$L$2:$L$93,[1]IMPORT!$J$2:$J$93,[1]CDC!B17)</f>
        <v>46</v>
      </c>
      <c r="J17" s="16">
        <f>SUMIFS([1]IMPORT!$Q$2:$Q$93,[1]IMPORT!$J$2:$J$93,[1]CDC!B17)</f>
        <v>25300</v>
      </c>
      <c r="K17" s="16">
        <f>SUMIFS([1]IMPORT!$N$2:$N$93,[1]IMPORT!$J$2:$J$93,[1]CDC!B17)</f>
        <v>3082</v>
      </c>
      <c r="L17" s="16">
        <f t="shared" si="2"/>
        <v>-36</v>
      </c>
      <c r="M17" s="17">
        <f t="shared" si="3"/>
        <v>-3.6</v>
      </c>
      <c r="N17" s="16" t="str">
        <f t="shared" si="4"/>
        <v>CHECK</v>
      </c>
      <c r="O17" s="14" t="s">
        <v>47</v>
      </c>
    </row>
    <row r="18" spans="1:15" x14ac:dyDescent="0.25">
      <c r="A18" s="12">
        <f t="shared" si="0"/>
        <v>16</v>
      </c>
      <c r="B18" s="13" t="s">
        <v>48</v>
      </c>
      <c r="C18" s="13" t="s">
        <v>16</v>
      </c>
      <c r="D18" s="14" t="s">
        <v>17</v>
      </c>
      <c r="E18" s="15">
        <v>20</v>
      </c>
      <c r="F18" s="15">
        <v>1200</v>
      </c>
      <c r="G18" s="15">
        <f t="shared" si="1"/>
        <v>24000</v>
      </c>
      <c r="H18" s="14" t="s">
        <v>18</v>
      </c>
      <c r="I18" s="16">
        <f>SUMIFS([1]IMPORT!$L$2:$L$93,[1]IMPORT!$J$2:$J$93,[1]CDC!B18)</f>
        <v>0</v>
      </c>
      <c r="J18" s="16">
        <f>SUMIFS([1]IMPORT!$Q$2:$Q$93,[1]IMPORT!$J$2:$J$93,[1]CDC!B18)</f>
        <v>0</v>
      </c>
      <c r="K18" s="16">
        <f>SUMIFS([1]IMPORT!$N$2:$N$93,[1]IMPORT!$J$2:$J$93,[1]CDC!B18)</f>
        <v>0</v>
      </c>
      <c r="L18" s="16">
        <f t="shared" si="2"/>
        <v>20</v>
      </c>
      <c r="M18" s="17">
        <f t="shared" si="3"/>
        <v>1</v>
      </c>
      <c r="N18" s="16" t="str">
        <f t="shared" si="4"/>
        <v>OK</v>
      </c>
      <c r="O18" s="14" t="s">
        <v>49</v>
      </c>
    </row>
    <row r="19" spans="1:15" x14ac:dyDescent="0.25">
      <c r="A19" s="12">
        <f t="shared" si="0"/>
        <v>17</v>
      </c>
      <c r="B19" s="13" t="s">
        <v>50</v>
      </c>
      <c r="C19" s="13" t="s">
        <v>16</v>
      </c>
      <c r="D19" s="14" t="s">
        <v>17</v>
      </c>
      <c r="E19" s="15">
        <v>30</v>
      </c>
      <c r="F19" s="15">
        <v>1000</v>
      </c>
      <c r="G19" s="15">
        <f t="shared" si="1"/>
        <v>30000</v>
      </c>
      <c r="H19" s="14" t="s">
        <v>18</v>
      </c>
      <c r="I19" s="16">
        <f>SUMIFS([1]IMPORT!$L$2:$L$93,[1]IMPORT!$J$2:$J$93,[1]CDC!B19)</f>
        <v>7</v>
      </c>
      <c r="J19" s="16">
        <f>SUMIFS([1]IMPORT!$Q$2:$Q$93,[1]IMPORT!$J$2:$J$93,[1]CDC!B19)</f>
        <v>7000</v>
      </c>
      <c r="K19" s="16">
        <f>SUMIFS([1]IMPORT!$N$2:$N$93,[1]IMPORT!$J$2:$J$93,[1]CDC!B19)</f>
        <v>553</v>
      </c>
      <c r="L19" s="16">
        <f t="shared" si="2"/>
        <v>23</v>
      </c>
      <c r="M19" s="17">
        <f t="shared" si="3"/>
        <v>0.76666666666666672</v>
      </c>
      <c r="N19" s="16" t="str">
        <f t="shared" si="4"/>
        <v>OK</v>
      </c>
      <c r="O19" s="14" t="s">
        <v>51</v>
      </c>
    </row>
    <row r="20" spans="1:15" x14ac:dyDescent="0.25">
      <c r="A20" s="12">
        <f t="shared" si="0"/>
        <v>18</v>
      </c>
      <c r="B20" s="13" t="s">
        <v>52</v>
      </c>
      <c r="C20" s="13" t="s">
        <v>16</v>
      </c>
      <c r="D20" s="14" t="s">
        <v>17</v>
      </c>
      <c r="E20" s="15">
        <v>5</v>
      </c>
      <c r="F20" s="15">
        <v>4000</v>
      </c>
      <c r="G20" s="15">
        <f t="shared" si="1"/>
        <v>20000</v>
      </c>
      <c r="H20" s="14" t="s">
        <v>18</v>
      </c>
      <c r="I20" s="16">
        <f>SUMIFS([1]IMPORT!$L$2:$L$93,[1]IMPORT!$J$2:$J$93,[1]CDC!B20)</f>
        <v>0</v>
      </c>
      <c r="J20" s="16">
        <f>SUMIFS([1]IMPORT!$Q$2:$Q$93,[1]IMPORT!$J$2:$J$93,[1]CDC!B20)</f>
        <v>0</v>
      </c>
      <c r="K20" s="16">
        <f>SUMIFS([1]IMPORT!$N$2:$N$93,[1]IMPORT!$J$2:$J$93,[1]CDC!B20)</f>
        <v>0</v>
      </c>
      <c r="L20" s="16">
        <f t="shared" si="2"/>
        <v>5</v>
      </c>
      <c r="M20" s="17">
        <f t="shared" si="3"/>
        <v>1</v>
      </c>
      <c r="N20" s="16" t="str">
        <f t="shared" si="4"/>
        <v>OK</v>
      </c>
      <c r="O20" s="14" t="s">
        <v>53</v>
      </c>
    </row>
    <row r="21" spans="1:15" x14ac:dyDescent="0.25">
      <c r="A21" s="12">
        <f t="shared" si="0"/>
        <v>19</v>
      </c>
      <c r="B21" s="13" t="s">
        <v>54</v>
      </c>
      <c r="C21" s="13" t="s">
        <v>16</v>
      </c>
      <c r="D21" s="14" t="s">
        <v>17</v>
      </c>
      <c r="E21" s="15">
        <v>10</v>
      </c>
      <c r="F21" s="15">
        <v>5400</v>
      </c>
      <c r="G21" s="15">
        <f t="shared" si="1"/>
        <v>54000</v>
      </c>
      <c r="H21" s="14" t="s">
        <v>18</v>
      </c>
      <c r="I21" s="16">
        <f>SUMIFS([1]IMPORT!$L$2:$L$93,[1]IMPORT!$J$2:$J$93,[1]CDC!B21)</f>
        <v>10</v>
      </c>
      <c r="J21" s="16">
        <f>SUMIFS([1]IMPORT!$Q$2:$Q$93,[1]IMPORT!$J$2:$J$93,[1]CDC!B21)</f>
        <v>12000</v>
      </c>
      <c r="K21" s="16">
        <f>SUMIFS([1]IMPORT!$N$2:$N$93,[1]IMPORT!$J$2:$J$93,[1]CDC!B21)</f>
        <v>820</v>
      </c>
      <c r="L21" s="16">
        <f t="shared" si="2"/>
        <v>0</v>
      </c>
      <c r="M21" s="17">
        <f t="shared" si="3"/>
        <v>0</v>
      </c>
      <c r="N21" s="16" t="str">
        <f t="shared" si="4"/>
        <v>CHECK</v>
      </c>
      <c r="O21" s="14" t="s">
        <v>55</v>
      </c>
    </row>
    <row r="22" spans="1:15" x14ac:dyDescent="0.25">
      <c r="A22" s="12">
        <f t="shared" si="0"/>
        <v>20</v>
      </c>
      <c r="B22" s="13" t="s">
        <v>56</v>
      </c>
      <c r="C22" s="13" t="s">
        <v>16</v>
      </c>
      <c r="D22" s="14" t="s">
        <v>17</v>
      </c>
      <c r="E22" s="15">
        <v>4</v>
      </c>
      <c r="F22" s="15">
        <v>3200</v>
      </c>
      <c r="G22" s="15">
        <f t="shared" si="1"/>
        <v>12800</v>
      </c>
      <c r="H22" s="14" t="s">
        <v>18</v>
      </c>
      <c r="I22" s="16">
        <f>SUMIFS([1]IMPORT!$L$2:$L$93,[1]IMPORT!$J$2:$J$93,[1]CDC!B22)</f>
        <v>0</v>
      </c>
      <c r="J22" s="16">
        <f>SUMIFS([1]IMPORT!$Q$2:$Q$93,[1]IMPORT!$J$2:$J$93,[1]CDC!B22)</f>
        <v>0</v>
      </c>
      <c r="K22" s="16">
        <f>SUMIFS([1]IMPORT!$N$2:$N$93,[1]IMPORT!$J$2:$J$93,[1]CDC!B22)</f>
        <v>0</v>
      </c>
      <c r="L22" s="16">
        <f t="shared" si="2"/>
        <v>4</v>
      </c>
      <c r="M22" s="17">
        <f t="shared" si="3"/>
        <v>1</v>
      </c>
      <c r="N22" s="16" t="str">
        <f t="shared" si="4"/>
        <v>OK</v>
      </c>
      <c r="O22" s="14" t="s">
        <v>57</v>
      </c>
    </row>
    <row r="23" spans="1:15" x14ac:dyDescent="0.25">
      <c r="A23" s="12">
        <f t="shared" si="0"/>
        <v>21</v>
      </c>
      <c r="B23" s="13" t="s">
        <v>58</v>
      </c>
      <c r="C23" s="13" t="s">
        <v>16</v>
      </c>
      <c r="D23" s="14" t="s">
        <v>17</v>
      </c>
      <c r="E23" s="15">
        <v>6</v>
      </c>
      <c r="F23" s="15">
        <v>1000</v>
      </c>
      <c r="G23" s="15">
        <f t="shared" si="1"/>
        <v>6000</v>
      </c>
      <c r="H23" s="14" t="s">
        <v>18</v>
      </c>
      <c r="I23" s="16">
        <f>SUMIFS([1]IMPORT!$L$2:$L$93,[1]IMPORT!$J$2:$J$93,[1]CDC!B23)</f>
        <v>0</v>
      </c>
      <c r="J23" s="16">
        <f>SUMIFS([1]IMPORT!$Q$2:$Q$93,[1]IMPORT!$J$2:$J$93,[1]CDC!B23)</f>
        <v>0</v>
      </c>
      <c r="K23" s="16">
        <f>SUMIFS([1]IMPORT!$N$2:$N$93,[1]IMPORT!$J$2:$J$93,[1]CDC!B23)</f>
        <v>0</v>
      </c>
      <c r="L23" s="16">
        <f t="shared" si="2"/>
        <v>6</v>
      </c>
      <c r="M23" s="17">
        <f t="shared" si="3"/>
        <v>1</v>
      </c>
      <c r="N23" s="16" t="str">
        <f t="shared" si="4"/>
        <v>OK</v>
      </c>
      <c r="O23" s="14" t="s">
        <v>59</v>
      </c>
    </row>
    <row r="24" spans="1:15" x14ac:dyDescent="0.25">
      <c r="A24" s="12">
        <f t="shared" si="0"/>
        <v>22</v>
      </c>
      <c r="B24" s="13" t="s">
        <v>60</v>
      </c>
      <c r="C24" s="13" t="s">
        <v>16</v>
      </c>
      <c r="D24" s="14" t="s">
        <v>17</v>
      </c>
      <c r="E24" s="15">
        <v>20</v>
      </c>
      <c r="F24" s="15">
        <v>1200</v>
      </c>
      <c r="G24" s="15">
        <f t="shared" si="1"/>
        <v>24000</v>
      </c>
      <c r="H24" s="14" t="s">
        <v>18</v>
      </c>
      <c r="I24" s="16">
        <f>SUMIFS([1]IMPORT!$L$2:$L$93,[1]IMPORT!$J$2:$J$93,[1]CDC!B24)</f>
        <v>0</v>
      </c>
      <c r="J24" s="16">
        <f>SUMIFS([1]IMPORT!$Q$2:$Q$93,[1]IMPORT!$J$2:$J$93,[1]CDC!B24)</f>
        <v>0</v>
      </c>
      <c r="K24" s="16">
        <f>SUMIFS([1]IMPORT!$N$2:$N$93,[1]IMPORT!$J$2:$J$93,[1]CDC!B24)</f>
        <v>0</v>
      </c>
      <c r="L24" s="16">
        <f t="shared" si="2"/>
        <v>20</v>
      </c>
      <c r="M24" s="17">
        <f t="shared" si="3"/>
        <v>1</v>
      </c>
      <c r="N24" s="16" t="str">
        <f t="shared" si="4"/>
        <v>OK</v>
      </c>
      <c r="O24" s="14" t="s">
        <v>61</v>
      </c>
    </row>
    <row r="25" spans="1:15" x14ac:dyDescent="0.25">
      <c r="A25" s="12">
        <f t="shared" si="0"/>
        <v>23</v>
      </c>
      <c r="B25" s="13" t="s">
        <v>62</v>
      </c>
      <c r="C25" s="13" t="s">
        <v>16</v>
      </c>
      <c r="D25" s="14" t="s">
        <v>17</v>
      </c>
      <c r="E25" s="15">
        <v>200</v>
      </c>
      <c r="F25" s="15">
        <v>900</v>
      </c>
      <c r="G25" s="15">
        <f t="shared" si="1"/>
        <v>180000</v>
      </c>
      <c r="H25" s="14" t="s">
        <v>18</v>
      </c>
      <c r="I25" s="16">
        <f>SUMIFS([1]IMPORT!$L$2:$L$93,[1]IMPORT!$J$2:$J$93,[1]CDC!B25)</f>
        <v>4</v>
      </c>
      <c r="J25" s="16">
        <f>SUMIFS([1]IMPORT!$Q$2:$Q$93,[1]IMPORT!$J$2:$J$93,[1]CDC!B25)</f>
        <v>12800</v>
      </c>
      <c r="K25" s="16">
        <f>SUMIFS([1]IMPORT!$N$2:$N$93,[1]IMPORT!$J$2:$J$93,[1]CDC!B25)</f>
        <v>1040</v>
      </c>
      <c r="L25" s="16">
        <f t="shared" si="2"/>
        <v>196</v>
      </c>
      <c r="M25" s="17">
        <f t="shared" si="3"/>
        <v>0.98</v>
      </c>
      <c r="N25" s="16" t="str">
        <f t="shared" si="4"/>
        <v>OK</v>
      </c>
      <c r="O25" s="14" t="s">
        <v>63</v>
      </c>
    </row>
    <row r="26" spans="1:15" x14ac:dyDescent="0.25">
      <c r="A26" s="12">
        <f t="shared" si="0"/>
        <v>24</v>
      </c>
      <c r="B26" s="13" t="s">
        <v>64</v>
      </c>
      <c r="C26" s="13" t="s">
        <v>16</v>
      </c>
      <c r="D26" s="14" t="s">
        <v>17</v>
      </c>
      <c r="E26" s="15">
        <v>20</v>
      </c>
      <c r="F26" s="15">
        <v>1000</v>
      </c>
      <c r="G26" s="15">
        <f t="shared" si="1"/>
        <v>20000</v>
      </c>
      <c r="H26" s="14" t="s">
        <v>18</v>
      </c>
      <c r="I26" s="16">
        <f>SUMIFS([1]IMPORT!$L$2:$L$93,[1]IMPORT!$J$2:$J$93,[1]CDC!B26)</f>
        <v>0</v>
      </c>
      <c r="J26" s="16">
        <f>SUMIFS([1]IMPORT!$Q$2:$Q$93,[1]IMPORT!$J$2:$J$93,[1]CDC!B26)</f>
        <v>0</v>
      </c>
      <c r="K26" s="16">
        <f>SUMIFS([1]IMPORT!$N$2:$N$93,[1]IMPORT!$J$2:$J$93,[1]CDC!B26)</f>
        <v>0</v>
      </c>
      <c r="L26" s="16">
        <f t="shared" si="2"/>
        <v>20</v>
      </c>
      <c r="M26" s="17">
        <f t="shared" si="3"/>
        <v>1</v>
      </c>
      <c r="N26" s="16" t="str">
        <f t="shared" si="4"/>
        <v>OK</v>
      </c>
      <c r="O26" s="14" t="s">
        <v>65</v>
      </c>
    </row>
    <row r="27" spans="1:15" x14ac:dyDescent="0.25">
      <c r="A27" s="12">
        <f t="shared" si="0"/>
        <v>25</v>
      </c>
      <c r="B27" s="13" t="s">
        <v>66</v>
      </c>
      <c r="C27" s="13" t="s">
        <v>16</v>
      </c>
      <c r="D27" s="14" t="s">
        <v>17</v>
      </c>
      <c r="E27" s="15">
        <v>5</v>
      </c>
      <c r="F27" s="15">
        <v>2000</v>
      </c>
      <c r="G27" s="15">
        <f t="shared" si="1"/>
        <v>10000</v>
      </c>
      <c r="H27" s="14" t="s">
        <v>18</v>
      </c>
      <c r="I27" s="16">
        <f>SUMIFS([1]IMPORT!$L$2:$L$93,[1]IMPORT!$J$2:$J$93,[1]CDC!B27)</f>
        <v>0</v>
      </c>
      <c r="J27" s="16">
        <f>SUMIFS([1]IMPORT!$Q$2:$Q$93,[1]IMPORT!$J$2:$J$93,[1]CDC!B27)</f>
        <v>0</v>
      </c>
      <c r="K27" s="16">
        <f>SUMIFS([1]IMPORT!$N$2:$N$93,[1]IMPORT!$J$2:$J$93,[1]CDC!B27)</f>
        <v>0</v>
      </c>
      <c r="L27" s="16">
        <f t="shared" si="2"/>
        <v>5</v>
      </c>
      <c r="M27" s="17">
        <f t="shared" si="3"/>
        <v>1</v>
      </c>
      <c r="N27" s="16" t="str">
        <f t="shared" si="4"/>
        <v>OK</v>
      </c>
      <c r="O27" s="14" t="s">
        <v>67</v>
      </c>
    </row>
    <row r="28" spans="1:15" x14ac:dyDescent="0.25">
      <c r="A28" s="12">
        <f t="shared" si="0"/>
        <v>26</v>
      </c>
      <c r="B28" s="13" t="s">
        <v>68</v>
      </c>
      <c r="C28" s="13" t="s">
        <v>16</v>
      </c>
      <c r="D28" s="14" t="s">
        <v>17</v>
      </c>
      <c r="E28" s="15">
        <v>5</v>
      </c>
      <c r="F28" s="15">
        <v>1500</v>
      </c>
      <c r="G28" s="15">
        <f t="shared" si="1"/>
        <v>7500</v>
      </c>
      <c r="H28" s="14" t="s">
        <v>18</v>
      </c>
      <c r="I28" s="16">
        <f>SUMIFS([1]IMPORT!$L$2:$L$93,[1]IMPORT!$J$2:$J$93,[1]CDC!B28)</f>
        <v>0</v>
      </c>
      <c r="J28" s="16">
        <f>SUMIFS([1]IMPORT!$Q$2:$Q$93,[1]IMPORT!$J$2:$J$93,[1]CDC!B28)</f>
        <v>0</v>
      </c>
      <c r="K28" s="16">
        <f>SUMIFS([1]IMPORT!$N$2:$N$93,[1]IMPORT!$J$2:$J$93,[1]CDC!B28)</f>
        <v>0</v>
      </c>
      <c r="L28" s="16">
        <f t="shared" si="2"/>
        <v>5</v>
      </c>
      <c r="M28" s="17">
        <f t="shared" si="3"/>
        <v>1</v>
      </c>
      <c r="N28" s="16" t="str">
        <f t="shared" si="4"/>
        <v>OK</v>
      </c>
      <c r="O28" s="14" t="s">
        <v>69</v>
      </c>
    </row>
    <row r="29" spans="1:15" x14ac:dyDescent="0.25">
      <c r="A29" s="12">
        <f t="shared" si="0"/>
        <v>27</v>
      </c>
      <c r="B29" s="13" t="s">
        <v>70</v>
      </c>
      <c r="C29" s="13" t="s">
        <v>16</v>
      </c>
      <c r="D29" s="14" t="s">
        <v>17</v>
      </c>
      <c r="E29" s="15">
        <v>10</v>
      </c>
      <c r="F29" s="15">
        <v>300</v>
      </c>
      <c r="G29" s="15">
        <f t="shared" si="1"/>
        <v>3000</v>
      </c>
      <c r="H29" s="14" t="s">
        <v>18</v>
      </c>
      <c r="I29" s="16">
        <f>SUMIFS([1]IMPORT!$L$2:$L$93,[1]IMPORT!$J$2:$J$93,[1]CDC!B29)</f>
        <v>0</v>
      </c>
      <c r="J29" s="16">
        <f>SUMIFS([1]IMPORT!$Q$2:$Q$93,[1]IMPORT!$J$2:$J$93,[1]CDC!B29)</f>
        <v>0</v>
      </c>
      <c r="K29" s="16">
        <f>SUMIFS([1]IMPORT!$N$2:$N$93,[1]IMPORT!$J$2:$J$93,[1]CDC!B29)</f>
        <v>0</v>
      </c>
      <c r="L29" s="16">
        <f t="shared" si="2"/>
        <v>10</v>
      </c>
      <c r="M29" s="17">
        <f t="shared" si="3"/>
        <v>1</v>
      </c>
      <c r="N29" s="16" t="str">
        <f t="shared" si="4"/>
        <v>OK</v>
      </c>
      <c r="O29" s="14" t="s">
        <v>71</v>
      </c>
    </row>
    <row r="30" spans="1:15" x14ac:dyDescent="0.25">
      <c r="A30" s="12">
        <f t="shared" si="0"/>
        <v>28</v>
      </c>
      <c r="B30" s="13" t="s">
        <v>72</v>
      </c>
      <c r="C30" s="13" t="s">
        <v>16</v>
      </c>
      <c r="D30" s="14" t="s">
        <v>17</v>
      </c>
      <c r="E30" s="15">
        <v>5</v>
      </c>
      <c r="F30" s="15">
        <v>2500</v>
      </c>
      <c r="G30" s="15">
        <f t="shared" si="1"/>
        <v>12500</v>
      </c>
      <c r="H30" s="14" t="s">
        <v>18</v>
      </c>
      <c r="I30" s="16">
        <f>SUMIFS([1]IMPORT!$L$2:$L$93,[1]IMPORT!$J$2:$J$93,[1]CDC!B30)</f>
        <v>0</v>
      </c>
      <c r="J30" s="16">
        <f>SUMIFS([1]IMPORT!$Q$2:$Q$93,[1]IMPORT!$J$2:$J$93,[1]CDC!B30)</f>
        <v>0</v>
      </c>
      <c r="K30" s="16">
        <f>SUMIFS([1]IMPORT!$N$2:$N$93,[1]IMPORT!$J$2:$J$93,[1]CDC!B30)</f>
        <v>0</v>
      </c>
      <c r="L30" s="16">
        <f t="shared" si="2"/>
        <v>5</v>
      </c>
      <c r="M30" s="17">
        <f t="shared" si="3"/>
        <v>1</v>
      </c>
      <c r="N30" s="16" t="str">
        <f t="shared" si="4"/>
        <v>OK</v>
      </c>
      <c r="O30" s="14" t="s">
        <v>73</v>
      </c>
    </row>
    <row r="31" spans="1:15" x14ac:dyDescent="0.25">
      <c r="A31" s="12">
        <f t="shared" si="0"/>
        <v>29</v>
      </c>
      <c r="B31" s="13" t="s">
        <v>74</v>
      </c>
      <c r="C31" s="13" t="s">
        <v>16</v>
      </c>
      <c r="D31" s="14" t="s">
        <v>17</v>
      </c>
      <c r="E31" s="15">
        <v>2</v>
      </c>
      <c r="F31" s="15">
        <v>2000</v>
      </c>
      <c r="G31" s="15">
        <f t="shared" si="1"/>
        <v>4000</v>
      </c>
      <c r="H31" s="14" t="s">
        <v>18</v>
      </c>
      <c r="I31" s="16">
        <f>SUMIFS([1]IMPORT!$L$2:$L$93,[1]IMPORT!$J$2:$J$93,[1]CDC!B31)</f>
        <v>5</v>
      </c>
      <c r="J31" s="16">
        <f>SUMIFS([1]IMPORT!$Q$2:$Q$93,[1]IMPORT!$J$2:$J$93,[1]CDC!B31)</f>
        <v>7500</v>
      </c>
      <c r="K31" s="16">
        <f>SUMIFS([1]IMPORT!$N$2:$N$93,[1]IMPORT!$J$2:$J$93,[1]CDC!B31)</f>
        <v>370</v>
      </c>
      <c r="L31" s="16">
        <f t="shared" si="2"/>
        <v>-3</v>
      </c>
      <c r="M31" s="17">
        <f t="shared" si="3"/>
        <v>-1.5</v>
      </c>
      <c r="N31" s="16" t="str">
        <f t="shared" si="4"/>
        <v>CHECK</v>
      </c>
      <c r="O31" s="14" t="s">
        <v>75</v>
      </c>
    </row>
    <row r="32" spans="1:15" x14ac:dyDescent="0.25">
      <c r="A32" s="12">
        <f t="shared" si="0"/>
        <v>30</v>
      </c>
      <c r="B32" s="13" t="s">
        <v>76</v>
      </c>
      <c r="C32" s="13" t="s">
        <v>16</v>
      </c>
      <c r="D32" s="14" t="s">
        <v>17</v>
      </c>
      <c r="E32" s="15">
        <v>5</v>
      </c>
      <c r="F32" s="15">
        <v>12000</v>
      </c>
      <c r="G32" s="15">
        <f t="shared" si="1"/>
        <v>60000</v>
      </c>
      <c r="H32" s="14" t="s">
        <v>18</v>
      </c>
      <c r="I32" s="16">
        <f>SUMIFS([1]IMPORT!$L$2:$L$93,[1]IMPORT!$J$2:$J$93,[1]CDC!B32)</f>
        <v>6</v>
      </c>
      <c r="J32" s="16">
        <f>SUMIFS([1]IMPORT!$Q$2:$Q$93,[1]IMPORT!$J$2:$J$93,[1]CDC!B32)</f>
        <v>1800</v>
      </c>
      <c r="K32" s="16">
        <f>SUMIFS([1]IMPORT!$N$2:$N$93,[1]IMPORT!$J$2:$J$93,[1]CDC!B32)</f>
        <v>40.4</v>
      </c>
      <c r="L32" s="16">
        <f t="shared" si="2"/>
        <v>-1</v>
      </c>
      <c r="M32" s="17">
        <f t="shared" si="3"/>
        <v>-0.2</v>
      </c>
      <c r="N32" s="16" t="str">
        <f t="shared" si="4"/>
        <v>CHECK</v>
      </c>
      <c r="O32" s="14" t="s">
        <v>77</v>
      </c>
    </row>
    <row r="33" spans="1:15" x14ac:dyDescent="0.25">
      <c r="A33" s="12">
        <f t="shared" si="0"/>
        <v>31</v>
      </c>
      <c r="B33" s="13" t="s">
        <v>78</v>
      </c>
      <c r="C33" s="13" t="s">
        <v>16</v>
      </c>
      <c r="D33" s="14" t="s">
        <v>17</v>
      </c>
      <c r="E33" s="15">
        <v>4</v>
      </c>
      <c r="F33" s="15">
        <v>5400</v>
      </c>
      <c r="G33" s="15">
        <f t="shared" si="1"/>
        <v>21600</v>
      </c>
      <c r="H33" s="14" t="s">
        <v>18</v>
      </c>
      <c r="I33" s="16">
        <f>SUMIFS([1]IMPORT!$L$2:$L$93,[1]IMPORT!$J$2:$J$93,[1]CDC!B33)</f>
        <v>0</v>
      </c>
      <c r="J33" s="16">
        <f>SUMIFS([1]IMPORT!$Q$2:$Q$93,[1]IMPORT!$J$2:$J$93,[1]CDC!B33)</f>
        <v>0</v>
      </c>
      <c r="K33" s="16">
        <f>SUMIFS([1]IMPORT!$N$2:$N$93,[1]IMPORT!$J$2:$J$93,[1]CDC!B33)</f>
        <v>0</v>
      </c>
      <c r="L33" s="16">
        <f t="shared" si="2"/>
        <v>4</v>
      </c>
      <c r="M33" s="17">
        <f t="shared" si="3"/>
        <v>1</v>
      </c>
      <c r="N33" s="16" t="str">
        <f t="shared" si="4"/>
        <v>OK</v>
      </c>
      <c r="O33" s="14" t="s">
        <v>79</v>
      </c>
    </row>
    <row r="34" spans="1:15" x14ac:dyDescent="0.25">
      <c r="A34" s="12">
        <f t="shared" si="0"/>
        <v>32</v>
      </c>
      <c r="B34" s="13" t="s">
        <v>80</v>
      </c>
      <c r="C34" s="13" t="s">
        <v>16</v>
      </c>
      <c r="D34" s="14" t="s">
        <v>17</v>
      </c>
      <c r="E34" s="15">
        <v>2</v>
      </c>
      <c r="F34" s="15">
        <v>3000</v>
      </c>
      <c r="G34" s="15">
        <f t="shared" si="1"/>
        <v>6000</v>
      </c>
      <c r="H34" s="14" t="s">
        <v>18</v>
      </c>
      <c r="I34" s="16">
        <f>SUMIFS([1]IMPORT!$L$2:$L$93,[1]IMPORT!$J$2:$J$93,[1]CDC!B34)</f>
        <v>0</v>
      </c>
      <c r="J34" s="16">
        <f>SUMIFS([1]IMPORT!$Q$2:$Q$93,[1]IMPORT!$J$2:$J$93,[1]CDC!B34)</f>
        <v>0</v>
      </c>
      <c r="K34" s="16">
        <f>SUMIFS([1]IMPORT!$N$2:$N$93,[1]IMPORT!$J$2:$J$93,[1]CDC!B34)</f>
        <v>0</v>
      </c>
      <c r="L34" s="16">
        <f t="shared" si="2"/>
        <v>2</v>
      </c>
      <c r="M34" s="17">
        <f t="shared" si="3"/>
        <v>1</v>
      </c>
      <c r="N34" s="16" t="str">
        <f t="shared" si="4"/>
        <v>OK</v>
      </c>
      <c r="O34" s="14" t="s">
        <v>81</v>
      </c>
    </row>
    <row r="35" spans="1:15" x14ac:dyDescent="0.25">
      <c r="A35" s="12">
        <f t="shared" si="0"/>
        <v>33</v>
      </c>
      <c r="B35" s="13" t="s">
        <v>82</v>
      </c>
      <c r="C35" s="13" t="s">
        <v>16</v>
      </c>
      <c r="D35" s="14" t="s">
        <v>17</v>
      </c>
      <c r="E35" s="15">
        <v>2</v>
      </c>
      <c r="F35" s="15">
        <v>6000</v>
      </c>
      <c r="G35" s="15">
        <f t="shared" si="1"/>
        <v>12000</v>
      </c>
      <c r="H35" s="14" t="s">
        <v>18</v>
      </c>
      <c r="I35" s="16">
        <f>SUMIFS([1]IMPORT!$L$2:$L$93,[1]IMPORT!$J$2:$J$93,[1]CDC!B35)</f>
        <v>0</v>
      </c>
      <c r="J35" s="16">
        <f>SUMIFS([1]IMPORT!$Q$2:$Q$93,[1]IMPORT!$J$2:$J$93,[1]CDC!B35)</f>
        <v>0</v>
      </c>
      <c r="K35" s="16">
        <f>SUMIFS([1]IMPORT!$N$2:$N$93,[1]IMPORT!$J$2:$J$93,[1]CDC!B35)</f>
        <v>0</v>
      </c>
      <c r="L35" s="16">
        <f t="shared" si="2"/>
        <v>2</v>
      </c>
      <c r="M35" s="17">
        <f t="shared" si="3"/>
        <v>1</v>
      </c>
      <c r="N35" s="16" t="str">
        <f t="shared" si="4"/>
        <v>OK</v>
      </c>
      <c r="O35" s="14" t="s">
        <v>83</v>
      </c>
    </row>
    <row r="36" spans="1:15" x14ac:dyDescent="0.25">
      <c r="A36" s="12">
        <f t="shared" si="0"/>
        <v>34</v>
      </c>
      <c r="B36" s="13" t="s">
        <v>84</v>
      </c>
      <c r="C36" s="13" t="s">
        <v>16</v>
      </c>
      <c r="D36" s="14" t="s">
        <v>17</v>
      </c>
      <c r="E36" s="15">
        <v>5</v>
      </c>
      <c r="F36" s="15">
        <v>2000</v>
      </c>
      <c r="G36" s="15">
        <f t="shared" si="1"/>
        <v>10000</v>
      </c>
      <c r="H36" s="14" t="s">
        <v>18</v>
      </c>
      <c r="I36" s="16">
        <f>SUMIFS([1]IMPORT!$L$2:$L$93,[1]IMPORT!$J$2:$J$93,[1]CDC!B36)</f>
        <v>0</v>
      </c>
      <c r="J36" s="16">
        <f>SUMIFS([1]IMPORT!$Q$2:$Q$93,[1]IMPORT!$J$2:$J$93,[1]CDC!B36)</f>
        <v>0</v>
      </c>
      <c r="K36" s="16">
        <f>SUMIFS([1]IMPORT!$N$2:$N$93,[1]IMPORT!$J$2:$J$93,[1]CDC!B36)</f>
        <v>0</v>
      </c>
      <c r="L36" s="16">
        <f t="shared" si="2"/>
        <v>5</v>
      </c>
      <c r="M36" s="17">
        <f t="shared" si="3"/>
        <v>1</v>
      </c>
      <c r="N36" s="16" t="str">
        <f t="shared" si="4"/>
        <v>OK</v>
      </c>
      <c r="O36" s="14" t="s">
        <v>85</v>
      </c>
    </row>
    <row r="37" spans="1:15" x14ac:dyDescent="0.25">
      <c r="A37" s="12">
        <f t="shared" si="0"/>
        <v>35</v>
      </c>
      <c r="B37" s="13" t="s">
        <v>86</v>
      </c>
      <c r="C37" s="13" t="s">
        <v>16</v>
      </c>
      <c r="D37" s="14" t="s">
        <v>17</v>
      </c>
      <c r="E37" s="15">
        <v>2</v>
      </c>
      <c r="F37" s="15">
        <v>90000</v>
      </c>
      <c r="G37" s="15">
        <f t="shared" si="1"/>
        <v>180000</v>
      </c>
      <c r="H37" s="14" t="s">
        <v>18</v>
      </c>
      <c r="I37" s="16">
        <f>SUMIFS([1]IMPORT!$L$2:$L$93,[1]IMPORT!$J$2:$J$93,[1]CDC!B37)</f>
        <v>0</v>
      </c>
      <c r="J37" s="16">
        <f>SUMIFS([1]IMPORT!$Q$2:$Q$93,[1]IMPORT!$J$2:$J$93,[1]CDC!B37)</f>
        <v>0</v>
      </c>
      <c r="K37" s="16">
        <f>SUMIFS([1]IMPORT!$N$2:$N$93,[1]IMPORT!$J$2:$J$93,[1]CDC!B37)</f>
        <v>0</v>
      </c>
      <c r="L37" s="16">
        <f t="shared" si="2"/>
        <v>2</v>
      </c>
      <c r="M37" s="17">
        <f t="shared" si="3"/>
        <v>1</v>
      </c>
      <c r="N37" s="16" t="str">
        <f t="shared" si="4"/>
        <v>OK</v>
      </c>
      <c r="O37" s="14" t="s">
        <v>87</v>
      </c>
    </row>
    <row r="38" spans="1:15" x14ac:dyDescent="0.25">
      <c r="A38" s="12">
        <f t="shared" si="0"/>
        <v>36</v>
      </c>
      <c r="B38" s="13" t="s">
        <v>88</v>
      </c>
      <c r="C38" s="13" t="s">
        <v>16</v>
      </c>
      <c r="D38" s="14" t="s">
        <v>17</v>
      </c>
      <c r="E38" s="15">
        <v>4</v>
      </c>
      <c r="F38" s="15">
        <v>19000</v>
      </c>
      <c r="G38" s="15">
        <f t="shared" si="1"/>
        <v>76000</v>
      </c>
      <c r="H38" s="14" t="s">
        <v>18</v>
      </c>
      <c r="I38" s="16">
        <f>SUMIFS([1]IMPORT!$L$2:$L$93,[1]IMPORT!$J$2:$J$93,[1]CDC!B38)</f>
        <v>0</v>
      </c>
      <c r="J38" s="16">
        <f>SUMIFS([1]IMPORT!$Q$2:$Q$93,[1]IMPORT!$J$2:$J$93,[1]CDC!B38)</f>
        <v>0</v>
      </c>
      <c r="K38" s="16">
        <f>SUMIFS([1]IMPORT!$N$2:$N$93,[1]IMPORT!$J$2:$J$93,[1]CDC!B38)</f>
        <v>0</v>
      </c>
      <c r="L38" s="16">
        <f t="shared" si="2"/>
        <v>4</v>
      </c>
      <c r="M38" s="17">
        <f t="shared" si="3"/>
        <v>1</v>
      </c>
      <c r="N38" s="16" t="str">
        <f t="shared" si="4"/>
        <v>OK</v>
      </c>
      <c r="O38" s="14" t="s">
        <v>89</v>
      </c>
    </row>
    <row r="39" spans="1:15" x14ac:dyDescent="0.25">
      <c r="A39" s="12">
        <f t="shared" si="0"/>
        <v>37</v>
      </c>
      <c r="B39" s="13" t="s">
        <v>90</v>
      </c>
      <c r="C39" s="13" t="s">
        <v>16</v>
      </c>
      <c r="D39" s="14" t="s">
        <v>17</v>
      </c>
      <c r="E39" s="15">
        <v>8</v>
      </c>
      <c r="F39" s="15">
        <v>4080</v>
      </c>
      <c r="G39" s="15">
        <f t="shared" si="1"/>
        <v>32640</v>
      </c>
      <c r="H39" s="14" t="s">
        <v>18</v>
      </c>
      <c r="I39" s="16">
        <f>SUMIFS([1]IMPORT!$L$2:$L$93,[1]IMPORT!$J$2:$J$93,[1]CDC!B39)</f>
        <v>0</v>
      </c>
      <c r="J39" s="16">
        <f>SUMIFS([1]IMPORT!$Q$2:$Q$93,[1]IMPORT!$J$2:$J$93,[1]CDC!B39)</f>
        <v>0</v>
      </c>
      <c r="K39" s="16">
        <f>SUMIFS([1]IMPORT!$N$2:$N$93,[1]IMPORT!$J$2:$J$93,[1]CDC!B39)</f>
        <v>0</v>
      </c>
      <c r="L39" s="16">
        <f t="shared" si="2"/>
        <v>8</v>
      </c>
      <c r="M39" s="17">
        <f t="shared" si="3"/>
        <v>1</v>
      </c>
      <c r="N39" s="16" t="str">
        <f t="shared" si="4"/>
        <v>OK</v>
      </c>
      <c r="O39" s="14" t="s">
        <v>91</v>
      </c>
    </row>
    <row r="40" spans="1:15" x14ac:dyDescent="0.25">
      <c r="A40" s="12">
        <f t="shared" si="0"/>
        <v>38</v>
      </c>
      <c r="B40" s="13" t="s">
        <v>92</v>
      </c>
      <c r="C40" s="13" t="s">
        <v>16</v>
      </c>
      <c r="D40" s="14" t="s">
        <v>17</v>
      </c>
      <c r="E40" s="15">
        <v>6</v>
      </c>
      <c r="F40" s="15">
        <v>2100</v>
      </c>
      <c r="G40" s="15">
        <f t="shared" si="1"/>
        <v>12600</v>
      </c>
      <c r="H40" s="14" t="s">
        <v>18</v>
      </c>
      <c r="I40" s="16">
        <f>SUMIFS([1]IMPORT!$L$2:$L$93,[1]IMPORT!$J$2:$J$93,[1]CDC!B40)</f>
        <v>0</v>
      </c>
      <c r="J40" s="16">
        <f>SUMIFS([1]IMPORT!$Q$2:$Q$93,[1]IMPORT!$J$2:$J$93,[1]CDC!B40)</f>
        <v>0</v>
      </c>
      <c r="K40" s="16">
        <f>SUMIFS([1]IMPORT!$N$2:$N$93,[1]IMPORT!$J$2:$J$93,[1]CDC!B40)</f>
        <v>0</v>
      </c>
      <c r="L40" s="16">
        <f t="shared" si="2"/>
        <v>6</v>
      </c>
      <c r="M40" s="17">
        <f t="shared" si="3"/>
        <v>1</v>
      </c>
      <c r="N40" s="16" t="str">
        <f t="shared" si="4"/>
        <v>OK</v>
      </c>
      <c r="O40" s="14" t="s">
        <v>93</v>
      </c>
    </row>
    <row r="41" spans="1:15" x14ac:dyDescent="0.25">
      <c r="A41" s="12">
        <f t="shared" si="0"/>
        <v>39</v>
      </c>
      <c r="B41" s="13" t="s">
        <v>94</v>
      </c>
      <c r="C41" s="13" t="s">
        <v>16</v>
      </c>
      <c r="D41" s="14" t="s">
        <v>17</v>
      </c>
      <c r="E41" s="15">
        <v>20</v>
      </c>
      <c r="F41" s="15">
        <v>750</v>
      </c>
      <c r="G41" s="15">
        <f t="shared" si="1"/>
        <v>15000</v>
      </c>
      <c r="H41" s="14" t="s">
        <v>18</v>
      </c>
      <c r="I41" s="16">
        <f>SUMIFS([1]IMPORT!$L$2:$L$93,[1]IMPORT!$J$2:$J$93,[1]CDC!B41)</f>
        <v>1</v>
      </c>
      <c r="J41" s="16">
        <f>SUMIFS([1]IMPORT!$Q$2:$Q$93,[1]IMPORT!$J$2:$J$93,[1]CDC!B41)</f>
        <v>19000</v>
      </c>
      <c r="K41" s="16">
        <f>SUMIFS([1]IMPORT!$N$2:$N$93,[1]IMPORT!$J$2:$J$93,[1]CDC!B41)</f>
        <v>4785.07</v>
      </c>
      <c r="L41" s="16">
        <f t="shared" si="2"/>
        <v>19</v>
      </c>
      <c r="M41" s="17">
        <f t="shared" si="3"/>
        <v>0.95</v>
      </c>
      <c r="N41" s="16" t="str">
        <f t="shared" si="4"/>
        <v>OK</v>
      </c>
      <c r="O41" s="14" t="s">
        <v>95</v>
      </c>
    </row>
    <row r="42" spans="1:15" x14ac:dyDescent="0.25">
      <c r="A42" s="12">
        <f t="shared" si="0"/>
        <v>40</v>
      </c>
      <c r="B42" s="13" t="s">
        <v>96</v>
      </c>
      <c r="C42" s="13" t="s">
        <v>16</v>
      </c>
      <c r="D42" s="14" t="s">
        <v>17</v>
      </c>
      <c r="E42" s="15">
        <v>20</v>
      </c>
      <c r="F42" s="15">
        <v>500</v>
      </c>
      <c r="G42" s="15">
        <f t="shared" si="1"/>
        <v>10000</v>
      </c>
      <c r="H42" s="14" t="s">
        <v>18</v>
      </c>
      <c r="I42" s="16">
        <f>SUMIFS([1]IMPORT!$L$2:$L$93,[1]IMPORT!$J$2:$J$93,[1]CDC!B42)</f>
        <v>0</v>
      </c>
      <c r="J42" s="16">
        <f>SUMIFS([1]IMPORT!$Q$2:$Q$93,[1]IMPORT!$J$2:$J$93,[1]CDC!B42)</f>
        <v>0</v>
      </c>
      <c r="K42" s="16">
        <f>SUMIFS([1]IMPORT!$N$2:$N$93,[1]IMPORT!$J$2:$J$93,[1]CDC!B42)</f>
        <v>0</v>
      </c>
      <c r="L42" s="16">
        <f t="shared" si="2"/>
        <v>20</v>
      </c>
      <c r="M42" s="17">
        <f t="shared" si="3"/>
        <v>1</v>
      </c>
      <c r="N42" s="16" t="str">
        <f t="shared" si="4"/>
        <v>OK</v>
      </c>
      <c r="O42" s="14" t="s">
        <v>97</v>
      </c>
    </row>
    <row r="43" spans="1:15" x14ac:dyDescent="0.25">
      <c r="A43" s="12">
        <f t="shared" si="0"/>
        <v>41</v>
      </c>
      <c r="B43" s="13" t="s">
        <v>98</v>
      </c>
      <c r="C43" s="13" t="s">
        <v>16</v>
      </c>
      <c r="D43" s="14" t="s">
        <v>17</v>
      </c>
      <c r="E43" s="15">
        <v>30</v>
      </c>
      <c r="F43" s="15">
        <v>50</v>
      </c>
      <c r="G43" s="15">
        <f t="shared" si="1"/>
        <v>1500</v>
      </c>
      <c r="H43" s="14" t="s">
        <v>18</v>
      </c>
      <c r="I43" s="16">
        <f>SUMIFS([1]IMPORT!$L$2:$L$93,[1]IMPORT!$J$2:$J$93,[1]CDC!B43)</f>
        <v>1</v>
      </c>
      <c r="J43" s="16">
        <f>SUMIFS([1]IMPORT!$Q$2:$Q$93,[1]IMPORT!$J$2:$J$93,[1]CDC!B43)</f>
        <v>2100</v>
      </c>
      <c r="K43" s="16">
        <f>SUMIFS([1]IMPORT!$N$2:$N$93,[1]IMPORT!$J$2:$J$93,[1]CDC!B43)</f>
        <v>230</v>
      </c>
      <c r="L43" s="16">
        <f t="shared" si="2"/>
        <v>29</v>
      </c>
      <c r="M43" s="17">
        <f t="shared" si="3"/>
        <v>0.96666666666666667</v>
      </c>
      <c r="N43" s="16" t="str">
        <f t="shared" si="4"/>
        <v>OK</v>
      </c>
      <c r="O43" s="14" t="s">
        <v>99</v>
      </c>
    </row>
    <row r="44" spans="1:15" x14ac:dyDescent="0.25">
      <c r="A44" s="12">
        <f t="shared" si="0"/>
        <v>42</v>
      </c>
      <c r="B44" s="13" t="s">
        <v>100</v>
      </c>
      <c r="C44" s="13" t="s">
        <v>16</v>
      </c>
      <c r="D44" s="14" t="s">
        <v>17</v>
      </c>
      <c r="E44" s="15">
        <v>20</v>
      </c>
      <c r="F44" s="15">
        <v>200</v>
      </c>
      <c r="G44" s="15">
        <f t="shared" si="1"/>
        <v>4000</v>
      </c>
      <c r="H44" s="14" t="s">
        <v>18</v>
      </c>
      <c r="I44" s="16">
        <f>SUMIFS([1]IMPORT!$L$2:$L$93,[1]IMPORT!$J$2:$J$93,[1]CDC!B44)</f>
        <v>0</v>
      </c>
      <c r="J44" s="16">
        <f>SUMIFS([1]IMPORT!$Q$2:$Q$93,[1]IMPORT!$J$2:$J$93,[1]CDC!B44)</f>
        <v>0</v>
      </c>
      <c r="K44" s="16">
        <f>SUMIFS([1]IMPORT!$N$2:$N$93,[1]IMPORT!$J$2:$J$93,[1]CDC!B44)</f>
        <v>0</v>
      </c>
      <c r="L44" s="16">
        <f t="shared" si="2"/>
        <v>20</v>
      </c>
      <c r="M44" s="17">
        <f t="shared" si="3"/>
        <v>1</v>
      </c>
      <c r="N44" s="16" t="str">
        <f t="shared" si="4"/>
        <v>OK</v>
      </c>
      <c r="O44" s="14" t="s">
        <v>101</v>
      </c>
    </row>
    <row r="45" spans="1:15" x14ac:dyDescent="0.25">
      <c r="A45" s="12">
        <f t="shared" si="0"/>
        <v>43</v>
      </c>
      <c r="B45" s="13" t="s">
        <v>102</v>
      </c>
      <c r="C45" s="13" t="s">
        <v>16</v>
      </c>
      <c r="D45" s="14" t="s">
        <v>17</v>
      </c>
      <c r="E45" s="15">
        <v>5</v>
      </c>
      <c r="F45" s="15">
        <v>3000</v>
      </c>
      <c r="G45" s="15">
        <f t="shared" si="1"/>
        <v>15000</v>
      </c>
      <c r="H45" s="14" t="s">
        <v>18</v>
      </c>
      <c r="I45" s="16">
        <f>SUMIFS([1]IMPORT!$L$2:$L$93,[1]IMPORT!$J$2:$J$93,[1]CDC!B45)</f>
        <v>0</v>
      </c>
      <c r="J45" s="16">
        <f>SUMIFS([1]IMPORT!$Q$2:$Q$93,[1]IMPORT!$J$2:$J$93,[1]CDC!B45)</f>
        <v>0</v>
      </c>
      <c r="K45" s="16">
        <f>SUMIFS([1]IMPORT!$N$2:$N$93,[1]IMPORT!$J$2:$J$93,[1]CDC!B45)</f>
        <v>0</v>
      </c>
      <c r="L45" s="16">
        <f t="shared" si="2"/>
        <v>5</v>
      </c>
      <c r="M45" s="17">
        <f t="shared" si="3"/>
        <v>1</v>
      </c>
      <c r="N45" s="16" t="str">
        <f t="shared" si="4"/>
        <v>OK</v>
      </c>
      <c r="O45" s="14" t="s">
        <v>103</v>
      </c>
    </row>
    <row r="46" spans="1:15" x14ac:dyDescent="0.25">
      <c r="A46" s="12">
        <f t="shared" si="0"/>
        <v>44</v>
      </c>
      <c r="B46" s="13" t="s">
        <v>104</v>
      </c>
      <c r="C46" s="13" t="s">
        <v>16</v>
      </c>
      <c r="D46" s="14" t="s">
        <v>17</v>
      </c>
      <c r="E46" s="15">
        <v>2</v>
      </c>
      <c r="F46" s="15">
        <v>8000</v>
      </c>
      <c r="G46" s="15">
        <f t="shared" si="1"/>
        <v>16000</v>
      </c>
      <c r="H46" s="14" t="s">
        <v>18</v>
      </c>
      <c r="I46" s="16">
        <f>SUMIFS([1]IMPORT!$L$2:$L$93,[1]IMPORT!$J$2:$J$93,[1]CDC!B46)</f>
        <v>0</v>
      </c>
      <c r="J46" s="16">
        <f>SUMIFS([1]IMPORT!$Q$2:$Q$93,[1]IMPORT!$J$2:$J$93,[1]CDC!B46)</f>
        <v>0</v>
      </c>
      <c r="K46" s="16">
        <f>SUMIFS([1]IMPORT!$N$2:$N$93,[1]IMPORT!$J$2:$J$93,[1]CDC!B46)</f>
        <v>0</v>
      </c>
      <c r="L46" s="16">
        <f t="shared" si="2"/>
        <v>2</v>
      </c>
      <c r="M46" s="17">
        <f t="shared" si="3"/>
        <v>1</v>
      </c>
      <c r="N46" s="16" t="str">
        <f t="shared" si="4"/>
        <v>OK</v>
      </c>
      <c r="O46" s="14" t="s">
        <v>105</v>
      </c>
    </row>
    <row r="47" spans="1:15" x14ac:dyDescent="0.25">
      <c r="A47" s="12">
        <f t="shared" si="0"/>
        <v>45</v>
      </c>
      <c r="B47" s="13" t="s">
        <v>106</v>
      </c>
      <c r="C47" s="13" t="s">
        <v>16</v>
      </c>
      <c r="D47" s="14" t="s">
        <v>17</v>
      </c>
      <c r="E47" s="15">
        <v>200</v>
      </c>
      <c r="F47" s="15">
        <v>10</v>
      </c>
      <c r="G47" s="15">
        <f t="shared" si="1"/>
        <v>2000</v>
      </c>
      <c r="H47" s="14" t="s">
        <v>18</v>
      </c>
      <c r="I47" s="16">
        <f>SUMIFS([1]IMPORT!$L$2:$L$93,[1]IMPORT!$J$2:$J$93,[1]CDC!B47)</f>
        <v>0</v>
      </c>
      <c r="J47" s="16">
        <f>SUMIFS([1]IMPORT!$Q$2:$Q$93,[1]IMPORT!$J$2:$J$93,[1]CDC!B47)</f>
        <v>0</v>
      </c>
      <c r="K47" s="16">
        <f>SUMIFS([1]IMPORT!$N$2:$N$93,[1]IMPORT!$J$2:$J$93,[1]CDC!B47)</f>
        <v>0</v>
      </c>
      <c r="L47" s="16">
        <f t="shared" si="2"/>
        <v>200</v>
      </c>
      <c r="M47" s="17">
        <f t="shared" si="3"/>
        <v>1</v>
      </c>
      <c r="N47" s="16" t="str">
        <f t="shared" si="4"/>
        <v>OK</v>
      </c>
      <c r="O47" s="14" t="s">
        <v>107</v>
      </c>
    </row>
    <row r="48" spans="1:15" x14ac:dyDescent="0.25">
      <c r="A48" s="12">
        <f t="shared" si="0"/>
        <v>46</v>
      </c>
      <c r="B48" s="13" t="s">
        <v>108</v>
      </c>
      <c r="C48" s="13" t="s">
        <v>16</v>
      </c>
      <c r="D48" s="14" t="s">
        <v>17</v>
      </c>
      <c r="E48" s="15">
        <v>2</v>
      </c>
      <c r="F48" s="15">
        <v>15000</v>
      </c>
      <c r="G48" s="15">
        <f t="shared" si="1"/>
        <v>30000</v>
      </c>
      <c r="H48" s="14" t="s">
        <v>18</v>
      </c>
      <c r="I48" s="16">
        <f>SUMIFS([1]IMPORT!$L$2:$L$93,[1]IMPORT!$J$2:$J$93,[1]CDC!B48)</f>
        <v>2</v>
      </c>
      <c r="J48" s="16">
        <f>SUMIFS([1]IMPORT!$Q$2:$Q$93,[1]IMPORT!$J$2:$J$93,[1]CDC!B48)</f>
        <v>6000</v>
      </c>
      <c r="K48" s="16">
        <f>SUMIFS([1]IMPORT!$N$2:$N$93,[1]IMPORT!$J$2:$J$93,[1]CDC!B48)</f>
        <v>1160</v>
      </c>
      <c r="L48" s="16">
        <f t="shared" si="2"/>
        <v>0</v>
      </c>
      <c r="M48" s="17">
        <f t="shared" si="3"/>
        <v>0</v>
      </c>
      <c r="N48" s="16" t="str">
        <f t="shared" si="4"/>
        <v>CHECK</v>
      </c>
      <c r="O48" s="14" t="s">
        <v>109</v>
      </c>
    </row>
    <row r="49" spans="1:15" x14ac:dyDescent="0.25">
      <c r="A49" s="12">
        <f t="shared" si="0"/>
        <v>47</v>
      </c>
      <c r="B49" s="13" t="s">
        <v>110</v>
      </c>
      <c r="C49" s="13" t="s">
        <v>16</v>
      </c>
      <c r="D49" s="14" t="s">
        <v>17</v>
      </c>
      <c r="E49" s="15">
        <v>2</v>
      </c>
      <c r="F49" s="15">
        <v>15000</v>
      </c>
      <c r="G49" s="15">
        <f t="shared" si="1"/>
        <v>30000</v>
      </c>
      <c r="H49" s="14" t="s">
        <v>18</v>
      </c>
      <c r="I49" s="16">
        <f>SUMIFS([1]IMPORT!$L$2:$L$93,[1]IMPORT!$J$2:$J$93,[1]CDC!B49)</f>
        <v>0</v>
      </c>
      <c r="J49" s="16">
        <f>SUMIFS([1]IMPORT!$Q$2:$Q$93,[1]IMPORT!$J$2:$J$93,[1]CDC!B49)</f>
        <v>0</v>
      </c>
      <c r="K49" s="16">
        <f>SUMIFS([1]IMPORT!$N$2:$N$93,[1]IMPORT!$J$2:$J$93,[1]CDC!B49)</f>
        <v>0</v>
      </c>
      <c r="L49" s="16">
        <f t="shared" si="2"/>
        <v>2</v>
      </c>
      <c r="M49" s="17">
        <f t="shared" si="3"/>
        <v>1</v>
      </c>
      <c r="N49" s="16" t="str">
        <f t="shared" si="4"/>
        <v>OK</v>
      </c>
      <c r="O49" s="14" t="s">
        <v>111</v>
      </c>
    </row>
    <row r="50" spans="1:15" x14ac:dyDescent="0.25">
      <c r="A50" s="12">
        <f t="shared" si="0"/>
        <v>48</v>
      </c>
      <c r="B50" s="13" t="s">
        <v>112</v>
      </c>
      <c r="C50" s="13" t="s">
        <v>16</v>
      </c>
      <c r="D50" s="14" t="s">
        <v>17</v>
      </c>
      <c r="E50" s="15">
        <v>5</v>
      </c>
      <c r="F50" s="15">
        <v>5000</v>
      </c>
      <c r="G50" s="15">
        <f t="shared" si="1"/>
        <v>25000</v>
      </c>
      <c r="H50" s="14" t="s">
        <v>18</v>
      </c>
      <c r="I50" s="16">
        <f>SUMIFS([1]IMPORT!$L$2:$L$93,[1]IMPORT!$J$2:$J$93,[1]CDC!B50)</f>
        <v>0</v>
      </c>
      <c r="J50" s="16">
        <f>SUMIFS([1]IMPORT!$Q$2:$Q$93,[1]IMPORT!$J$2:$J$93,[1]CDC!B50)</f>
        <v>0</v>
      </c>
      <c r="K50" s="16">
        <f>SUMIFS([1]IMPORT!$N$2:$N$93,[1]IMPORT!$J$2:$J$93,[1]CDC!B50)</f>
        <v>0</v>
      </c>
      <c r="L50" s="16">
        <f t="shared" si="2"/>
        <v>5</v>
      </c>
      <c r="M50" s="17">
        <f t="shared" si="3"/>
        <v>1</v>
      </c>
      <c r="N50" s="16" t="str">
        <f t="shared" si="4"/>
        <v>OK</v>
      </c>
      <c r="O50" s="14" t="s">
        <v>113</v>
      </c>
    </row>
    <row r="51" spans="1:15" x14ac:dyDescent="0.25">
      <c r="A51" s="12">
        <f t="shared" si="0"/>
        <v>49</v>
      </c>
      <c r="B51" s="13" t="s">
        <v>114</v>
      </c>
      <c r="C51" s="13" t="s">
        <v>16</v>
      </c>
      <c r="D51" s="14" t="s">
        <v>17</v>
      </c>
      <c r="E51" s="15">
        <v>4</v>
      </c>
      <c r="F51" s="15">
        <v>8000</v>
      </c>
      <c r="G51" s="15">
        <f t="shared" si="1"/>
        <v>32000</v>
      </c>
      <c r="H51" s="14" t="s">
        <v>18</v>
      </c>
      <c r="I51" s="16">
        <f>SUMIFS([1]IMPORT!$L$2:$L$93,[1]IMPORT!$J$2:$J$93,[1]CDC!B51)</f>
        <v>0</v>
      </c>
      <c r="J51" s="16">
        <f>SUMIFS([1]IMPORT!$Q$2:$Q$93,[1]IMPORT!$J$2:$J$93,[1]CDC!B51)</f>
        <v>0</v>
      </c>
      <c r="K51" s="16">
        <f>SUMIFS([1]IMPORT!$N$2:$N$93,[1]IMPORT!$J$2:$J$93,[1]CDC!B51)</f>
        <v>0</v>
      </c>
      <c r="L51" s="16">
        <f t="shared" si="2"/>
        <v>4</v>
      </c>
      <c r="M51" s="17">
        <f t="shared" si="3"/>
        <v>1</v>
      </c>
      <c r="N51" s="16" t="str">
        <f t="shared" si="4"/>
        <v>OK</v>
      </c>
      <c r="O51" s="14" t="s">
        <v>115</v>
      </c>
    </row>
    <row r="52" spans="1:15" x14ac:dyDescent="0.25">
      <c r="A52" s="12">
        <f t="shared" si="0"/>
        <v>50</v>
      </c>
      <c r="B52" s="13" t="s">
        <v>116</v>
      </c>
      <c r="C52" s="13" t="s">
        <v>16</v>
      </c>
      <c r="D52" s="14" t="s">
        <v>17</v>
      </c>
      <c r="E52" s="15">
        <v>1</v>
      </c>
      <c r="F52" s="15">
        <v>6000</v>
      </c>
      <c r="G52" s="15">
        <f t="shared" si="1"/>
        <v>6000</v>
      </c>
      <c r="H52" s="14" t="s">
        <v>18</v>
      </c>
      <c r="I52" s="16">
        <f>SUMIFS([1]IMPORT!$L$2:$L$93,[1]IMPORT!$J$2:$J$93,[1]CDC!B52)</f>
        <v>0</v>
      </c>
      <c r="J52" s="16">
        <f>SUMIFS([1]IMPORT!$Q$2:$Q$93,[1]IMPORT!$J$2:$J$93,[1]CDC!B52)</f>
        <v>0</v>
      </c>
      <c r="K52" s="16">
        <f>SUMIFS([1]IMPORT!$N$2:$N$93,[1]IMPORT!$J$2:$J$93,[1]CDC!B52)</f>
        <v>0</v>
      </c>
      <c r="L52" s="16">
        <f t="shared" si="2"/>
        <v>1</v>
      </c>
      <c r="M52" s="17">
        <f t="shared" si="3"/>
        <v>1</v>
      </c>
      <c r="N52" s="16" t="str">
        <f t="shared" si="4"/>
        <v>OK</v>
      </c>
      <c r="O52" s="14" t="s">
        <v>117</v>
      </c>
    </row>
    <row r="53" spans="1:15" x14ac:dyDescent="0.25">
      <c r="A53" s="12">
        <f t="shared" si="0"/>
        <v>51</v>
      </c>
      <c r="B53" s="13" t="s">
        <v>118</v>
      </c>
      <c r="C53" s="13" t="s">
        <v>16</v>
      </c>
      <c r="D53" s="14" t="s">
        <v>17</v>
      </c>
      <c r="E53" s="15">
        <v>5</v>
      </c>
      <c r="F53" s="15">
        <v>7000</v>
      </c>
      <c r="G53" s="15">
        <f t="shared" si="1"/>
        <v>35000</v>
      </c>
      <c r="H53" s="14" t="s">
        <v>18</v>
      </c>
      <c r="I53" s="16">
        <f>SUMIFS([1]IMPORT!$L$2:$L$93,[1]IMPORT!$J$2:$J$93,[1]CDC!B53)</f>
        <v>0</v>
      </c>
      <c r="J53" s="16">
        <f>SUMIFS([1]IMPORT!$Q$2:$Q$93,[1]IMPORT!$J$2:$J$93,[1]CDC!B53)</f>
        <v>0</v>
      </c>
      <c r="K53" s="16">
        <f>SUMIFS([1]IMPORT!$N$2:$N$93,[1]IMPORT!$J$2:$J$93,[1]CDC!B53)</f>
        <v>0</v>
      </c>
      <c r="L53" s="16">
        <f t="shared" si="2"/>
        <v>5</v>
      </c>
      <c r="M53" s="17">
        <f t="shared" si="3"/>
        <v>1</v>
      </c>
      <c r="N53" s="16" t="str">
        <f t="shared" si="4"/>
        <v>OK</v>
      </c>
      <c r="O53" s="14" t="s">
        <v>119</v>
      </c>
    </row>
    <row r="54" spans="1:15" x14ac:dyDescent="0.25">
      <c r="A54" s="12">
        <f t="shared" si="0"/>
        <v>52</v>
      </c>
      <c r="B54" s="13" t="s">
        <v>120</v>
      </c>
      <c r="C54" s="13" t="s">
        <v>16</v>
      </c>
      <c r="D54" s="14" t="s">
        <v>17</v>
      </c>
      <c r="E54" s="15">
        <v>10</v>
      </c>
      <c r="F54" s="15">
        <v>200</v>
      </c>
      <c r="G54" s="15">
        <f t="shared" si="1"/>
        <v>2000</v>
      </c>
      <c r="H54" s="14" t="s">
        <v>18</v>
      </c>
      <c r="I54" s="16">
        <f>SUMIFS([1]IMPORT!$L$2:$L$93,[1]IMPORT!$J$2:$J$93,[1]CDC!B54)</f>
        <v>0</v>
      </c>
      <c r="J54" s="16">
        <f>SUMIFS([1]IMPORT!$Q$2:$Q$93,[1]IMPORT!$J$2:$J$93,[1]CDC!B54)</f>
        <v>0</v>
      </c>
      <c r="K54" s="16">
        <f>SUMIFS([1]IMPORT!$N$2:$N$93,[1]IMPORT!$J$2:$J$93,[1]CDC!B54)</f>
        <v>0</v>
      </c>
      <c r="L54" s="16">
        <f t="shared" si="2"/>
        <v>10</v>
      </c>
      <c r="M54" s="17">
        <f t="shared" si="3"/>
        <v>1</v>
      </c>
      <c r="N54" s="16" t="str">
        <f t="shared" si="4"/>
        <v>OK</v>
      </c>
      <c r="O54" s="14" t="s">
        <v>121</v>
      </c>
    </row>
    <row r="55" spans="1:15" x14ac:dyDescent="0.25">
      <c r="A55" s="12">
        <f t="shared" si="0"/>
        <v>53</v>
      </c>
      <c r="B55" s="13" t="s">
        <v>122</v>
      </c>
      <c r="C55" s="13" t="s">
        <v>16</v>
      </c>
      <c r="D55" s="14" t="s">
        <v>17</v>
      </c>
      <c r="E55" s="15">
        <v>500</v>
      </c>
      <c r="F55" s="15">
        <v>80</v>
      </c>
      <c r="G55" s="15">
        <f t="shared" si="1"/>
        <v>40000</v>
      </c>
      <c r="H55" s="14" t="s">
        <v>18</v>
      </c>
      <c r="I55" s="16">
        <f>SUMIFS([1]IMPORT!$L$2:$L$93,[1]IMPORT!$J$2:$J$93,[1]CDC!B55)</f>
        <v>1</v>
      </c>
      <c r="J55" s="16">
        <f>SUMIFS([1]IMPORT!$Q$2:$Q$93,[1]IMPORT!$J$2:$J$93,[1]CDC!B55)</f>
        <v>6000</v>
      </c>
      <c r="K55" s="16">
        <f>SUMIFS([1]IMPORT!$N$2:$N$93,[1]IMPORT!$J$2:$J$93,[1]CDC!B55)</f>
        <v>903</v>
      </c>
      <c r="L55" s="16">
        <f t="shared" si="2"/>
        <v>499</v>
      </c>
      <c r="M55" s="17">
        <f t="shared" si="3"/>
        <v>0.998</v>
      </c>
      <c r="N55" s="16" t="str">
        <f t="shared" si="4"/>
        <v>OK</v>
      </c>
      <c r="O55" s="14" t="s">
        <v>123</v>
      </c>
    </row>
    <row r="56" spans="1:15" x14ac:dyDescent="0.25">
      <c r="A56" s="12">
        <f t="shared" si="0"/>
        <v>54</v>
      </c>
      <c r="B56" s="13" t="s">
        <v>124</v>
      </c>
      <c r="C56" s="13" t="s">
        <v>16</v>
      </c>
      <c r="D56" s="14" t="s">
        <v>17</v>
      </c>
      <c r="E56" s="15">
        <v>500</v>
      </c>
      <c r="F56" s="15">
        <v>200</v>
      </c>
      <c r="G56" s="15">
        <f t="shared" si="1"/>
        <v>100000</v>
      </c>
      <c r="H56" s="14" t="s">
        <v>18</v>
      </c>
      <c r="I56" s="16">
        <f>SUMIFS([1]IMPORT!$L$2:$L$93,[1]IMPORT!$J$2:$J$93,[1]CDC!B56)</f>
        <v>0</v>
      </c>
      <c r="J56" s="16">
        <f>SUMIFS([1]IMPORT!$Q$2:$Q$93,[1]IMPORT!$J$2:$J$93,[1]CDC!B56)</f>
        <v>0</v>
      </c>
      <c r="K56" s="16">
        <f>SUMIFS([1]IMPORT!$N$2:$N$93,[1]IMPORT!$J$2:$J$93,[1]CDC!B56)</f>
        <v>0</v>
      </c>
      <c r="L56" s="16">
        <f t="shared" si="2"/>
        <v>500</v>
      </c>
      <c r="M56" s="17">
        <f t="shared" si="3"/>
        <v>1</v>
      </c>
      <c r="N56" s="16" t="str">
        <f t="shared" si="4"/>
        <v>OK</v>
      </c>
      <c r="O56" s="14" t="s">
        <v>125</v>
      </c>
    </row>
    <row r="57" spans="1:15" x14ac:dyDescent="0.25">
      <c r="A57" s="12">
        <f t="shared" si="0"/>
        <v>55</v>
      </c>
      <c r="B57" s="13" t="s">
        <v>126</v>
      </c>
      <c r="C57" s="13" t="s">
        <v>16</v>
      </c>
      <c r="D57" s="14" t="s">
        <v>17</v>
      </c>
      <c r="E57" s="15">
        <v>200</v>
      </c>
      <c r="F57" s="15">
        <v>15</v>
      </c>
      <c r="G57" s="15">
        <f t="shared" si="1"/>
        <v>3000</v>
      </c>
      <c r="H57" s="14" t="s">
        <v>18</v>
      </c>
      <c r="I57" s="16">
        <f>SUMIFS([1]IMPORT!$L$2:$L$93,[1]IMPORT!$J$2:$J$93,[1]CDC!B57)</f>
        <v>0</v>
      </c>
      <c r="J57" s="16">
        <f>SUMIFS([1]IMPORT!$Q$2:$Q$93,[1]IMPORT!$J$2:$J$93,[1]CDC!B57)</f>
        <v>0</v>
      </c>
      <c r="K57" s="16">
        <f>SUMIFS([1]IMPORT!$N$2:$N$93,[1]IMPORT!$J$2:$J$93,[1]CDC!B57)</f>
        <v>0</v>
      </c>
      <c r="L57" s="16">
        <f t="shared" si="2"/>
        <v>200</v>
      </c>
      <c r="M57" s="17">
        <f t="shared" si="3"/>
        <v>1</v>
      </c>
      <c r="N57" s="16" t="str">
        <f t="shared" si="4"/>
        <v>OK</v>
      </c>
      <c r="O57" s="14" t="s">
        <v>127</v>
      </c>
    </row>
    <row r="58" spans="1:15" x14ac:dyDescent="0.25">
      <c r="A58" s="12">
        <f t="shared" si="0"/>
        <v>56</v>
      </c>
      <c r="B58" s="13" t="s">
        <v>128</v>
      </c>
      <c r="C58" s="13" t="s">
        <v>16</v>
      </c>
      <c r="D58" s="14" t="s">
        <v>17</v>
      </c>
      <c r="E58" s="15">
        <v>5</v>
      </c>
      <c r="F58" s="15">
        <v>1000</v>
      </c>
      <c r="G58" s="15">
        <f t="shared" si="1"/>
        <v>5000</v>
      </c>
      <c r="H58" s="14" t="s">
        <v>18</v>
      </c>
      <c r="I58" s="16">
        <f>SUMIFS([1]IMPORT!$L$2:$L$93,[1]IMPORT!$J$2:$J$93,[1]CDC!B58)</f>
        <v>0</v>
      </c>
      <c r="J58" s="16">
        <f>SUMIFS([1]IMPORT!$Q$2:$Q$93,[1]IMPORT!$J$2:$J$93,[1]CDC!B58)</f>
        <v>0</v>
      </c>
      <c r="K58" s="16">
        <f>SUMIFS([1]IMPORT!$N$2:$N$93,[1]IMPORT!$J$2:$J$93,[1]CDC!B58)</f>
        <v>0</v>
      </c>
      <c r="L58" s="16">
        <f t="shared" si="2"/>
        <v>5</v>
      </c>
      <c r="M58" s="17">
        <f t="shared" si="3"/>
        <v>1</v>
      </c>
      <c r="N58" s="16" t="str">
        <f t="shared" si="4"/>
        <v>OK</v>
      </c>
      <c r="O58" s="14" t="s">
        <v>129</v>
      </c>
    </row>
    <row r="59" spans="1:15" x14ac:dyDescent="0.25">
      <c r="A59" s="12">
        <f t="shared" si="0"/>
        <v>57</v>
      </c>
      <c r="B59" s="13" t="s">
        <v>130</v>
      </c>
      <c r="C59" s="13" t="s">
        <v>16</v>
      </c>
      <c r="D59" s="14" t="s">
        <v>17</v>
      </c>
      <c r="E59" s="15">
        <v>2</v>
      </c>
      <c r="F59" s="15">
        <v>450</v>
      </c>
      <c r="G59" s="15">
        <f t="shared" si="1"/>
        <v>900</v>
      </c>
      <c r="H59" s="14" t="s">
        <v>18</v>
      </c>
      <c r="I59" s="16">
        <f>SUMIFS([1]IMPORT!$L$2:$L$93,[1]IMPORT!$J$2:$J$93,[1]CDC!B59)</f>
        <v>0</v>
      </c>
      <c r="J59" s="16">
        <f>SUMIFS([1]IMPORT!$Q$2:$Q$93,[1]IMPORT!$J$2:$J$93,[1]CDC!B59)</f>
        <v>0</v>
      </c>
      <c r="K59" s="16">
        <f>SUMIFS([1]IMPORT!$N$2:$N$93,[1]IMPORT!$J$2:$J$93,[1]CDC!B59)</f>
        <v>0</v>
      </c>
      <c r="L59" s="16">
        <f t="shared" si="2"/>
        <v>2</v>
      </c>
      <c r="M59" s="17">
        <f t="shared" si="3"/>
        <v>1</v>
      </c>
      <c r="N59" s="16" t="str">
        <f t="shared" si="4"/>
        <v>OK</v>
      </c>
      <c r="O59" s="14" t="s">
        <v>131</v>
      </c>
    </row>
    <row r="60" spans="1:15" x14ac:dyDescent="0.25">
      <c r="A60" s="12">
        <f t="shared" si="0"/>
        <v>58</v>
      </c>
      <c r="B60" s="13" t="s">
        <v>132</v>
      </c>
      <c r="C60" s="13" t="s">
        <v>16</v>
      </c>
      <c r="D60" s="14" t="s">
        <v>17</v>
      </c>
      <c r="E60" s="15">
        <v>2</v>
      </c>
      <c r="F60" s="15">
        <v>600</v>
      </c>
      <c r="G60" s="15">
        <f t="shared" si="1"/>
        <v>1200</v>
      </c>
      <c r="H60" s="14" t="s">
        <v>18</v>
      </c>
      <c r="I60" s="16">
        <f>SUMIFS([1]IMPORT!$L$2:$L$93,[1]IMPORT!$J$2:$J$93,[1]CDC!B60)</f>
        <v>0</v>
      </c>
      <c r="J60" s="16">
        <f>SUMIFS([1]IMPORT!$Q$2:$Q$93,[1]IMPORT!$J$2:$J$93,[1]CDC!B60)</f>
        <v>0</v>
      </c>
      <c r="K60" s="16">
        <f>SUMIFS([1]IMPORT!$N$2:$N$93,[1]IMPORT!$J$2:$J$93,[1]CDC!B60)</f>
        <v>0</v>
      </c>
      <c r="L60" s="16">
        <f t="shared" si="2"/>
        <v>2</v>
      </c>
      <c r="M60" s="17">
        <f t="shared" si="3"/>
        <v>1</v>
      </c>
      <c r="N60" s="16" t="str">
        <f t="shared" si="4"/>
        <v>OK</v>
      </c>
      <c r="O60" s="14" t="s">
        <v>133</v>
      </c>
    </row>
    <row r="61" spans="1:15" x14ac:dyDescent="0.25">
      <c r="A61" s="12">
        <f t="shared" si="0"/>
        <v>59</v>
      </c>
      <c r="B61" s="13" t="s">
        <v>134</v>
      </c>
      <c r="C61" s="13" t="s">
        <v>16</v>
      </c>
      <c r="D61" s="14" t="s">
        <v>17</v>
      </c>
      <c r="E61" s="15">
        <v>2</v>
      </c>
      <c r="F61" s="15">
        <v>900</v>
      </c>
      <c r="G61" s="15">
        <f t="shared" si="1"/>
        <v>1800</v>
      </c>
      <c r="H61" s="14" t="s">
        <v>18</v>
      </c>
      <c r="I61" s="16">
        <f>SUMIFS([1]IMPORT!$L$2:$L$93,[1]IMPORT!$J$2:$J$93,[1]CDC!B61)</f>
        <v>0</v>
      </c>
      <c r="J61" s="16">
        <f>SUMIFS([1]IMPORT!$Q$2:$Q$93,[1]IMPORT!$J$2:$J$93,[1]CDC!B61)</f>
        <v>0</v>
      </c>
      <c r="K61" s="16">
        <f>SUMIFS([1]IMPORT!$N$2:$N$93,[1]IMPORT!$J$2:$J$93,[1]CDC!B61)</f>
        <v>0</v>
      </c>
      <c r="L61" s="16">
        <f t="shared" si="2"/>
        <v>2</v>
      </c>
      <c r="M61" s="17">
        <f t="shared" si="3"/>
        <v>1</v>
      </c>
      <c r="N61" s="16" t="str">
        <f t="shared" si="4"/>
        <v>OK</v>
      </c>
      <c r="O61" s="14" t="s">
        <v>135</v>
      </c>
    </row>
    <row r="62" spans="1:15" x14ac:dyDescent="0.25">
      <c r="A62" s="12">
        <f t="shared" si="0"/>
        <v>60</v>
      </c>
      <c r="B62" s="13" t="s">
        <v>136</v>
      </c>
      <c r="C62" s="13" t="s">
        <v>16</v>
      </c>
      <c r="D62" s="14" t="s">
        <v>17</v>
      </c>
      <c r="E62" s="15">
        <v>2</v>
      </c>
      <c r="F62" s="15">
        <v>140</v>
      </c>
      <c r="G62" s="15">
        <f t="shared" si="1"/>
        <v>280</v>
      </c>
      <c r="H62" s="14" t="s">
        <v>18</v>
      </c>
      <c r="I62" s="16">
        <f>SUMIFS([1]IMPORT!$L$2:$L$93,[1]IMPORT!$J$2:$J$93,[1]CDC!B62)</f>
        <v>0</v>
      </c>
      <c r="J62" s="16">
        <f>SUMIFS([1]IMPORT!$Q$2:$Q$93,[1]IMPORT!$J$2:$J$93,[1]CDC!B62)</f>
        <v>0</v>
      </c>
      <c r="K62" s="16">
        <f>SUMIFS([1]IMPORT!$N$2:$N$93,[1]IMPORT!$J$2:$J$93,[1]CDC!B62)</f>
        <v>0</v>
      </c>
      <c r="L62" s="16">
        <f t="shared" si="2"/>
        <v>2</v>
      </c>
      <c r="M62" s="17">
        <f t="shared" si="3"/>
        <v>1</v>
      </c>
      <c r="N62" s="16" t="str">
        <f t="shared" si="4"/>
        <v>OK</v>
      </c>
      <c r="O62" s="14" t="s">
        <v>137</v>
      </c>
    </row>
    <row r="63" spans="1:15" x14ac:dyDescent="0.25">
      <c r="A63" s="12">
        <f t="shared" si="0"/>
        <v>61</v>
      </c>
      <c r="B63" s="13" t="s">
        <v>138</v>
      </c>
      <c r="C63" s="13" t="s">
        <v>16</v>
      </c>
      <c r="D63" s="14" t="s">
        <v>17</v>
      </c>
      <c r="E63" s="15">
        <v>2</v>
      </c>
      <c r="F63" s="15">
        <v>2800</v>
      </c>
      <c r="G63" s="15">
        <f t="shared" si="1"/>
        <v>5600</v>
      </c>
      <c r="H63" s="14" t="s">
        <v>18</v>
      </c>
      <c r="I63" s="16">
        <f>SUMIFS([1]IMPORT!$L$2:$L$93,[1]IMPORT!$J$2:$J$93,[1]CDC!B63)</f>
        <v>1</v>
      </c>
      <c r="J63" s="16">
        <f>SUMIFS([1]IMPORT!$Q$2:$Q$93,[1]IMPORT!$J$2:$J$93,[1]CDC!B63)</f>
        <v>600</v>
      </c>
      <c r="K63" s="16">
        <f>SUMIFS([1]IMPORT!$N$2:$N$93,[1]IMPORT!$J$2:$J$93,[1]CDC!B63)</f>
        <v>272.2</v>
      </c>
      <c r="L63" s="16">
        <f t="shared" si="2"/>
        <v>1</v>
      </c>
      <c r="M63" s="17">
        <f t="shared" si="3"/>
        <v>0.5</v>
      </c>
      <c r="N63" s="16" t="str">
        <f t="shared" si="4"/>
        <v>OK</v>
      </c>
      <c r="O63" s="14" t="s">
        <v>139</v>
      </c>
    </row>
    <row r="64" spans="1:15" x14ac:dyDescent="0.25">
      <c r="A64" s="12">
        <f t="shared" si="0"/>
        <v>62</v>
      </c>
      <c r="B64" s="13" t="s">
        <v>140</v>
      </c>
      <c r="C64" s="13" t="s">
        <v>16</v>
      </c>
      <c r="D64" s="14" t="s">
        <v>17</v>
      </c>
      <c r="E64" s="15">
        <v>2</v>
      </c>
      <c r="F64" s="15">
        <v>160</v>
      </c>
      <c r="G64" s="15">
        <f t="shared" si="1"/>
        <v>320</v>
      </c>
      <c r="H64" s="14" t="s">
        <v>18</v>
      </c>
      <c r="I64" s="16">
        <f>SUMIFS([1]IMPORT!$L$2:$L$93,[1]IMPORT!$J$2:$J$93,[1]CDC!B64)</f>
        <v>0</v>
      </c>
      <c r="J64" s="16">
        <f>SUMIFS([1]IMPORT!$Q$2:$Q$93,[1]IMPORT!$J$2:$J$93,[1]CDC!B64)</f>
        <v>0</v>
      </c>
      <c r="K64" s="16">
        <f>SUMIFS([1]IMPORT!$N$2:$N$93,[1]IMPORT!$J$2:$J$93,[1]CDC!B64)</f>
        <v>0</v>
      </c>
      <c r="L64" s="16">
        <f t="shared" si="2"/>
        <v>2</v>
      </c>
      <c r="M64" s="17">
        <f t="shared" si="3"/>
        <v>1</v>
      </c>
      <c r="N64" s="16" t="str">
        <f t="shared" si="4"/>
        <v>OK</v>
      </c>
      <c r="O64" s="14" t="s">
        <v>141</v>
      </c>
    </row>
    <row r="65" spans="1:15" x14ac:dyDescent="0.25">
      <c r="A65" s="12">
        <f t="shared" si="0"/>
        <v>63</v>
      </c>
      <c r="B65" s="13" t="s">
        <v>142</v>
      </c>
      <c r="C65" s="13" t="s">
        <v>16</v>
      </c>
      <c r="D65" s="14" t="s">
        <v>17</v>
      </c>
      <c r="E65" s="15">
        <v>5</v>
      </c>
      <c r="F65" s="15">
        <v>700</v>
      </c>
      <c r="G65" s="15">
        <f t="shared" si="1"/>
        <v>3500</v>
      </c>
      <c r="H65" s="14" t="s">
        <v>18</v>
      </c>
      <c r="I65" s="16">
        <f>SUMIFS([1]IMPORT!$L$2:$L$93,[1]IMPORT!$J$2:$J$93,[1]CDC!B65)</f>
        <v>0</v>
      </c>
      <c r="J65" s="16">
        <f>SUMIFS([1]IMPORT!$Q$2:$Q$93,[1]IMPORT!$J$2:$J$93,[1]CDC!B65)</f>
        <v>0</v>
      </c>
      <c r="K65" s="16">
        <f>SUMIFS([1]IMPORT!$N$2:$N$93,[1]IMPORT!$J$2:$J$93,[1]CDC!B65)</f>
        <v>0</v>
      </c>
      <c r="L65" s="16">
        <f t="shared" si="2"/>
        <v>5</v>
      </c>
      <c r="M65" s="17">
        <f t="shared" si="3"/>
        <v>1</v>
      </c>
      <c r="N65" s="16" t="str">
        <f t="shared" si="4"/>
        <v>OK</v>
      </c>
      <c r="O65" s="14" t="s">
        <v>143</v>
      </c>
    </row>
    <row r="66" spans="1:15" x14ac:dyDescent="0.25">
      <c r="A66" s="12">
        <f t="shared" si="0"/>
        <v>64</v>
      </c>
      <c r="B66" s="13" t="s">
        <v>144</v>
      </c>
      <c r="C66" s="13" t="s">
        <v>16</v>
      </c>
      <c r="D66" s="14" t="s">
        <v>17</v>
      </c>
      <c r="E66" s="15">
        <v>6</v>
      </c>
      <c r="F66" s="15">
        <v>8000</v>
      </c>
      <c r="G66" s="15">
        <f t="shared" si="1"/>
        <v>48000</v>
      </c>
      <c r="H66" s="14" t="s">
        <v>18</v>
      </c>
      <c r="I66" s="16">
        <f>SUMIFS([1]IMPORT!$L$2:$L$93,[1]IMPORT!$J$2:$J$93,[1]CDC!B66)</f>
        <v>0</v>
      </c>
      <c r="J66" s="16">
        <f>SUMIFS([1]IMPORT!$Q$2:$Q$93,[1]IMPORT!$J$2:$J$93,[1]CDC!B66)</f>
        <v>0</v>
      </c>
      <c r="K66" s="16">
        <f>SUMIFS([1]IMPORT!$N$2:$N$93,[1]IMPORT!$J$2:$J$93,[1]CDC!B66)</f>
        <v>0</v>
      </c>
      <c r="L66" s="16">
        <f t="shared" si="2"/>
        <v>6</v>
      </c>
      <c r="M66" s="17">
        <f t="shared" si="3"/>
        <v>1</v>
      </c>
      <c r="N66" s="16" t="str">
        <f t="shared" si="4"/>
        <v>OK</v>
      </c>
      <c r="O66" s="14" t="s">
        <v>145</v>
      </c>
    </row>
    <row r="67" spans="1:15" x14ac:dyDescent="0.25">
      <c r="A67" s="12">
        <f t="shared" si="0"/>
        <v>65</v>
      </c>
      <c r="B67" s="13" t="s">
        <v>146</v>
      </c>
      <c r="C67" s="13" t="s">
        <v>16</v>
      </c>
      <c r="D67" s="14" t="s">
        <v>17</v>
      </c>
      <c r="E67" s="15">
        <v>6</v>
      </c>
      <c r="F67" s="15">
        <v>1700</v>
      </c>
      <c r="G67" s="15">
        <f t="shared" si="1"/>
        <v>10200</v>
      </c>
      <c r="H67" s="14" t="s">
        <v>18</v>
      </c>
      <c r="I67" s="16">
        <f>SUMIFS([1]IMPORT!$L$2:$L$93,[1]IMPORT!$J$2:$J$93,[1]CDC!B67)</f>
        <v>0</v>
      </c>
      <c r="J67" s="16">
        <f>SUMIFS([1]IMPORT!$Q$2:$Q$93,[1]IMPORT!$J$2:$J$93,[1]CDC!B67)</f>
        <v>0</v>
      </c>
      <c r="K67" s="16">
        <f>SUMIFS([1]IMPORT!$N$2:$N$93,[1]IMPORT!$J$2:$J$93,[1]CDC!B67)</f>
        <v>0</v>
      </c>
      <c r="L67" s="16">
        <f t="shared" si="2"/>
        <v>6</v>
      </c>
      <c r="M67" s="17">
        <f t="shared" si="3"/>
        <v>1</v>
      </c>
      <c r="N67" s="16" t="str">
        <f t="shared" si="4"/>
        <v>OK</v>
      </c>
      <c r="O67" s="14" t="s">
        <v>147</v>
      </c>
    </row>
    <row r="68" spans="1:15" x14ac:dyDescent="0.25">
      <c r="A68" s="12">
        <f t="shared" ref="A68:A125" si="5">A67+1</f>
        <v>66</v>
      </c>
      <c r="B68" s="13" t="s">
        <v>148</v>
      </c>
      <c r="C68" s="13" t="s">
        <v>16</v>
      </c>
      <c r="D68" s="14" t="s">
        <v>17</v>
      </c>
      <c r="E68" s="15">
        <v>6</v>
      </c>
      <c r="F68" s="15">
        <v>2500</v>
      </c>
      <c r="G68" s="15">
        <f t="shared" ref="G68:G132" si="6">F68*E68</f>
        <v>15000</v>
      </c>
      <c r="H68" s="14" t="s">
        <v>18</v>
      </c>
      <c r="I68" s="16">
        <f>SUMIFS([1]IMPORT!$L$2:$L$93,[1]IMPORT!$J$2:$J$93,[1]CDC!B68)</f>
        <v>1</v>
      </c>
      <c r="J68" s="16">
        <f>SUMIFS([1]IMPORT!$Q$2:$Q$93,[1]IMPORT!$J$2:$J$93,[1]CDC!B68)</f>
        <v>700</v>
      </c>
      <c r="K68" s="16">
        <f>SUMIFS([1]IMPORT!$N$2:$N$93,[1]IMPORT!$J$2:$J$93,[1]CDC!B68)</f>
        <v>476.2</v>
      </c>
      <c r="L68" s="16">
        <f t="shared" ref="L68:L132" si="7">E68-I68</f>
        <v>5</v>
      </c>
      <c r="M68" s="17">
        <f t="shared" ref="M68:M132" si="8">L68/E68</f>
        <v>0.83333333333333337</v>
      </c>
      <c r="N68" s="16" t="str">
        <f t="shared" ref="N68:N132" si="9">IF(M68&lt;50%,"CHECK","OK")</f>
        <v>OK</v>
      </c>
      <c r="O68" s="14" t="s">
        <v>149</v>
      </c>
    </row>
    <row r="69" spans="1:15" x14ac:dyDescent="0.25">
      <c r="A69" s="12">
        <f t="shared" si="5"/>
        <v>67</v>
      </c>
      <c r="B69" s="13" t="s">
        <v>150</v>
      </c>
      <c r="C69" s="13" t="s">
        <v>16</v>
      </c>
      <c r="D69" s="14" t="s">
        <v>17</v>
      </c>
      <c r="E69" s="15">
        <v>5</v>
      </c>
      <c r="F69" s="15">
        <v>22000</v>
      </c>
      <c r="G69" s="15">
        <f t="shared" si="6"/>
        <v>110000</v>
      </c>
      <c r="H69" s="14" t="s">
        <v>18</v>
      </c>
      <c r="I69" s="16">
        <f>SUMIFS([1]IMPORT!$L$2:$L$93,[1]IMPORT!$J$2:$J$93,[1]CDC!B69)</f>
        <v>0</v>
      </c>
      <c r="J69" s="16">
        <f>SUMIFS([1]IMPORT!$Q$2:$Q$93,[1]IMPORT!$J$2:$J$93,[1]CDC!B69)</f>
        <v>0</v>
      </c>
      <c r="K69" s="16">
        <f>SUMIFS([1]IMPORT!$N$2:$N$93,[1]IMPORT!$J$2:$J$93,[1]CDC!B69)</f>
        <v>0</v>
      </c>
      <c r="L69" s="16">
        <f t="shared" si="7"/>
        <v>5</v>
      </c>
      <c r="M69" s="17">
        <f t="shared" si="8"/>
        <v>1</v>
      </c>
      <c r="N69" s="16" t="str">
        <f t="shared" si="9"/>
        <v>OK</v>
      </c>
      <c r="O69" s="14" t="s">
        <v>151</v>
      </c>
    </row>
    <row r="70" spans="1:15" x14ac:dyDescent="0.25">
      <c r="A70" s="12">
        <f t="shared" si="5"/>
        <v>68</v>
      </c>
      <c r="B70" s="13" t="s">
        <v>152</v>
      </c>
      <c r="C70" s="13" t="s">
        <v>16</v>
      </c>
      <c r="D70" s="14" t="s">
        <v>17</v>
      </c>
      <c r="E70" s="15">
        <v>2</v>
      </c>
      <c r="F70" s="15">
        <v>8000</v>
      </c>
      <c r="G70" s="15">
        <f t="shared" si="6"/>
        <v>16000</v>
      </c>
      <c r="H70" s="14" t="s">
        <v>18</v>
      </c>
      <c r="I70" s="16">
        <f>SUMIFS([1]IMPORT!$L$2:$L$93,[1]IMPORT!$J$2:$J$93,[1]CDC!B70)</f>
        <v>0</v>
      </c>
      <c r="J70" s="16">
        <f>SUMIFS([1]IMPORT!$Q$2:$Q$93,[1]IMPORT!$J$2:$J$93,[1]CDC!B70)</f>
        <v>0</v>
      </c>
      <c r="K70" s="16">
        <f>SUMIFS([1]IMPORT!$N$2:$N$93,[1]IMPORT!$J$2:$J$93,[1]CDC!B70)</f>
        <v>0</v>
      </c>
      <c r="L70" s="16">
        <f t="shared" si="7"/>
        <v>2</v>
      </c>
      <c r="M70" s="17">
        <f t="shared" si="8"/>
        <v>1</v>
      </c>
      <c r="N70" s="16" t="str">
        <f t="shared" si="9"/>
        <v>OK</v>
      </c>
      <c r="O70" s="14" t="s">
        <v>153</v>
      </c>
    </row>
    <row r="71" spans="1:15" x14ac:dyDescent="0.25">
      <c r="A71" s="12">
        <f t="shared" si="5"/>
        <v>69</v>
      </c>
      <c r="B71" s="13" t="s">
        <v>154</v>
      </c>
      <c r="C71" s="13" t="s">
        <v>16</v>
      </c>
      <c r="D71" s="14" t="s">
        <v>17</v>
      </c>
      <c r="E71" s="15">
        <v>70</v>
      </c>
      <c r="F71" s="15">
        <v>80</v>
      </c>
      <c r="G71" s="15">
        <f t="shared" si="6"/>
        <v>5600</v>
      </c>
      <c r="H71" s="14" t="s">
        <v>18</v>
      </c>
      <c r="I71" s="16">
        <f>SUMIFS([1]IMPORT!$L$2:$L$93,[1]IMPORT!$J$2:$J$93,[1]CDC!B71)</f>
        <v>0</v>
      </c>
      <c r="J71" s="16">
        <f>SUMIFS([1]IMPORT!$Q$2:$Q$93,[1]IMPORT!$J$2:$J$93,[1]CDC!B71)</f>
        <v>0</v>
      </c>
      <c r="K71" s="16">
        <f>SUMIFS([1]IMPORT!$N$2:$N$93,[1]IMPORT!$J$2:$J$93,[1]CDC!B71)</f>
        <v>0</v>
      </c>
      <c r="L71" s="16">
        <f t="shared" si="7"/>
        <v>70</v>
      </c>
      <c r="M71" s="17">
        <f t="shared" si="8"/>
        <v>1</v>
      </c>
      <c r="N71" s="16" t="str">
        <f t="shared" si="9"/>
        <v>OK</v>
      </c>
      <c r="O71" s="14" t="s">
        <v>155</v>
      </c>
    </row>
    <row r="72" spans="1:15" x14ac:dyDescent="0.25">
      <c r="A72" s="18">
        <f t="shared" si="5"/>
        <v>70</v>
      </c>
      <c r="B72" s="19" t="s">
        <v>156</v>
      </c>
      <c r="C72" s="19" t="s">
        <v>16</v>
      </c>
      <c r="D72" s="20" t="s">
        <v>17</v>
      </c>
      <c r="E72" s="21">
        <v>70</v>
      </c>
      <c r="F72" s="21">
        <v>200</v>
      </c>
      <c r="G72" s="21">
        <f t="shared" si="6"/>
        <v>14000</v>
      </c>
      <c r="H72" s="20" t="s">
        <v>18</v>
      </c>
      <c r="I72" s="22">
        <f>SUMIFS([1]IMPORT!$L$2:$L$93,[1]IMPORT!$J$2:$J$93,[1]CDC!B72)</f>
        <v>0</v>
      </c>
      <c r="J72" s="22">
        <f>SUMIFS([1]IMPORT!$Q$2:$Q$93,[1]IMPORT!$J$2:$J$93,[1]CDC!B72)</f>
        <v>0</v>
      </c>
      <c r="K72" s="22">
        <f>SUMIFS([1]IMPORT!$N$2:$N$93,[1]IMPORT!$J$2:$J$93,[1]CDC!B72)</f>
        <v>0</v>
      </c>
      <c r="L72" s="22">
        <f t="shared" si="7"/>
        <v>70</v>
      </c>
      <c r="M72" s="23">
        <f t="shared" si="8"/>
        <v>1</v>
      </c>
      <c r="N72" s="22" t="str">
        <f t="shared" si="9"/>
        <v>OK</v>
      </c>
      <c r="O72" s="20" t="s">
        <v>157</v>
      </c>
    </row>
    <row r="73" spans="1:15" x14ac:dyDescent="0.25">
      <c r="A73" s="12">
        <f t="shared" si="5"/>
        <v>71</v>
      </c>
      <c r="B73" s="13" t="s">
        <v>158</v>
      </c>
      <c r="C73" s="13" t="s">
        <v>16</v>
      </c>
      <c r="D73" s="14" t="s">
        <v>17</v>
      </c>
      <c r="E73" s="15">
        <v>30</v>
      </c>
      <c r="F73" s="15">
        <v>1000</v>
      </c>
      <c r="G73" s="15">
        <f t="shared" si="6"/>
        <v>30000</v>
      </c>
      <c r="H73" s="14" t="s">
        <v>18</v>
      </c>
      <c r="I73" s="16">
        <f>SUMIFS([1]IMPORT!$L$2:$L$93,[1]IMPORT!$J$2:$J$93,[1]CDC!B73)</f>
        <v>1</v>
      </c>
      <c r="J73" s="16">
        <f>SUMIFS([1]IMPORT!$Q$2:$Q$93,[1]IMPORT!$J$2:$J$93,[1]CDC!B73)</f>
        <v>8000</v>
      </c>
      <c r="K73" s="16">
        <f>SUMIFS([1]IMPORT!$N$2:$N$93,[1]IMPORT!$J$2:$J$93,[1]CDC!B73)</f>
        <v>3360.6</v>
      </c>
      <c r="L73" s="16">
        <f t="shared" si="7"/>
        <v>29</v>
      </c>
      <c r="M73" s="17">
        <f t="shared" si="8"/>
        <v>0.96666666666666667</v>
      </c>
      <c r="N73" s="16" t="str">
        <f t="shared" si="9"/>
        <v>OK</v>
      </c>
      <c r="O73" s="14" t="s">
        <v>159</v>
      </c>
    </row>
    <row r="74" spans="1:15" x14ac:dyDescent="0.25">
      <c r="A74" s="12">
        <f t="shared" si="5"/>
        <v>72</v>
      </c>
      <c r="B74" s="13" t="s">
        <v>160</v>
      </c>
      <c r="C74" s="13" t="s">
        <v>16</v>
      </c>
      <c r="D74" s="14" t="s">
        <v>17</v>
      </c>
      <c r="E74" s="15">
        <v>1</v>
      </c>
      <c r="F74" s="15">
        <v>60000</v>
      </c>
      <c r="G74" s="15">
        <f t="shared" si="6"/>
        <v>60000</v>
      </c>
      <c r="H74" s="14" t="s">
        <v>18</v>
      </c>
      <c r="I74" s="16">
        <f>SUMIFS([1]IMPORT!$L$2:$L$93,[1]IMPORT!$J$2:$J$93,[1]CDC!B74)</f>
        <v>0</v>
      </c>
      <c r="J74" s="16">
        <f>SUMIFS([1]IMPORT!$Q$2:$Q$93,[1]IMPORT!$J$2:$J$93,[1]CDC!B74)</f>
        <v>0</v>
      </c>
      <c r="K74" s="16">
        <f>SUMIFS([1]IMPORT!$N$2:$N$93,[1]IMPORT!$J$2:$J$93,[1]CDC!B74)</f>
        <v>0</v>
      </c>
      <c r="L74" s="16">
        <f t="shared" si="7"/>
        <v>1</v>
      </c>
      <c r="M74" s="17">
        <f t="shared" si="8"/>
        <v>1</v>
      </c>
      <c r="N74" s="16" t="str">
        <f t="shared" si="9"/>
        <v>OK</v>
      </c>
      <c r="O74" s="14" t="s">
        <v>161</v>
      </c>
    </row>
    <row r="75" spans="1:15" x14ac:dyDescent="0.25">
      <c r="A75" s="12">
        <f t="shared" si="5"/>
        <v>73</v>
      </c>
      <c r="B75" s="13" t="s">
        <v>162</v>
      </c>
      <c r="C75" s="13" t="s">
        <v>16</v>
      </c>
      <c r="D75" s="14" t="s">
        <v>17</v>
      </c>
      <c r="E75" s="15">
        <v>5</v>
      </c>
      <c r="F75" s="15">
        <v>3500</v>
      </c>
      <c r="G75" s="15">
        <f t="shared" si="6"/>
        <v>17500</v>
      </c>
      <c r="H75" s="14" t="s">
        <v>18</v>
      </c>
      <c r="I75" s="16">
        <f>SUMIFS([1]IMPORT!$L$2:$L$93,[1]IMPORT!$J$2:$J$93,[1]CDC!B75)</f>
        <v>20</v>
      </c>
      <c r="J75" s="16">
        <f>SUMIFS([1]IMPORT!$Q$2:$Q$93,[1]IMPORT!$J$2:$J$93,[1]CDC!B75)</f>
        <v>4000</v>
      </c>
      <c r="K75" s="16">
        <f>SUMIFS([1]IMPORT!$N$2:$N$93,[1]IMPORT!$J$2:$J$93,[1]CDC!B75)</f>
        <v>1180</v>
      </c>
      <c r="L75" s="16">
        <f t="shared" si="7"/>
        <v>-15</v>
      </c>
      <c r="M75" s="17">
        <f t="shared" si="8"/>
        <v>-3</v>
      </c>
      <c r="N75" s="16" t="str">
        <f t="shared" si="9"/>
        <v>CHECK</v>
      </c>
      <c r="O75" s="14" t="s">
        <v>163</v>
      </c>
    </row>
    <row r="76" spans="1:15" x14ac:dyDescent="0.25">
      <c r="A76" s="24">
        <f t="shared" si="5"/>
        <v>74</v>
      </c>
      <c r="B76" s="25" t="s">
        <v>164</v>
      </c>
      <c r="C76" s="25" t="s">
        <v>16</v>
      </c>
      <c r="D76" s="26" t="s">
        <v>17</v>
      </c>
      <c r="E76" s="27">
        <v>0</v>
      </c>
      <c r="F76" s="27">
        <v>10</v>
      </c>
      <c r="G76" s="27">
        <f t="shared" si="6"/>
        <v>0</v>
      </c>
      <c r="H76" s="26" t="s">
        <v>18</v>
      </c>
      <c r="I76" s="16">
        <f>SUMIFS([1]IMPORT!$L$2:$L$93,[1]IMPORT!$J$2:$J$93,[1]CDC!B76)</f>
        <v>0</v>
      </c>
      <c r="J76" s="16">
        <f>SUMIFS([1]IMPORT!$Q$2:$Q$93,[1]IMPORT!$J$2:$J$93,[1]CDC!B76)</f>
        <v>0</v>
      </c>
      <c r="K76" s="16">
        <f>SUMIFS([1]IMPORT!$N$2:$N$93,[1]IMPORT!$J$2:$J$93,[1]CDC!B76)</f>
        <v>0</v>
      </c>
      <c r="L76" s="16">
        <f t="shared" si="7"/>
        <v>0</v>
      </c>
      <c r="M76" s="17">
        <v>0</v>
      </c>
      <c r="N76" s="16" t="str">
        <f t="shared" si="9"/>
        <v>CHECK</v>
      </c>
      <c r="O76" s="26" t="s">
        <v>165</v>
      </c>
    </row>
    <row r="77" spans="1:15" x14ac:dyDescent="0.25">
      <c r="A77" s="24">
        <f t="shared" si="5"/>
        <v>75</v>
      </c>
      <c r="B77" s="25" t="s">
        <v>166</v>
      </c>
      <c r="C77" s="25" t="s">
        <v>16</v>
      </c>
      <c r="D77" s="26" t="s">
        <v>17</v>
      </c>
      <c r="E77" s="27">
        <v>0</v>
      </c>
      <c r="F77" s="27">
        <v>35</v>
      </c>
      <c r="G77" s="27">
        <f t="shared" si="6"/>
        <v>0</v>
      </c>
      <c r="H77" s="26" t="s">
        <v>18</v>
      </c>
      <c r="I77" s="16">
        <f>SUMIFS([1]IMPORT!$L$2:$L$93,[1]IMPORT!$J$2:$J$93,[1]CDC!B77)</f>
        <v>1</v>
      </c>
      <c r="J77" s="16">
        <f>SUMIFS([1]IMPORT!$Q$2:$Q$93,[1]IMPORT!$J$2:$J$93,[1]CDC!B77)</f>
        <v>11000</v>
      </c>
      <c r="K77" s="16">
        <f>SUMIFS([1]IMPORT!$N$2:$N$93,[1]IMPORT!$J$2:$J$93,[1]CDC!B77)</f>
        <v>2415</v>
      </c>
      <c r="L77" s="16">
        <f t="shared" si="7"/>
        <v>-1</v>
      </c>
      <c r="M77" s="17">
        <v>0</v>
      </c>
      <c r="N77" s="16" t="str">
        <f t="shared" si="9"/>
        <v>CHECK</v>
      </c>
      <c r="O77" s="26" t="s">
        <v>167</v>
      </c>
    </row>
    <row r="78" spans="1:15" x14ac:dyDescent="0.25">
      <c r="A78" s="24">
        <f t="shared" si="5"/>
        <v>76</v>
      </c>
      <c r="B78" s="25" t="s">
        <v>168</v>
      </c>
      <c r="C78" s="25" t="s">
        <v>16</v>
      </c>
      <c r="D78" s="26" t="s">
        <v>169</v>
      </c>
      <c r="E78" s="27">
        <v>0</v>
      </c>
      <c r="F78" s="27">
        <v>180</v>
      </c>
      <c r="G78" s="27">
        <f t="shared" si="6"/>
        <v>0</v>
      </c>
      <c r="H78" s="26" t="s">
        <v>18</v>
      </c>
      <c r="I78" s="16">
        <f>SUMIFS([1]IMPORT!$L$2:$L$93,[1]IMPORT!$J$2:$J$93,[1]CDC!B78)</f>
        <v>0</v>
      </c>
      <c r="J78" s="16">
        <f>SUMIFS([1]IMPORT!$Q$2:$Q$93,[1]IMPORT!$J$2:$J$93,[1]CDC!B78)</f>
        <v>0</v>
      </c>
      <c r="K78" s="16">
        <f>SUMIFS([1]IMPORT!$N$2:$N$93,[1]IMPORT!$J$2:$J$93,[1]CDC!B78)</f>
        <v>0</v>
      </c>
      <c r="L78" s="16">
        <f t="shared" si="7"/>
        <v>0</v>
      </c>
      <c r="M78" s="17">
        <v>0</v>
      </c>
      <c r="N78" s="16" t="str">
        <f t="shared" si="9"/>
        <v>CHECK</v>
      </c>
      <c r="O78" s="26" t="s">
        <v>170</v>
      </c>
    </row>
    <row r="79" spans="1:15" x14ac:dyDescent="0.25">
      <c r="A79" s="24">
        <f t="shared" si="5"/>
        <v>77</v>
      </c>
      <c r="B79" s="25" t="s">
        <v>171</v>
      </c>
      <c r="C79" s="25" t="s">
        <v>16</v>
      </c>
      <c r="D79" s="26" t="s">
        <v>169</v>
      </c>
      <c r="E79" s="27">
        <v>0</v>
      </c>
      <c r="F79" s="27">
        <v>60</v>
      </c>
      <c r="G79" s="27">
        <f t="shared" si="6"/>
        <v>0</v>
      </c>
      <c r="H79" s="26" t="s">
        <v>18</v>
      </c>
      <c r="I79" s="16">
        <f>SUMIFS([1]IMPORT!$L$2:$L$93,[1]IMPORT!$J$2:$J$93,[1]CDC!B79)</f>
        <v>0</v>
      </c>
      <c r="J79" s="16">
        <f>SUMIFS([1]IMPORT!$Q$2:$Q$93,[1]IMPORT!$J$2:$J$93,[1]CDC!B79)</f>
        <v>0</v>
      </c>
      <c r="K79" s="16">
        <f>SUMIFS([1]IMPORT!$N$2:$N$93,[1]IMPORT!$J$2:$J$93,[1]CDC!B79)</f>
        <v>0</v>
      </c>
      <c r="L79" s="16">
        <f t="shared" si="7"/>
        <v>0</v>
      </c>
      <c r="M79" s="17">
        <v>0</v>
      </c>
      <c r="N79" s="16" t="str">
        <f t="shared" si="9"/>
        <v>CHECK</v>
      </c>
      <c r="O79" s="26" t="s">
        <v>172</v>
      </c>
    </row>
    <row r="80" spans="1:15" x14ac:dyDescent="0.25">
      <c r="A80" s="24">
        <f t="shared" si="5"/>
        <v>78</v>
      </c>
      <c r="B80" s="25" t="s">
        <v>173</v>
      </c>
      <c r="C80" s="25" t="s">
        <v>16</v>
      </c>
      <c r="D80" s="26" t="s">
        <v>174</v>
      </c>
      <c r="E80" s="27">
        <v>0</v>
      </c>
      <c r="F80" s="27">
        <v>20</v>
      </c>
      <c r="G80" s="27">
        <f t="shared" si="6"/>
        <v>0</v>
      </c>
      <c r="H80" s="26" t="s">
        <v>18</v>
      </c>
      <c r="I80" s="16">
        <f>SUMIFS([1]IMPORT!$L$2:$L$93,[1]IMPORT!$J$2:$J$93,[1]CDC!B80)</f>
        <v>0</v>
      </c>
      <c r="J80" s="16">
        <f>SUMIFS([1]IMPORT!$Q$2:$Q$93,[1]IMPORT!$J$2:$J$93,[1]CDC!B80)</f>
        <v>0</v>
      </c>
      <c r="K80" s="16">
        <f>SUMIFS([1]IMPORT!$N$2:$N$93,[1]IMPORT!$J$2:$J$93,[1]CDC!B80)</f>
        <v>0</v>
      </c>
      <c r="L80" s="16">
        <f t="shared" si="7"/>
        <v>0</v>
      </c>
      <c r="M80" s="17">
        <v>0</v>
      </c>
      <c r="N80" s="16" t="str">
        <f t="shared" si="9"/>
        <v>CHECK</v>
      </c>
      <c r="O80" s="26" t="s">
        <v>175</v>
      </c>
    </row>
    <row r="81" spans="1:15" x14ac:dyDescent="0.25">
      <c r="A81" s="24">
        <f t="shared" si="5"/>
        <v>79</v>
      </c>
      <c r="B81" s="25" t="s">
        <v>176</v>
      </c>
      <c r="C81" s="25" t="s">
        <v>16</v>
      </c>
      <c r="D81" s="26" t="s">
        <v>174</v>
      </c>
      <c r="E81" s="27">
        <v>0</v>
      </c>
      <c r="F81" s="27">
        <v>65</v>
      </c>
      <c r="G81" s="27">
        <f t="shared" si="6"/>
        <v>0</v>
      </c>
      <c r="H81" s="26" t="s">
        <v>18</v>
      </c>
      <c r="I81" s="16">
        <f>SUMIFS([1]IMPORT!$L$2:$L$93,[1]IMPORT!$J$2:$J$93,[1]CDC!B81)</f>
        <v>0</v>
      </c>
      <c r="J81" s="16">
        <f>SUMIFS([1]IMPORT!$Q$2:$Q$93,[1]IMPORT!$J$2:$J$93,[1]CDC!B81)</f>
        <v>0</v>
      </c>
      <c r="K81" s="16">
        <f>SUMIFS([1]IMPORT!$N$2:$N$93,[1]IMPORT!$J$2:$J$93,[1]CDC!B81)</f>
        <v>0</v>
      </c>
      <c r="L81" s="16">
        <f t="shared" si="7"/>
        <v>0</v>
      </c>
      <c r="M81" s="17">
        <v>0</v>
      </c>
      <c r="N81" s="16" t="str">
        <f t="shared" si="9"/>
        <v>CHECK</v>
      </c>
      <c r="O81" s="26" t="s">
        <v>177</v>
      </c>
    </row>
    <row r="82" spans="1:15" x14ac:dyDescent="0.25">
      <c r="A82" s="24">
        <f t="shared" si="5"/>
        <v>80</v>
      </c>
      <c r="B82" s="25" t="s">
        <v>178</v>
      </c>
      <c r="C82" s="25" t="s">
        <v>16</v>
      </c>
      <c r="D82" s="26" t="s">
        <v>17</v>
      </c>
      <c r="E82" s="27">
        <v>0</v>
      </c>
      <c r="F82" s="27">
        <v>3</v>
      </c>
      <c r="G82" s="27">
        <f t="shared" si="6"/>
        <v>0</v>
      </c>
      <c r="H82" s="26" t="s">
        <v>18</v>
      </c>
      <c r="I82" s="16">
        <f>SUMIFS([1]IMPORT!$L$2:$L$93,[1]IMPORT!$J$2:$J$93,[1]CDC!B82)</f>
        <v>0</v>
      </c>
      <c r="J82" s="16">
        <f>SUMIFS([1]IMPORT!$Q$2:$Q$93,[1]IMPORT!$J$2:$J$93,[1]CDC!B82)</f>
        <v>0</v>
      </c>
      <c r="K82" s="16">
        <f>SUMIFS([1]IMPORT!$N$2:$N$93,[1]IMPORT!$J$2:$J$93,[1]CDC!B82)</f>
        <v>0</v>
      </c>
      <c r="L82" s="16">
        <f t="shared" si="7"/>
        <v>0</v>
      </c>
      <c r="M82" s="17">
        <v>0</v>
      </c>
      <c r="N82" s="16" t="str">
        <f t="shared" si="9"/>
        <v>CHECK</v>
      </c>
      <c r="O82" s="26" t="s">
        <v>179</v>
      </c>
    </row>
    <row r="83" spans="1:15" x14ac:dyDescent="0.25">
      <c r="A83" s="24">
        <f t="shared" si="5"/>
        <v>81</v>
      </c>
      <c r="B83" s="25" t="s">
        <v>180</v>
      </c>
      <c r="C83" s="25" t="s">
        <v>16</v>
      </c>
      <c r="D83" s="26" t="s">
        <v>17</v>
      </c>
      <c r="E83" s="27">
        <v>0</v>
      </c>
      <c r="F83" s="27">
        <v>200</v>
      </c>
      <c r="G83" s="27">
        <f t="shared" si="6"/>
        <v>0</v>
      </c>
      <c r="H83" s="26" t="s">
        <v>18</v>
      </c>
      <c r="I83" s="16">
        <f>SUMIFS([1]IMPORT!$L$2:$L$93,[1]IMPORT!$J$2:$J$93,[1]CDC!B83)</f>
        <v>0</v>
      </c>
      <c r="J83" s="16">
        <f>SUMIFS([1]IMPORT!$Q$2:$Q$93,[1]IMPORT!$J$2:$J$93,[1]CDC!B83)</f>
        <v>0</v>
      </c>
      <c r="K83" s="16">
        <f>SUMIFS([1]IMPORT!$N$2:$N$93,[1]IMPORT!$J$2:$J$93,[1]CDC!B83)</f>
        <v>0</v>
      </c>
      <c r="L83" s="16">
        <f t="shared" si="7"/>
        <v>0</v>
      </c>
      <c r="M83" s="17">
        <v>0</v>
      </c>
      <c r="N83" s="16" t="str">
        <f t="shared" si="9"/>
        <v>CHECK</v>
      </c>
      <c r="O83" s="26" t="s">
        <v>181</v>
      </c>
    </row>
    <row r="84" spans="1:15" x14ac:dyDescent="0.25">
      <c r="A84" s="12">
        <f t="shared" si="5"/>
        <v>82</v>
      </c>
      <c r="B84" s="13" t="s">
        <v>182</v>
      </c>
      <c r="C84" s="13" t="s">
        <v>16</v>
      </c>
      <c r="D84" s="14" t="s">
        <v>17</v>
      </c>
      <c r="E84" s="15">
        <v>10</v>
      </c>
      <c r="F84" s="15">
        <v>800</v>
      </c>
      <c r="G84" s="15">
        <f t="shared" si="6"/>
        <v>8000</v>
      </c>
      <c r="H84" s="14" t="s">
        <v>18</v>
      </c>
      <c r="I84" s="16">
        <f>SUMIFS([1]IMPORT!$L$2:$L$93,[1]IMPORT!$J$2:$J$93,[1]CDC!B84)</f>
        <v>0</v>
      </c>
      <c r="J84" s="16">
        <f>SUMIFS([1]IMPORT!$Q$2:$Q$93,[1]IMPORT!$J$2:$J$93,[1]CDC!B84)</f>
        <v>0</v>
      </c>
      <c r="K84" s="16">
        <f>SUMIFS([1]IMPORT!$N$2:$N$93,[1]IMPORT!$J$2:$J$93,[1]CDC!B84)</f>
        <v>0</v>
      </c>
      <c r="L84" s="16">
        <f t="shared" si="7"/>
        <v>10</v>
      </c>
      <c r="M84" s="17">
        <f t="shared" si="8"/>
        <v>1</v>
      </c>
      <c r="N84" s="16" t="str">
        <f t="shared" si="9"/>
        <v>OK</v>
      </c>
      <c r="O84" s="14" t="s">
        <v>183</v>
      </c>
    </row>
    <row r="85" spans="1:15" x14ac:dyDescent="0.25">
      <c r="A85" s="12">
        <f t="shared" si="5"/>
        <v>83</v>
      </c>
      <c r="B85" s="13" t="s">
        <v>184</v>
      </c>
      <c r="C85" s="13" t="s">
        <v>16</v>
      </c>
      <c r="D85" s="14" t="s">
        <v>17</v>
      </c>
      <c r="E85" s="15">
        <v>5</v>
      </c>
      <c r="F85" s="15">
        <v>8000</v>
      </c>
      <c r="G85" s="15">
        <f t="shared" si="6"/>
        <v>40000</v>
      </c>
      <c r="H85" s="14" t="s">
        <v>18</v>
      </c>
      <c r="I85" s="16">
        <f>SUMIFS([1]IMPORT!$L$2:$L$93,[1]IMPORT!$J$2:$J$93,[1]CDC!B85)</f>
        <v>0</v>
      </c>
      <c r="J85" s="16">
        <f>SUMIFS([1]IMPORT!$Q$2:$Q$93,[1]IMPORT!$J$2:$J$93,[1]CDC!B85)</f>
        <v>0</v>
      </c>
      <c r="K85" s="16">
        <f>SUMIFS([1]IMPORT!$N$2:$N$93,[1]IMPORT!$J$2:$J$93,[1]CDC!B85)</f>
        <v>0</v>
      </c>
      <c r="L85" s="16">
        <f t="shared" si="7"/>
        <v>5</v>
      </c>
      <c r="M85" s="17">
        <f t="shared" si="8"/>
        <v>1</v>
      </c>
      <c r="N85" s="16" t="str">
        <f t="shared" si="9"/>
        <v>OK</v>
      </c>
      <c r="O85" s="14" t="s">
        <v>185</v>
      </c>
    </row>
    <row r="86" spans="1:15" x14ac:dyDescent="0.25">
      <c r="A86" s="12">
        <f t="shared" si="5"/>
        <v>84</v>
      </c>
      <c r="B86" s="13" t="s">
        <v>186</v>
      </c>
      <c r="C86" s="13" t="s">
        <v>16</v>
      </c>
      <c r="D86" s="14" t="s">
        <v>17</v>
      </c>
      <c r="E86" s="15">
        <v>10</v>
      </c>
      <c r="F86" s="15">
        <v>1400</v>
      </c>
      <c r="G86" s="15">
        <f t="shared" si="6"/>
        <v>14000</v>
      </c>
      <c r="H86" s="14" t="s">
        <v>18</v>
      </c>
      <c r="I86" s="16">
        <f>SUMIFS([1]IMPORT!$L$2:$L$93,[1]IMPORT!$J$2:$J$93,[1]CDC!B86)</f>
        <v>0</v>
      </c>
      <c r="J86" s="16">
        <f>SUMIFS([1]IMPORT!$Q$2:$Q$93,[1]IMPORT!$J$2:$J$93,[1]CDC!B86)</f>
        <v>0</v>
      </c>
      <c r="K86" s="16">
        <f>SUMIFS([1]IMPORT!$N$2:$N$93,[1]IMPORT!$J$2:$J$93,[1]CDC!B86)</f>
        <v>0</v>
      </c>
      <c r="L86" s="16">
        <f t="shared" si="7"/>
        <v>10</v>
      </c>
      <c r="M86" s="17">
        <f t="shared" si="8"/>
        <v>1</v>
      </c>
      <c r="N86" s="16" t="str">
        <f t="shared" si="9"/>
        <v>OK</v>
      </c>
      <c r="O86" s="14" t="s">
        <v>187</v>
      </c>
    </row>
    <row r="87" spans="1:15" x14ac:dyDescent="0.25">
      <c r="A87" s="12">
        <f t="shared" si="5"/>
        <v>85</v>
      </c>
      <c r="B87" s="13" t="s">
        <v>188</v>
      </c>
      <c r="C87" s="13" t="s">
        <v>16</v>
      </c>
      <c r="D87" s="14" t="s">
        <v>17</v>
      </c>
      <c r="E87" s="15">
        <v>10</v>
      </c>
      <c r="F87" s="15">
        <v>300</v>
      </c>
      <c r="G87" s="15">
        <f t="shared" si="6"/>
        <v>3000</v>
      </c>
      <c r="H87" s="14" t="s">
        <v>18</v>
      </c>
      <c r="I87" s="16">
        <f>SUMIFS([1]IMPORT!$L$2:$L$93,[1]IMPORT!$J$2:$J$93,[1]CDC!B87)</f>
        <v>0</v>
      </c>
      <c r="J87" s="16">
        <f>SUMIFS([1]IMPORT!$Q$2:$Q$93,[1]IMPORT!$J$2:$J$93,[1]CDC!B87)</f>
        <v>0</v>
      </c>
      <c r="K87" s="16">
        <f>SUMIFS([1]IMPORT!$N$2:$N$93,[1]IMPORT!$J$2:$J$93,[1]CDC!B87)</f>
        <v>0</v>
      </c>
      <c r="L87" s="16">
        <f t="shared" si="7"/>
        <v>10</v>
      </c>
      <c r="M87" s="17">
        <f t="shared" si="8"/>
        <v>1</v>
      </c>
      <c r="N87" s="16" t="str">
        <f t="shared" si="9"/>
        <v>OK</v>
      </c>
      <c r="O87" s="14" t="s">
        <v>189</v>
      </c>
    </row>
    <row r="88" spans="1:15" x14ac:dyDescent="0.25">
      <c r="A88" s="12">
        <f t="shared" si="5"/>
        <v>86</v>
      </c>
      <c r="B88" s="13" t="s">
        <v>190</v>
      </c>
      <c r="C88" s="13" t="s">
        <v>16</v>
      </c>
      <c r="D88" s="14" t="s">
        <v>17</v>
      </c>
      <c r="E88" s="15">
        <v>35</v>
      </c>
      <c r="F88" s="15">
        <v>60</v>
      </c>
      <c r="G88" s="15">
        <f t="shared" si="6"/>
        <v>2100</v>
      </c>
      <c r="H88" s="14" t="s">
        <v>18</v>
      </c>
      <c r="I88" s="16">
        <f>SUMIFS([1]IMPORT!$L$2:$L$93,[1]IMPORT!$J$2:$J$93,[1]CDC!B88)</f>
        <v>0</v>
      </c>
      <c r="J88" s="16">
        <f>SUMIFS([1]IMPORT!$Q$2:$Q$93,[1]IMPORT!$J$2:$J$93,[1]CDC!B88)</f>
        <v>0</v>
      </c>
      <c r="K88" s="16">
        <f>SUMIFS([1]IMPORT!$N$2:$N$93,[1]IMPORT!$J$2:$J$93,[1]CDC!B88)</f>
        <v>0</v>
      </c>
      <c r="L88" s="16">
        <f t="shared" si="7"/>
        <v>35</v>
      </c>
      <c r="M88" s="17">
        <f t="shared" si="8"/>
        <v>1</v>
      </c>
      <c r="N88" s="16" t="str">
        <f t="shared" si="9"/>
        <v>OK</v>
      </c>
      <c r="O88" s="14" t="s">
        <v>191</v>
      </c>
    </row>
    <row r="89" spans="1:15" x14ac:dyDescent="0.25">
      <c r="A89" s="24">
        <f t="shared" si="5"/>
        <v>87</v>
      </c>
      <c r="B89" s="25" t="s">
        <v>192</v>
      </c>
      <c r="C89" s="25" t="s">
        <v>16</v>
      </c>
      <c r="D89" s="26" t="s">
        <v>17</v>
      </c>
      <c r="E89" s="27">
        <v>0</v>
      </c>
      <c r="F89" s="27">
        <v>50</v>
      </c>
      <c r="G89" s="27">
        <f t="shared" si="6"/>
        <v>0</v>
      </c>
      <c r="H89" s="26" t="s">
        <v>18</v>
      </c>
      <c r="I89" s="16">
        <f>SUMIFS([1]IMPORT!$L$2:$L$93,[1]IMPORT!$J$2:$J$93,[1]CDC!B89)</f>
        <v>0</v>
      </c>
      <c r="J89" s="16">
        <f>SUMIFS([1]IMPORT!$Q$2:$Q$93,[1]IMPORT!$J$2:$J$93,[1]CDC!B89)</f>
        <v>0</v>
      </c>
      <c r="K89" s="16">
        <f>SUMIFS([1]IMPORT!$N$2:$N$93,[1]IMPORT!$J$2:$J$93,[1]CDC!B89)</f>
        <v>0</v>
      </c>
      <c r="L89" s="16">
        <f t="shared" si="7"/>
        <v>0</v>
      </c>
      <c r="M89" s="17">
        <v>0</v>
      </c>
      <c r="N89" s="16" t="str">
        <f t="shared" si="9"/>
        <v>CHECK</v>
      </c>
      <c r="O89" s="26" t="s">
        <v>193</v>
      </c>
    </row>
    <row r="90" spans="1:15" x14ac:dyDescent="0.25">
      <c r="A90" s="24">
        <f t="shared" si="5"/>
        <v>88</v>
      </c>
      <c r="B90" s="25" t="s">
        <v>194</v>
      </c>
      <c r="C90" s="25" t="s">
        <v>16</v>
      </c>
      <c r="D90" s="26" t="s">
        <v>17</v>
      </c>
      <c r="E90" s="27">
        <v>0</v>
      </c>
      <c r="F90" s="27">
        <v>40</v>
      </c>
      <c r="G90" s="27">
        <f t="shared" si="6"/>
        <v>0</v>
      </c>
      <c r="H90" s="26" t="s">
        <v>18</v>
      </c>
      <c r="I90" s="16">
        <f>SUMIFS([1]IMPORT!$L$2:$L$93,[1]IMPORT!$J$2:$J$93,[1]CDC!B90)</f>
        <v>0</v>
      </c>
      <c r="J90" s="16">
        <f>SUMIFS([1]IMPORT!$Q$2:$Q$93,[1]IMPORT!$J$2:$J$93,[1]CDC!B90)</f>
        <v>0</v>
      </c>
      <c r="K90" s="16">
        <f>SUMIFS([1]IMPORT!$N$2:$N$93,[1]IMPORT!$J$2:$J$93,[1]CDC!B90)</f>
        <v>0</v>
      </c>
      <c r="L90" s="16">
        <f t="shared" si="7"/>
        <v>0</v>
      </c>
      <c r="M90" s="17">
        <v>0</v>
      </c>
      <c r="N90" s="16" t="str">
        <f t="shared" si="9"/>
        <v>CHECK</v>
      </c>
      <c r="O90" s="26" t="s">
        <v>195</v>
      </c>
    </row>
    <row r="91" spans="1:15" x14ac:dyDescent="0.25">
      <c r="A91" s="24">
        <f t="shared" si="5"/>
        <v>89</v>
      </c>
      <c r="B91" s="25" t="s">
        <v>196</v>
      </c>
      <c r="C91" s="25" t="s">
        <v>16</v>
      </c>
      <c r="D91" s="26" t="s">
        <v>17</v>
      </c>
      <c r="E91" s="27">
        <v>0</v>
      </c>
      <c r="F91" s="27">
        <v>15</v>
      </c>
      <c r="G91" s="27">
        <f t="shared" si="6"/>
        <v>0</v>
      </c>
      <c r="H91" s="26" t="s">
        <v>18</v>
      </c>
      <c r="I91" s="16">
        <f>SUMIFS([1]IMPORT!$L$2:$L$93,[1]IMPORT!$J$2:$J$93,[1]CDC!B91)</f>
        <v>2</v>
      </c>
      <c r="J91" s="16">
        <f>SUMIFS([1]IMPORT!$Q$2:$Q$93,[1]IMPORT!$J$2:$J$93,[1]CDC!B91)</f>
        <v>120</v>
      </c>
      <c r="K91" s="16">
        <f>SUMIFS([1]IMPORT!$N$2:$N$93,[1]IMPORT!$J$2:$J$93,[1]CDC!B91)</f>
        <v>1</v>
      </c>
      <c r="L91" s="16">
        <f t="shared" si="7"/>
        <v>-2</v>
      </c>
      <c r="M91" s="17">
        <v>0</v>
      </c>
      <c r="N91" s="16" t="str">
        <f t="shared" si="9"/>
        <v>CHECK</v>
      </c>
      <c r="O91" s="26" t="s">
        <v>197</v>
      </c>
    </row>
    <row r="92" spans="1:15" x14ac:dyDescent="0.25">
      <c r="A92" s="12">
        <f t="shared" si="5"/>
        <v>90</v>
      </c>
      <c r="B92" s="13" t="s">
        <v>198</v>
      </c>
      <c r="C92" s="13" t="s">
        <v>16</v>
      </c>
      <c r="D92" s="14" t="s">
        <v>17</v>
      </c>
      <c r="E92" s="15">
        <v>70</v>
      </c>
      <c r="F92" s="15">
        <v>3</v>
      </c>
      <c r="G92" s="15">
        <f t="shared" si="6"/>
        <v>210</v>
      </c>
      <c r="H92" s="14" t="s">
        <v>18</v>
      </c>
      <c r="I92" s="16">
        <f>SUMIFS([1]IMPORT!$L$2:$L$93,[1]IMPORT!$J$2:$J$93,[1]CDC!B92)</f>
        <v>0</v>
      </c>
      <c r="J92" s="16">
        <f>SUMIFS([1]IMPORT!$Q$2:$Q$93,[1]IMPORT!$J$2:$J$93,[1]CDC!B92)</f>
        <v>0</v>
      </c>
      <c r="K92" s="16">
        <f>SUMIFS([1]IMPORT!$N$2:$N$93,[1]IMPORT!$J$2:$J$93,[1]CDC!B92)</f>
        <v>0</v>
      </c>
      <c r="L92" s="16">
        <f t="shared" si="7"/>
        <v>70</v>
      </c>
      <c r="M92" s="17">
        <f t="shared" si="8"/>
        <v>1</v>
      </c>
      <c r="N92" s="16" t="str">
        <f t="shared" si="9"/>
        <v>OK</v>
      </c>
      <c r="O92" s="14" t="s">
        <v>199</v>
      </c>
    </row>
    <row r="93" spans="1:15" x14ac:dyDescent="0.25">
      <c r="A93" s="12">
        <f t="shared" si="5"/>
        <v>91</v>
      </c>
      <c r="B93" s="13" t="s">
        <v>200</v>
      </c>
      <c r="C93" s="13" t="s">
        <v>16</v>
      </c>
      <c r="D93" s="14" t="s">
        <v>17</v>
      </c>
      <c r="E93" s="15">
        <v>50</v>
      </c>
      <c r="F93" s="15">
        <v>1</v>
      </c>
      <c r="G93" s="15">
        <f t="shared" si="6"/>
        <v>50</v>
      </c>
      <c r="H93" s="14" t="s">
        <v>18</v>
      </c>
      <c r="I93" s="16">
        <f>SUMIFS([1]IMPORT!$L$2:$L$93,[1]IMPORT!$J$2:$J$93,[1]CDC!B93)</f>
        <v>0</v>
      </c>
      <c r="J93" s="16">
        <f>SUMIFS([1]IMPORT!$Q$2:$Q$93,[1]IMPORT!$J$2:$J$93,[1]CDC!B93)</f>
        <v>0</v>
      </c>
      <c r="K93" s="16">
        <f>SUMIFS([1]IMPORT!$N$2:$N$93,[1]IMPORT!$J$2:$J$93,[1]CDC!B93)</f>
        <v>0</v>
      </c>
      <c r="L93" s="16">
        <f t="shared" si="7"/>
        <v>50</v>
      </c>
      <c r="M93" s="17">
        <f t="shared" si="8"/>
        <v>1</v>
      </c>
      <c r="N93" s="16" t="str">
        <f t="shared" si="9"/>
        <v>OK</v>
      </c>
      <c r="O93" s="14" t="s">
        <v>201</v>
      </c>
    </row>
    <row r="94" spans="1:15" x14ac:dyDescent="0.25">
      <c r="A94" s="24">
        <f t="shared" si="5"/>
        <v>92</v>
      </c>
      <c r="B94" s="25" t="s">
        <v>202</v>
      </c>
      <c r="C94" s="25" t="s">
        <v>16</v>
      </c>
      <c r="D94" s="26" t="s">
        <v>17</v>
      </c>
      <c r="E94" s="27">
        <v>0</v>
      </c>
      <c r="F94" s="27">
        <v>5</v>
      </c>
      <c r="G94" s="27">
        <f t="shared" si="6"/>
        <v>0</v>
      </c>
      <c r="H94" s="26" t="s">
        <v>18</v>
      </c>
      <c r="I94" s="16">
        <f>SUMIFS([1]IMPORT!$L$2:$L$93,[1]IMPORT!$J$2:$J$93,[1]CDC!B94)</f>
        <v>0</v>
      </c>
      <c r="J94" s="16">
        <f>SUMIFS([1]IMPORT!$Q$2:$Q$93,[1]IMPORT!$J$2:$J$93,[1]CDC!B94)</f>
        <v>0</v>
      </c>
      <c r="K94" s="16">
        <f>SUMIFS([1]IMPORT!$N$2:$N$93,[1]IMPORT!$J$2:$J$93,[1]CDC!B94)</f>
        <v>0</v>
      </c>
      <c r="L94" s="16">
        <f t="shared" si="7"/>
        <v>0</v>
      </c>
      <c r="M94" s="17">
        <v>0</v>
      </c>
      <c r="N94" s="16" t="str">
        <f t="shared" si="9"/>
        <v>CHECK</v>
      </c>
      <c r="O94" s="26" t="s">
        <v>203</v>
      </c>
    </row>
    <row r="95" spans="1:15" x14ac:dyDescent="0.25">
      <c r="A95" s="24">
        <f t="shared" si="5"/>
        <v>93</v>
      </c>
      <c r="B95" s="25" t="s">
        <v>204</v>
      </c>
      <c r="C95" s="25" t="s">
        <v>16</v>
      </c>
      <c r="D95" s="26" t="s">
        <v>17</v>
      </c>
      <c r="E95" s="27">
        <v>0</v>
      </c>
      <c r="F95" s="27">
        <v>0.5</v>
      </c>
      <c r="G95" s="27">
        <f t="shared" si="6"/>
        <v>0</v>
      </c>
      <c r="H95" s="26" t="s">
        <v>18</v>
      </c>
      <c r="I95" s="16">
        <f>SUMIFS([1]IMPORT!$L$2:$L$93,[1]IMPORT!$J$2:$J$93,[1]CDC!B95)</f>
        <v>0</v>
      </c>
      <c r="J95" s="16">
        <f>SUMIFS([1]IMPORT!$Q$2:$Q$93,[1]IMPORT!$J$2:$J$93,[1]CDC!B95)</f>
        <v>0</v>
      </c>
      <c r="K95" s="16">
        <f>SUMIFS([1]IMPORT!$N$2:$N$93,[1]IMPORT!$J$2:$J$93,[1]CDC!B95)</f>
        <v>0</v>
      </c>
      <c r="L95" s="16">
        <f t="shared" si="7"/>
        <v>0</v>
      </c>
      <c r="M95" s="17">
        <v>0</v>
      </c>
      <c r="N95" s="16" t="str">
        <f t="shared" si="9"/>
        <v>CHECK</v>
      </c>
      <c r="O95" s="26" t="s">
        <v>205</v>
      </c>
    </row>
    <row r="96" spans="1:15" x14ac:dyDescent="0.25">
      <c r="A96" s="24">
        <f t="shared" si="5"/>
        <v>94</v>
      </c>
      <c r="B96" s="25" t="s">
        <v>206</v>
      </c>
      <c r="C96" s="25" t="s">
        <v>16</v>
      </c>
      <c r="D96" s="26" t="s">
        <v>17</v>
      </c>
      <c r="E96" s="27">
        <v>0</v>
      </c>
      <c r="F96" s="27">
        <v>1</v>
      </c>
      <c r="G96" s="27">
        <f t="shared" si="6"/>
        <v>0</v>
      </c>
      <c r="H96" s="26" t="s">
        <v>18</v>
      </c>
      <c r="I96" s="16">
        <f>SUMIFS([1]IMPORT!$L$2:$L$93,[1]IMPORT!$J$2:$J$93,[1]CDC!B96)</f>
        <v>0</v>
      </c>
      <c r="J96" s="16">
        <f>SUMIFS([1]IMPORT!$Q$2:$Q$93,[1]IMPORT!$J$2:$J$93,[1]CDC!B96)</f>
        <v>0</v>
      </c>
      <c r="K96" s="16">
        <f>SUMIFS([1]IMPORT!$N$2:$N$93,[1]IMPORT!$J$2:$J$93,[1]CDC!B96)</f>
        <v>0</v>
      </c>
      <c r="L96" s="16">
        <f t="shared" si="7"/>
        <v>0</v>
      </c>
      <c r="M96" s="17">
        <v>0</v>
      </c>
      <c r="N96" s="16" t="str">
        <f t="shared" si="9"/>
        <v>CHECK</v>
      </c>
      <c r="O96" s="26" t="s">
        <v>207</v>
      </c>
    </row>
    <row r="97" spans="1:15" x14ac:dyDescent="0.25">
      <c r="A97" s="12">
        <f t="shared" si="5"/>
        <v>95</v>
      </c>
      <c r="B97" s="13" t="s">
        <v>208</v>
      </c>
      <c r="C97" s="13" t="s">
        <v>16</v>
      </c>
      <c r="D97" s="14" t="s">
        <v>17</v>
      </c>
      <c r="E97" s="15">
        <v>5</v>
      </c>
      <c r="F97" s="15">
        <v>2000</v>
      </c>
      <c r="G97" s="15">
        <f t="shared" si="6"/>
        <v>10000</v>
      </c>
      <c r="H97" s="14" t="s">
        <v>18</v>
      </c>
      <c r="I97" s="16">
        <f>SUMIFS([1]IMPORT!$L$2:$L$93,[1]IMPORT!$J$2:$J$93,[1]CDC!B97)</f>
        <v>0</v>
      </c>
      <c r="J97" s="16">
        <f>SUMIFS([1]IMPORT!$Q$2:$Q$93,[1]IMPORT!$J$2:$J$93,[1]CDC!B97)</f>
        <v>0</v>
      </c>
      <c r="K97" s="16">
        <f>SUMIFS([1]IMPORT!$N$2:$N$93,[1]IMPORT!$J$2:$J$93,[1]CDC!B97)</f>
        <v>0</v>
      </c>
      <c r="L97" s="16">
        <f t="shared" si="7"/>
        <v>5</v>
      </c>
      <c r="M97" s="17">
        <f t="shared" si="8"/>
        <v>1</v>
      </c>
      <c r="N97" s="16" t="str">
        <f t="shared" si="9"/>
        <v>OK</v>
      </c>
      <c r="O97" s="14" t="s">
        <v>209</v>
      </c>
    </row>
    <row r="98" spans="1:15" x14ac:dyDescent="0.25">
      <c r="A98" s="12">
        <f t="shared" si="5"/>
        <v>96</v>
      </c>
      <c r="B98" s="13" t="s">
        <v>210</v>
      </c>
      <c r="C98" s="13" t="s">
        <v>16</v>
      </c>
      <c r="D98" s="14" t="s">
        <v>17</v>
      </c>
      <c r="E98" s="15">
        <v>60</v>
      </c>
      <c r="F98" s="15">
        <v>80</v>
      </c>
      <c r="G98" s="15">
        <f t="shared" si="6"/>
        <v>4800</v>
      </c>
      <c r="H98" s="14" t="s">
        <v>18</v>
      </c>
      <c r="I98" s="16">
        <f>SUMIFS([1]IMPORT!$L$2:$L$93,[1]IMPORT!$J$2:$J$93,[1]CDC!B98)</f>
        <v>0</v>
      </c>
      <c r="J98" s="16">
        <f>SUMIFS([1]IMPORT!$Q$2:$Q$93,[1]IMPORT!$J$2:$J$93,[1]CDC!B98)</f>
        <v>0</v>
      </c>
      <c r="K98" s="16">
        <f>SUMIFS([1]IMPORT!$N$2:$N$93,[1]IMPORT!$J$2:$J$93,[1]CDC!B98)</f>
        <v>0</v>
      </c>
      <c r="L98" s="16">
        <f t="shared" si="7"/>
        <v>60</v>
      </c>
      <c r="M98" s="17">
        <f t="shared" si="8"/>
        <v>1</v>
      </c>
      <c r="N98" s="16" t="str">
        <f t="shared" si="9"/>
        <v>OK</v>
      </c>
      <c r="O98" s="14" t="s">
        <v>211</v>
      </c>
    </row>
    <row r="99" spans="1:15" x14ac:dyDescent="0.25">
      <c r="A99" s="12">
        <f t="shared" si="5"/>
        <v>97</v>
      </c>
      <c r="B99" s="13" t="s">
        <v>212</v>
      </c>
      <c r="C99" s="13" t="s">
        <v>16</v>
      </c>
      <c r="D99" s="14" t="s">
        <v>17</v>
      </c>
      <c r="E99" s="15">
        <v>60</v>
      </c>
      <c r="F99" s="15">
        <v>85</v>
      </c>
      <c r="G99" s="15">
        <f t="shared" si="6"/>
        <v>5100</v>
      </c>
      <c r="H99" s="14" t="s">
        <v>18</v>
      </c>
      <c r="I99" s="16">
        <f>SUMIFS([1]IMPORT!$L$2:$L$93,[1]IMPORT!$J$2:$J$93,[1]CDC!B99)</f>
        <v>0</v>
      </c>
      <c r="J99" s="16">
        <f>SUMIFS([1]IMPORT!$Q$2:$Q$93,[1]IMPORT!$J$2:$J$93,[1]CDC!B99)</f>
        <v>0</v>
      </c>
      <c r="K99" s="16">
        <f>SUMIFS([1]IMPORT!$N$2:$N$93,[1]IMPORT!$J$2:$J$93,[1]CDC!B99)</f>
        <v>0</v>
      </c>
      <c r="L99" s="16">
        <f t="shared" si="7"/>
        <v>60</v>
      </c>
      <c r="M99" s="17">
        <f t="shared" si="8"/>
        <v>1</v>
      </c>
      <c r="N99" s="16" t="str">
        <f t="shared" si="9"/>
        <v>OK</v>
      </c>
      <c r="O99" s="14" t="s">
        <v>213</v>
      </c>
    </row>
    <row r="100" spans="1:15" x14ac:dyDescent="0.25">
      <c r="A100" s="12">
        <f t="shared" si="5"/>
        <v>98</v>
      </c>
      <c r="B100" s="13" t="s">
        <v>214</v>
      </c>
      <c r="C100" s="13" t="s">
        <v>16</v>
      </c>
      <c r="D100" s="14" t="s">
        <v>17</v>
      </c>
      <c r="E100" s="15">
        <v>200</v>
      </c>
      <c r="F100" s="15">
        <v>110</v>
      </c>
      <c r="G100" s="15">
        <f t="shared" si="6"/>
        <v>22000</v>
      </c>
      <c r="H100" s="14" t="s">
        <v>18</v>
      </c>
      <c r="I100" s="16">
        <f>SUMIFS([1]IMPORT!$L$2:$L$93,[1]IMPORT!$J$2:$J$93,[1]CDC!B100)</f>
        <v>0</v>
      </c>
      <c r="J100" s="16">
        <f>SUMIFS([1]IMPORT!$Q$2:$Q$93,[1]IMPORT!$J$2:$J$93,[1]CDC!B100)</f>
        <v>0</v>
      </c>
      <c r="K100" s="16">
        <f>SUMIFS([1]IMPORT!$N$2:$N$93,[1]IMPORT!$J$2:$J$93,[1]CDC!B100)</f>
        <v>0</v>
      </c>
      <c r="L100" s="16">
        <f t="shared" si="7"/>
        <v>200</v>
      </c>
      <c r="M100" s="17">
        <f t="shared" si="8"/>
        <v>1</v>
      </c>
      <c r="N100" s="16" t="str">
        <f t="shared" si="9"/>
        <v>OK</v>
      </c>
      <c r="O100" s="14" t="s">
        <v>215</v>
      </c>
    </row>
    <row r="101" spans="1:15" x14ac:dyDescent="0.25">
      <c r="A101" s="12">
        <f t="shared" si="5"/>
        <v>99</v>
      </c>
      <c r="B101" s="13" t="s">
        <v>216</v>
      </c>
      <c r="C101" s="13" t="s">
        <v>16</v>
      </c>
      <c r="D101" s="14" t="s">
        <v>17</v>
      </c>
      <c r="E101" s="15">
        <v>6</v>
      </c>
      <c r="F101" s="15">
        <v>3000</v>
      </c>
      <c r="G101" s="15">
        <f t="shared" si="6"/>
        <v>18000</v>
      </c>
      <c r="H101" s="14" t="s">
        <v>18</v>
      </c>
      <c r="I101" s="16">
        <f>SUMIFS([1]IMPORT!$L$2:$L$93,[1]IMPORT!$J$2:$J$93,[1]CDC!B101)</f>
        <v>40</v>
      </c>
      <c r="J101" s="16">
        <f>SUMIFS([1]IMPORT!$Q$2:$Q$93,[1]IMPORT!$J$2:$J$93,[1]CDC!B101)</f>
        <v>3200</v>
      </c>
      <c r="K101" s="16">
        <f>SUMIFS([1]IMPORT!$N$2:$N$93,[1]IMPORT!$J$2:$J$93,[1]CDC!B101)</f>
        <v>1973.7</v>
      </c>
      <c r="L101" s="16">
        <f t="shared" si="7"/>
        <v>-34</v>
      </c>
      <c r="M101" s="17">
        <f t="shared" si="8"/>
        <v>-5.666666666666667</v>
      </c>
      <c r="N101" s="16" t="str">
        <f t="shared" si="9"/>
        <v>CHECK</v>
      </c>
      <c r="O101" s="14" t="s">
        <v>217</v>
      </c>
    </row>
    <row r="102" spans="1:15" x14ac:dyDescent="0.25">
      <c r="A102" s="12">
        <f t="shared" si="5"/>
        <v>100</v>
      </c>
      <c r="B102" s="13" t="s">
        <v>218</v>
      </c>
      <c r="C102" s="13" t="s">
        <v>16</v>
      </c>
      <c r="D102" s="14" t="s">
        <v>17</v>
      </c>
      <c r="E102" s="15">
        <v>50</v>
      </c>
      <c r="F102" s="15">
        <v>240</v>
      </c>
      <c r="G102" s="15">
        <f t="shared" si="6"/>
        <v>12000</v>
      </c>
      <c r="H102" s="14" t="s">
        <v>18</v>
      </c>
      <c r="I102" s="16">
        <f>SUMIFS([1]IMPORT!$L$2:$L$93,[1]IMPORT!$J$2:$J$93,[1]CDC!B102)</f>
        <v>0</v>
      </c>
      <c r="J102" s="16">
        <f>SUMIFS([1]IMPORT!$Q$2:$Q$93,[1]IMPORT!$J$2:$J$93,[1]CDC!B102)</f>
        <v>0</v>
      </c>
      <c r="K102" s="16">
        <f>SUMIFS([1]IMPORT!$N$2:$N$93,[1]IMPORT!$J$2:$J$93,[1]CDC!B102)</f>
        <v>0</v>
      </c>
      <c r="L102" s="16">
        <f t="shared" si="7"/>
        <v>50</v>
      </c>
      <c r="M102" s="17">
        <f t="shared" si="8"/>
        <v>1</v>
      </c>
      <c r="N102" s="16" t="str">
        <f t="shared" si="9"/>
        <v>OK</v>
      </c>
      <c r="O102" s="14" t="s">
        <v>219</v>
      </c>
    </row>
    <row r="103" spans="1:15" x14ac:dyDescent="0.25">
      <c r="A103" s="12">
        <f t="shared" si="5"/>
        <v>101</v>
      </c>
      <c r="B103" s="13" t="s">
        <v>220</v>
      </c>
      <c r="C103" s="13" t="s">
        <v>16</v>
      </c>
      <c r="D103" s="14" t="s">
        <v>17</v>
      </c>
      <c r="E103" s="15">
        <v>100</v>
      </c>
      <c r="F103" s="15">
        <v>110</v>
      </c>
      <c r="G103" s="15">
        <f t="shared" si="6"/>
        <v>11000</v>
      </c>
      <c r="H103" s="14" t="s">
        <v>18</v>
      </c>
      <c r="I103" s="16">
        <f>SUMIFS([1]IMPORT!$L$2:$L$93,[1]IMPORT!$J$2:$J$93,[1]CDC!B103)</f>
        <v>18</v>
      </c>
      <c r="J103" s="16">
        <f>SUMIFS([1]IMPORT!$Q$2:$Q$93,[1]IMPORT!$J$2:$J$93,[1]CDC!B103)</f>
        <v>1980</v>
      </c>
      <c r="K103" s="16">
        <f>SUMIFS([1]IMPORT!$N$2:$N$93,[1]IMPORT!$J$2:$J$93,[1]CDC!B103)</f>
        <v>580</v>
      </c>
      <c r="L103" s="16">
        <f t="shared" si="7"/>
        <v>82</v>
      </c>
      <c r="M103" s="17">
        <f t="shared" si="8"/>
        <v>0.82</v>
      </c>
      <c r="N103" s="16" t="str">
        <f t="shared" si="9"/>
        <v>OK</v>
      </c>
      <c r="O103" s="14" t="s">
        <v>221</v>
      </c>
    </row>
    <row r="104" spans="1:15" x14ac:dyDescent="0.25">
      <c r="A104" s="12">
        <f t="shared" si="5"/>
        <v>102</v>
      </c>
      <c r="B104" s="13" t="s">
        <v>222</v>
      </c>
      <c r="C104" s="13" t="s">
        <v>16</v>
      </c>
      <c r="D104" s="14" t="s">
        <v>223</v>
      </c>
      <c r="E104" s="15">
        <v>2000</v>
      </c>
      <c r="F104" s="15">
        <v>8</v>
      </c>
      <c r="G104" s="15">
        <f t="shared" si="6"/>
        <v>16000</v>
      </c>
      <c r="H104" s="14" t="s">
        <v>18</v>
      </c>
      <c r="I104" s="16">
        <f>SUMIFS([1]IMPORT!$L$2:$L$93,[1]IMPORT!$J$2:$J$93,[1]CDC!B104)</f>
        <v>0</v>
      </c>
      <c r="J104" s="16">
        <f>SUMIFS([1]IMPORT!$Q$2:$Q$93,[1]IMPORT!$J$2:$J$93,[1]CDC!B104)</f>
        <v>0</v>
      </c>
      <c r="K104" s="16">
        <f>SUMIFS([1]IMPORT!$N$2:$N$93,[1]IMPORT!$J$2:$J$93,[1]CDC!B104)</f>
        <v>0</v>
      </c>
      <c r="L104" s="16">
        <f t="shared" si="7"/>
        <v>2000</v>
      </c>
      <c r="M104" s="17">
        <f t="shared" si="8"/>
        <v>1</v>
      </c>
      <c r="N104" s="16" t="str">
        <f t="shared" si="9"/>
        <v>OK</v>
      </c>
      <c r="O104" s="14" t="s">
        <v>224</v>
      </c>
    </row>
    <row r="105" spans="1:15" x14ac:dyDescent="0.25">
      <c r="A105" s="12">
        <f t="shared" si="5"/>
        <v>103</v>
      </c>
      <c r="B105" s="13" t="s">
        <v>225</v>
      </c>
      <c r="C105" s="13" t="s">
        <v>16</v>
      </c>
      <c r="D105" s="14" t="s">
        <v>17</v>
      </c>
      <c r="E105" s="15">
        <v>500</v>
      </c>
      <c r="F105" s="15">
        <v>10</v>
      </c>
      <c r="G105" s="15">
        <f t="shared" si="6"/>
        <v>5000</v>
      </c>
      <c r="H105" s="14" t="s">
        <v>18</v>
      </c>
      <c r="I105" s="16">
        <f>SUMIFS([1]IMPORT!$L$2:$L$93,[1]IMPORT!$J$2:$J$93,[1]CDC!B105)</f>
        <v>5</v>
      </c>
      <c r="J105" s="16">
        <f>SUMIFS([1]IMPORT!$Q$2:$Q$93,[1]IMPORT!$J$2:$J$93,[1]CDC!B105)</f>
        <v>1200</v>
      </c>
      <c r="K105" s="16">
        <f>SUMIFS([1]IMPORT!$N$2:$N$93,[1]IMPORT!$J$2:$J$93,[1]CDC!B105)</f>
        <v>0.56999999999999995</v>
      </c>
      <c r="L105" s="16">
        <f t="shared" si="7"/>
        <v>495</v>
      </c>
      <c r="M105" s="17">
        <f t="shared" si="8"/>
        <v>0.99</v>
      </c>
      <c r="N105" s="16" t="str">
        <f t="shared" si="9"/>
        <v>OK</v>
      </c>
      <c r="O105" s="14" t="s">
        <v>226</v>
      </c>
    </row>
    <row r="106" spans="1:15" x14ac:dyDescent="0.25">
      <c r="A106" s="12">
        <f t="shared" si="5"/>
        <v>104</v>
      </c>
      <c r="B106" s="13" t="s">
        <v>227</v>
      </c>
      <c r="C106" s="13" t="s">
        <v>16</v>
      </c>
      <c r="D106" s="14" t="s">
        <v>17</v>
      </c>
      <c r="E106" s="15">
        <v>5</v>
      </c>
      <c r="F106" s="15">
        <v>800</v>
      </c>
      <c r="G106" s="15">
        <f t="shared" si="6"/>
        <v>4000</v>
      </c>
      <c r="H106" s="14" t="s">
        <v>18</v>
      </c>
      <c r="I106" s="16">
        <f>SUMIFS([1]IMPORT!$L$2:$L$93,[1]IMPORT!$J$2:$J$93,[1]CDC!B106)</f>
        <v>0</v>
      </c>
      <c r="J106" s="16">
        <f>SUMIFS([1]IMPORT!$Q$2:$Q$93,[1]IMPORT!$J$2:$J$93,[1]CDC!B106)</f>
        <v>0</v>
      </c>
      <c r="K106" s="16">
        <f>SUMIFS([1]IMPORT!$N$2:$N$93,[1]IMPORT!$J$2:$J$93,[1]CDC!B106)</f>
        <v>0</v>
      </c>
      <c r="L106" s="16">
        <f t="shared" si="7"/>
        <v>5</v>
      </c>
      <c r="M106" s="17">
        <f t="shared" si="8"/>
        <v>1</v>
      </c>
      <c r="N106" s="16" t="str">
        <f t="shared" si="9"/>
        <v>OK</v>
      </c>
      <c r="O106" s="14" t="s">
        <v>228</v>
      </c>
    </row>
    <row r="107" spans="1:15" x14ac:dyDescent="0.25">
      <c r="A107" s="12">
        <f t="shared" si="5"/>
        <v>105</v>
      </c>
      <c r="B107" s="13" t="s">
        <v>229</v>
      </c>
      <c r="C107" s="13" t="s">
        <v>16</v>
      </c>
      <c r="D107" s="14" t="s">
        <v>174</v>
      </c>
      <c r="E107" s="15">
        <v>500</v>
      </c>
      <c r="F107" s="15">
        <v>12</v>
      </c>
      <c r="G107" s="15">
        <f t="shared" si="6"/>
        <v>6000</v>
      </c>
      <c r="H107" s="14" t="s">
        <v>18</v>
      </c>
      <c r="I107" s="16">
        <f>SUMIFS([1]IMPORT!$L$2:$L$93,[1]IMPORT!$J$2:$J$93,[1]CDC!B107)</f>
        <v>0</v>
      </c>
      <c r="J107" s="16">
        <f>SUMIFS([1]IMPORT!$Q$2:$Q$93,[1]IMPORT!$J$2:$J$93,[1]CDC!B107)</f>
        <v>0</v>
      </c>
      <c r="K107" s="16">
        <f>SUMIFS([1]IMPORT!$N$2:$N$93,[1]IMPORT!$J$2:$J$93,[1]CDC!B107)</f>
        <v>0</v>
      </c>
      <c r="L107" s="16">
        <f t="shared" si="7"/>
        <v>500</v>
      </c>
      <c r="M107" s="17">
        <f t="shared" si="8"/>
        <v>1</v>
      </c>
      <c r="N107" s="16" t="str">
        <f t="shared" si="9"/>
        <v>OK</v>
      </c>
      <c r="O107" s="14" t="s">
        <v>230</v>
      </c>
    </row>
    <row r="108" spans="1:15" x14ac:dyDescent="0.25">
      <c r="A108" s="12">
        <f t="shared" si="5"/>
        <v>106</v>
      </c>
      <c r="B108" s="13" t="s">
        <v>231</v>
      </c>
      <c r="C108" s="13" t="s">
        <v>16</v>
      </c>
      <c r="D108" s="14" t="s">
        <v>17</v>
      </c>
      <c r="E108" s="15">
        <v>200</v>
      </c>
      <c r="F108" s="15">
        <v>120</v>
      </c>
      <c r="G108" s="15">
        <f t="shared" si="6"/>
        <v>24000</v>
      </c>
      <c r="H108" s="14" t="s">
        <v>18</v>
      </c>
      <c r="I108" s="16">
        <f>SUMIFS([1]IMPORT!$L$2:$L$93,[1]IMPORT!$J$2:$J$93,[1]CDC!B108)</f>
        <v>212</v>
      </c>
      <c r="J108" s="16">
        <f>SUMIFS([1]IMPORT!$Q$2:$Q$93,[1]IMPORT!$J$2:$J$93,[1]CDC!B108)</f>
        <v>2120</v>
      </c>
      <c r="K108" s="16">
        <f>SUMIFS([1]IMPORT!$N$2:$N$93,[1]IMPORT!$J$2:$J$93,[1]CDC!B108)</f>
        <v>172.8</v>
      </c>
      <c r="L108" s="16">
        <f t="shared" si="7"/>
        <v>-12</v>
      </c>
      <c r="M108" s="17">
        <f t="shared" si="8"/>
        <v>-0.06</v>
      </c>
      <c r="N108" s="16" t="str">
        <f t="shared" si="9"/>
        <v>CHECK</v>
      </c>
      <c r="O108" s="14" t="s">
        <v>232</v>
      </c>
    </row>
    <row r="109" spans="1:15" x14ac:dyDescent="0.25">
      <c r="A109" s="12">
        <f t="shared" si="5"/>
        <v>107</v>
      </c>
      <c r="B109" s="13" t="s">
        <v>233</v>
      </c>
      <c r="C109" s="13" t="s">
        <v>16</v>
      </c>
      <c r="D109" s="14" t="s">
        <v>17</v>
      </c>
      <c r="E109" s="15">
        <v>20</v>
      </c>
      <c r="F109" s="15">
        <v>800</v>
      </c>
      <c r="G109" s="15">
        <f t="shared" si="6"/>
        <v>16000</v>
      </c>
      <c r="H109" s="14" t="s">
        <v>18</v>
      </c>
      <c r="I109" s="16">
        <f>SUMIFS([1]IMPORT!$L$2:$L$93,[1]IMPORT!$J$2:$J$93,[1]CDC!B109)</f>
        <v>0</v>
      </c>
      <c r="J109" s="16">
        <f>SUMIFS([1]IMPORT!$Q$2:$Q$93,[1]IMPORT!$J$2:$J$93,[1]CDC!B109)</f>
        <v>0</v>
      </c>
      <c r="K109" s="16">
        <f>SUMIFS([1]IMPORT!$N$2:$N$93,[1]IMPORT!$J$2:$J$93,[1]CDC!B109)</f>
        <v>0</v>
      </c>
      <c r="L109" s="16">
        <f t="shared" si="7"/>
        <v>20</v>
      </c>
      <c r="M109" s="17">
        <f t="shared" si="8"/>
        <v>1</v>
      </c>
      <c r="N109" s="16" t="str">
        <f t="shared" si="9"/>
        <v>OK</v>
      </c>
      <c r="O109" s="14" t="s">
        <v>234</v>
      </c>
    </row>
    <row r="110" spans="1:15" x14ac:dyDescent="0.25">
      <c r="A110" s="12">
        <f t="shared" si="5"/>
        <v>108</v>
      </c>
      <c r="B110" s="13" t="s">
        <v>235</v>
      </c>
      <c r="C110" s="13" t="s">
        <v>16</v>
      </c>
      <c r="D110" s="14" t="s">
        <v>17</v>
      </c>
      <c r="E110" s="15">
        <v>200</v>
      </c>
      <c r="F110" s="15">
        <v>8</v>
      </c>
      <c r="G110" s="15">
        <f t="shared" si="6"/>
        <v>1600</v>
      </c>
      <c r="H110" s="14" t="s">
        <v>18</v>
      </c>
      <c r="I110" s="16">
        <f>SUMIFS([1]IMPORT!$L$2:$L$93,[1]IMPORT!$J$2:$J$93,[1]CDC!B110)</f>
        <v>0</v>
      </c>
      <c r="J110" s="16">
        <f>SUMIFS([1]IMPORT!$Q$2:$Q$93,[1]IMPORT!$J$2:$J$93,[1]CDC!B110)</f>
        <v>0</v>
      </c>
      <c r="K110" s="16">
        <f>SUMIFS([1]IMPORT!$N$2:$N$93,[1]IMPORT!$J$2:$J$93,[1]CDC!B110)</f>
        <v>0</v>
      </c>
      <c r="L110" s="16">
        <f t="shared" si="7"/>
        <v>200</v>
      </c>
      <c r="M110" s="17">
        <f t="shared" si="8"/>
        <v>1</v>
      </c>
      <c r="N110" s="16" t="str">
        <f t="shared" si="9"/>
        <v>OK</v>
      </c>
      <c r="O110" s="14" t="s">
        <v>236</v>
      </c>
    </row>
    <row r="111" spans="1:15" x14ac:dyDescent="0.25">
      <c r="A111" s="24">
        <f t="shared" si="5"/>
        <v>109</v>
      </c>
      <c r="B111" s="25" t="s">
        <v>237</v>
      </c>
      <c r="C111" s="25" t="s">
        <v>16</v>
      </c>
      <c r="D111" s="26" t="s">
        <v>174</v>
      </c>
      <c r="E111" s="27">
        <v>0</v>
      </c>
      <c r="F111" s="27">
        <v>12</v>
      </c>
      <c r="G111" s="27">
        <f t="shared" si="6"/>
        <v>0</v>
      </c>
      <c r="H111" s="26" t="s">
        <v>18</v>
      </c>
      <c r="I111" s="16">
        <f>SUMIFS([1]IMPORT!$L$2:$L$93,[1]IMPORT!$J$2:$J$93,[1]CDC!B111)</f>
        <v>0</v>
      </c>
      <c r="J111" s="16">
        <f>SUMIFS([1]IMPORT!$Q$2:$Q$93,[1]IMPORT!$J$2:$J$93,[1]CDC!B111)</f>
        <v>0</v>
      </c>
      <c r="K111" s="16">
        <f>SUMIFS([1]IMPORT!$N$2:$N$93,[1]IMPORT!$J$2:$J$93,[1]CDC!B111)</f>
        <v>0</v>
      </c>
      <c r="L111" s="16">
        <f t="shared" si="7"/>
        <v>0</v>
      </c>
      <c r="M111" s="17">
        <v>0</v>
      </c>
      <c r="N111" s="16" t="str">
        <f t="shared" si="9"/>
        <v>CHECK</v>
      </c>
      <c r="O111" s="26" t="s">
        <v>238</v>
      </c>
    </row>
    <row r="112" spans="1:15" x14ac:dyDescent="0.25">
      <c r="A112" s="24">
        <f t="shared" si="5"/>
        <v>110</v>
      </c>
      <c r="B112" s="25" t="s">
        <v>239</v>
      </c>
      <c r="C112" s="25" t="s">
        <v>16</v>
      </c>
      <c r="D112" s="26" t="s">
        <v>174</v>
      </c>
      <c r="E112" s="27">
        <v>0</v>
      </c>
      <c r="F112" s="27">
        <v>5</v>
      </c>
      <c r="G112" s="27">
        <f t="shared" si="6"/>
        <v>0</v>
      </c>
      <c r="H112" s="26" t="s">
        <v>18</v>
      </c>
      <c r="I112" s="16">
        <f>SUMIFS([1]IMPORT!$L$2:$L$93,[1]IMPORT!$J$2:$J$93,[1]CDC!B112)</f>
        <v>0</v>
      </c>
      <c r="J112" s="16">
        <f>SUMIFS([1]IMPORT!$Q$2:$Q$93,[1]IMPORT!$J$2:$J$93,[1]CDC!B112)</f>
        <v>0</v>
      </c>
      <c r="K112" s="16">
        <f>SUMIFS([1]IMPORT!$N$2:$N$93,[1]IMPORT!$J$2:$J$93,[1]CDC!B112)</f>
        <v>0</v>
      </c>
      <c r="L112" s="16">
        <f t="shared" si="7"/>
        <v>0</v>
      </c>
      <c r="M112" s="17">
        <v>0</v>
      </c>
      <c r="N112" s="16" t="str">
        <f t="shared" si="9"/>
        <v>CHECK</v>
      </c>
      <c r="O112" s="26" t="s">
        <v>240</v>
      </c>
    </row>
    <row r="113" spans="1:15" x14ac:dyDescent="0.25">
      <c r="A113" s="12">
        <f t="shared" si="5"/>
        <v>111</v>
      </c>
      <c r="B113" s="13" t="s">
        <v>241</v>
      </c>
      <c r="C113" s="13" t="s">
        <v>16</v>
      </c>
      <c r="D113" s="14" t="s">
        <v>17</v>
      </c>
      <c r="E113" s="15">
        <v>5</v>
      </c>
      <c r="F113" s="15">
        <v>500</v>
      </c>
      <c r="G113" s="15">
        <f t="shared" si="6"/>
        <v>2500</v>
      </c>
      <c r="H113" s="14" t="s">
        <v>18</v>
      </c>
      <c r="I113" s="16">
        <f>SUMIFS([1]IMPORT!$L$2:$L$93,[1]IMPORT!$J$2:$J$93,[1]CDC!B113)</f>
        <v>0</v>
      </c>
      <c r="J113" s="16">
        <f>SUMIFS([1]IMPORT!$Q$2:$Q$93,[1]IMPORT!$J$2:$J$93,[1]CDC!B113)</f>
        <v>0</v>
      </c>
      <c r="K113" s="16">
        <f>SUMIFS([1]IMPORT!$N$2:$N$93,[1]IMPORT!$J$2:$J$93,[1]CDC!B113)</f>
        <v>0</v>
      </c>
      <c r="L113" s="16">
        <f t="shared" si="7"/>
        <v>5</v>
      </c>
      <c r="M113" s="17">
        <f t="shared" si="8"/>
        <v>1</v>
      </c>
      <c r="N113" s="16" t="str">
        <f t="shared" si="9"/>
        <v>OK</v>
      </c>
      <c r="O113" s="14" t="s">
        <v>242</v>
      </c>
    </row>
    <row r="114" spans="1:15" x14ac:dyDescent="0.25">
      <c r="A114" s="24">
        <f t="shared" si="5"/>
        <v>112</v>
      </c>
      <c r="B114" s="25" t="s">
        <v>243</v>
      </c>
      <c r="C114" s="25" t="s">
        <v>16</v>
      </c>
      <c r="D114" s="26" t="s">
        <v>174</v>
      </c>
      <c r="E114" s="27">
        <v>0</v>
      </c>
      <c r="F114" s="27">
        <v>8</v>
      </c>
      <c r="G114" s="27">
        <f t="shared" si="6"/>
        <v>0</v>
      </c>
      <c r="H114" s="26" t="s">
        <v>18</v>
      </c>
      <c r="I114" s="16">
        <f>SUMIFS([1]IMPORT!$L$2:$L$93,[1]IMPORT!$J$2:$J$93,[1]CDC!B114)</f>
        <v>0</v>
      </c>
      <c r="J114" s="16">
        <f>SUMIFS([1]IMPORT!$Q$2:$Q$93,[1]IMPORT!$J$2:$J$93,[1]CDC!B114)</f>
        <v>0</v>
      </c>
      <c r="K114" s="16">
        <f>SUMIFS([1]IMPORT!$N$2:$N$93,[1]IMPORT!$J$2:$J$93,[1]CDC!B114)</f>
        <v>0</v>
      </c>
      <c r="L114" s="16">
        <f t="shared" si="7"/>
        <v>0</v>
      </c>
      <c r="M114" s="17">
        <v>0</v>
      </c>
      <c r="N114" s="16" t="str">
        <f t="shared" si="9"/>
        <v>CHECK</v>
      </c>
      <c r="O114" s="26" t="s">
        <v>244</v>
      </c>
    </row>
    <row r="115" spans="1:15" x14ac:dyDescent="0.25">
      <c r="A115" s="24">
        <f t="shared" si="5"/>
        <v>113</v>
      </c>
      <c r="B115" s="25" t="s">
        <v>245</v>
      </c>
      <c r="C115" s="25" t="s">
        <v>16</v>
      </c>
      <c r="D115" s="26" t="s">
        <v>174</v>
      </c>
      <c r="E115" s="27">
        <v>0</v>
      </c>
      <c r="F115" s="27">
        <v>1</v>
      </c>
      <c r="G115" s="27">
        <f t="shared" si="6"/>
        <v>0</v>
      </c>
      <c r="H115" s="26" t="s">
        <v>18</v>
      </c>
      <c r="I115" s="16">
        <f>SUMIFS([1]IMPORT!$L$2:$L$93,[1]IMPORT!$J$2:$J$93,[1]CDC!B115)</f>
        <v>0</v>
      </c>
      <c r="J115" s="16">
        <f>SUMIFS([1]IMPORT!$Q$2:$Q$93,[1]IMPORT!$J$2:$J$93,[1]CDC!B115)</f>
        <v>0</v>
      </c>
      <c r="K115" s="16">
        <f>SUMIFS([1]IMPORT!$N$2:$N$93,[1]IMPORT!$J$2:$J$93,[1]CDC!B115)</f>
        <v>0</v>
      </c>
      <c r="L115" s="16">
        <f t="shared" si="7"/>
        <v>0</v>
      </c>
      <c r="M115" s="17">
        <v>0</v>
      </c>
      <c r="N115" s="16" t="str">
        <f t="shared" si="9"/>
        <v>CHECK</v>
      </c>
      <c r="O115" s="26" t="s">
        <v>246</v>
      </c>
    </row>
    <row r="116" spans="1:15" x14ac:dyDescent="0.25">
      <c r="A116" s="24">
        <f t="shared" si="5"/>
        <v>114</v>
      </c>
      <c r="B116" s="25" t="s">
        <v>247</v>
      </c>
      <c r="C116" s="25" t="s">
        <v>16</v>
      </c>
      <c r="D116" s="26" t="s">
        <v>174</v>
      </c>
      <c r="E116" s="27">
        <v>0</v>
      </c>
      <c r="F116" s="27">
        <v>5</v>
      </c>
      <c r="G116" s="27">
        <f t="shared" si="6"/>
        <v>0</v>
      </c>
      <c r="H116" s="26" t="s">
        <v>18</v>
      </c>
      <c r="I116" s="16">
        <f>SUMIFS([1]IMPORT!$L$2:$L$93,[1]IMPORT!$J$2:$J$93,[1]CDC!B116)</f>
        <v>0</v>
      </c>
      <c r="J116" s="16">
        <f>SUMIFS([1]IMPORT!$Q$2:$Q$93,[1]IMPORT!$J$2:$J$93,[1]CDC!B116)</f>
        <v>0</v>
      </c>
      <c r="K116" s="16">
        <f>SUMIFS([1]IMPORT!$N$2:$N$93,[1]IMPORT!$J$2:$J$93,[1]CDC!B116)</f>
        <v>0</v>
      </c>
      <c r="L116" s="16">
        <f t="shared" si="7"/>
        <v>0</v>
      </c>
      <c r="M116" s="17">
        <v>0</v>
      </c>
      <c r="N116" s="16" t="str">
        <f t="shared" si="9"/>
        <v>CHECK</v>
      </c>
      <c r="O116" s="26" t="s">
        <v>248</v>
      </c>
    </row>
    <row r="117" spans="1:15" x14ac:dyDescent="0.25">
      <c r="A117" s="24">
        <f t="shared" si="5"/>
        <v>115</v>
      </c>
      <c r="B117" s="25" t="s">
        <v>249</v>
      </c>
      <c r="C117" s="25" t="s">
        <v>16</v>
      </c>
      <c r="D117" s="26" t="s">
        <v>17</v>
      </c>
      <c r="E117" s="27">
        <v>0</v>
      </c>
      <c r="F117" s="27">
        <v>13</v>
      </c>
      <c r="G117" s="27">
        <f t="shared" si="6"/>
        <v>0</v>
      </c>
      <c r="H117" s="26" t="s">
        <v>18</v>
      </c>
      <c r="I117" s="16">
        <f>SUMIFS([1]IMPORT!$L$2:$L$93,[1]IMPORT!$J$2:$J$93,[1]CDC!B117)</f>
        <v>0</v>
      </c>
      <c r="J117" s="16">
        <f>SUMIFS([1]IMPORT!$Q$2:$Q$93,[1]IMPORT!$J$2:$J$93,[1]CDC!B117)</f>
        <v>0</v>
      </c>
      <c r="K117" s="16">
        <f>SUMIFS([1]IMPORT!$N$2:$N$93,[1]IMPORT!$J$2:$J$93,[1]CDC!B117)</f>
        <v>0</v>
      </c>
      <c r="L117" s="16">
        <f t="shared" si="7"/>
        <v>0</v>
      </c>
      <c r="M117" s="17">
        <v>0</v>
      </c>
      <c r="N117" s="16" t="str">
        <f t="shared" si="9"/>
        <v>CHECK</v>
      </c>
      <c r="O117" s="26" t="s">
        <v>250</v>
      </c>
    </row>
    <row r="118" spans="1:15" x14ac:dyDescent="0.25">
      <c r="A118" s="24">
        <f t="shared" si="5"/>
        <v>116</v>
      </c>
      <c r="B118" s="25" t="s">
        <v>251</v>
      </c>
      <c r="C118" s="25" t="s">
        <v>16</v>
      </c>
      <c r="D118" s="26" t="s">
        <v>174</v>
      </c>
      <c r="E118" s="27">
        <v>0</v>
      </c>
      <c r="F118" s="27">
        <v>3</v>
      </c>
      <c r="G118" s="27">
        <f t="shared" si="6"/>
        <v>0</v>
      </c>
      <c r="H118" s="26" t="s">
        <v>18</v>
      </c>
      <c r="I118" s="16">
        <f>SUMIFS([1]IMPORT!$L$2:$L$93,[1]IMPORT!$J$2:$J$93,[1]CDC!B118)</f>
        <v>0</v>
      </c>
      <c r="J118" s="16">
        <f>SUMIFS([1]IMPORT!$Q$2:$Q$93,[1]IMPORT!$J$2:$J$93,[1]CDC!B118)</f>
        <v>0</v>
      </c>
      <c r="K118" s="16">
        <f>SUMIFS([1]IMPORT!$N$2:$N$93,[1]IMPORT!$J$2:$J$93,[1]CDC!B118)</f>
        <v>0</v>
      </c>
      <c r="L118" s="16">
        <f t="shared" si="7"/>
        <v>0</v>
      </c>
      <c r="M118" s="17">
        <v>0</v>
      </c>
      <c r="N118" s="16" t="str">
        <f t="shared" si="9"/>
        <v>CHECK</v>
      </c>
      <c r="O118" s="26" t="s">
        <v>252</v>
      </c>
    </row>
    <row r="119" spans="1:15" x14ac:dyDescent="0.25">
      <c r="A119" s="24">
        <f t="shared" si="5"/>
        <v>117</v>
      </c>
      <c r="B119" s="25" t="s">
        <v>253</v>
      </c>
      <c r="C119" s="25" t="s">
        <v>16</v>
      </c>
      <c r="D119" s="26" t="s">
        <v>17</v>
      </c>
      <c r="E119" s="27">
        <v>0</v>
      </c>
      <c r="F119" s="27">
        <v>350</v>
      </c>
      <c r="G119" s="27">
        <f t="shared" si="6"/>
        <v>0</v>
      </c>
      <c r="H119" s="26" t="s">
        <v>18</v>
      </c>
      <c r="I119" s="16">
        <f>SUMIFS([1]IMPORT!$L$2:$L$93,[1]IMPORT!$J$2:$J$93,[1]CDC!B119)</f>
        <v>0</v>
      </c>
      <c r="J119" s="16">
        <f>SUMIFS([1]IMPORT!$Q$2:$Q$93,[1]IMPORT!$J$2:$J$93,[1]CDC!B119)</f>
        <v>0</v>
      </c>
      <c r="K119" s="16">
        <f>SUMIFS([1]IMPORT!$N$2:$N$93,[1]IMPORT!$J$2:$J$93,[1]CDC!B119)</f>
        <v>0</v>
      </c>
      <c r="L119" s="16">
        <f t="shared" si="7"/>
        <v>0</v>
      </c>
      <c r="M119" s="17">
        <v>0</v>
      </c>
      <c r="N119" s="16" t="str">
        <f t="shared" si="9"/>
        <v>CHECK</v>
      </c>
      <c r="O119" s="26" t="s">
        <v>254</v>
      </c>
    </row>
    <row r="120" spans="1:15" x14ac:dyDescent="0.25">
      <c r="A120" s="24">
        <f t="shared" si="5"/>
        <v>118</v>
      </c>
      <c r="B120" s="25" t="s">
        <v>255</v>
      </c>
      <c r="C120" s="25" t="s">
        <v>16</v>
      </c>
      <c r="D120" s="26" t="s">
        <v>17</v>
      </c>
      <c r="E120" s="27">
        <v>0</v>
      </c>
      <c r="F120" s="27">
        <v>120</v>
      </c>
      <c r="G120" s="27">
        <f t="shared" si="6"/>
        <v>0</v>
      </c>
      <c r="H120" s="26" t="s">
        <v>18</v>
      </c>
      <c r="I120" s="16">
        <f>SUMIFS([1]IMPORT!$L$2:$L$93,[1]IMPORT!$J$2:$J$93,[1]CDC!B120)</f>
        <v>0</v>
      </c>
      <c r="J120" s="16">
        <f>SUMIFS([1]IMPORT!$Q$2:$Q$93,[1]IMPORT!$J$2:$J$93,[1]CDC!B120)</f>
        <v>0</v>
      </c>
      <c r="K120" s="16">
        <f>SUMIFS([1]IMPORT!$N$2:$N$93,[1]IMPORT!$J$2:$J$93,[1]CDC!B120)</f>
        <v>0</v>
      </c>
      <c r="L120" s="16">
        <f t="shared" si="7"/>
        <v>0</v>
      </c>
      <c r="M120" s="17">
        <v>0</v>
      </c>
      <c r="N120" s="16" t="str">
        <f t="shared" si="9"/>
        <v>CHECK</v>
      </c>
      <c r="O120" s="26" t="s">
        <v>256</v>
      </c>
    </row>
    <row r="121" spans="1:15" x14ac:dyDescent="0.25">
      <c r="A121" s="24">
        <f t="shared" si="5"/>
        <v>119</v>
      </c>
      <c r="B121" s="25" t="s">
        <v>257</v>
      </c>
      <c r="C121" s="25" t="s">
        <v>16</v>
      </c>
      <c r="D121" s="26" t="s">
        <v>174</v>
      </c>
      <c r="E121" s="27">
        <v>0</v>
      </c>
      <c r="F121" s="27">
        <v>12</v>
      </c>
      <c r="G121" s="27">
        <f t="shared" si="6"/>
        <v>0</v>
      </c>
      <c r="H121" s="26" t="s">
        <v>18</v>
      </c>
      <c r="I121" s="16">
        <f>SUMIFS([1]IMPORT!$L$2:$L$93,[1]IMPORT!$J$2:$J$93,[1]CDC!B121)</f>
        <v>0</v>
      </c>
      <c r="J121" s="16">
        <f>SUMIFS([1]IMPORT!$Q$2:$Q$93,[1]IMPORT!$J$2:$J$93,[1]CDC!B121)</f>
        <v>0</v>
      </c>
      <c r="K121" s="16">
        <f>SUMIFS([1]IMPORT!$N$2:$N$93,[1]IMPORT!$J$2:$J$93,[1]CDC!B121)</f>
        <v>0</v>
      </c>
      <c r="L121" s="16">
        <f t="shared" si="7"/>
        <v>0</v>
      </c>
      <c r="M121" s="17">
        <v>0</v>
      </c>
      <c r="N121" s="16" t="str">
        <f t="shared" si="9"/>
        <v>CHECK</v>
      </c>
      <c r="O121" s="26" t="s">
        <v>258</v>
      </c>
    </row>
    <row r="122" spans="1:15" x14ac:dyDescent="0.25">
      <c r="A122" s="24">
        <f t="shared" si="5"/>
        <v>120</v>
      </c>
      <c r="B122" s="25" t="s">
        <v>259</v>
      </c>
      <c r="C122" s="25" t="s">
        <v>16</v>
      </c>
      <c r="D122" s="26" t="s">
        <v>223</v>
      </c>
      <c r="E122" s="27">
        <v>0</v>
      </c>
      <c r="F122" s="27">
        <v>35</v>
      </c>
      <c r="G122" s="27">
        <f t="shared" si="6"/>
        <v>0</v>
      </c>
      <c r="H122" s="26" t="s">
        <v>18</v>
      </c>
      <c r="I122" s="16">
        <f>SUMIFS([1]IMPORT!$L$2:$L$93,[1]IMPORT!$J$2:$J$93,[1]CDC!B122)</f>
        <v>0</v>
      </c>
      <c r="J122" s="16">
        <f>SUMIFS([1]IMPORT!$Q$2:$Q$93,[1]IMPORT!$J$2:$J$93,[1]CDC!B122)</f>
        <v>0</v>
      </c>
      <c r="K122" s="16">
        <f>SUMIFS([1]IMPORT!$N$2:$N$93,[1]IMPORT!$J$2:$J$93,[1]CDC!B122)</f>
        <v>0</v>
      </c>
      <c r="L122" s="16">
        <f t="shared" si="7"/>
        <v>0</v>
      </c>
      <c r="M122" s="17">
        <v>0</v>
      </c>
      <c r="N122" s="16" t="str">
        <f t="shared" si="9"/>
        <v>CHECK</v>
      </c>
      <c r="O122" s="26" t="s">
        <v>260</v>
      </c>
    </row>
    <row r="123" spans="1:15" x14ac:dyDescent="0.25">
      <c r="A123" s="24">
        <f t="shared" si="5"/>
        <v>121</v>
      </c>
      <c r="B123" s="25" t="s">
        <v>261</v>
      </c>
      <c r="C123" s="25" t="s">
        <v>16</v>
      </c>
      <c r="D123" s="26" t="s">
        <v>223</v>
      </c>
      <c r="E123" s="27">
        <v>0</v>
      </c>
      <c r="F123" s="27">
        <v>5</v>
      </c>
      <c r="G123" s="27">
        <f t="shared" si="6"/>
        <v>0</v>
      </c>
      <c r="H123" s="26" t="s">
        <v>18</v>
      </c>
      <c r="I123" s="16">
        <f>SUMIFS([1]IMPORT!$L$2:$L$93,[1]IMPORT!$J$2:$J$93,[1]CDC!B123)</f>
        <v>0</v>
      </c>
      <c r="J123" s="16">
        <f>SUMIFS([1]IMPORT!$Q$2:$Q$93,[1]IMPORT!$J$2:$J$93,[1]CDC!B123)</f>
        <v>0</v>
      </c>
      <c r="K123" s="16">
        <f>SUMIFS([1]IMPORT!$N$2:$N$93,[1]IMPORT!$J$2:$J$93,[1]CDC!B123)</f>
        <v>0</v>
      </c>
      <c r="L123" s="16">
        <f t="shared" si="7"/>
        <v>0</v>
      </c>
      <c r="M123" s="17">
        <v>0</v>
      </c>
      <c r="N123" s="16" t="str">
        <f t="shared" si="9"/>
        <v>CHECK</v>
      </c>
      <c r="O123" s="26" t="s">
        <v>262</v>
      </c>
    </row>
    <row r="124" spans="1:15" x14ac:dyDescent="0.25">
      <c r="A124" s="12">
        <f t="shared" si="5"/>
        <v>122</v>
      </c>
      <c r="B124" s="13" t="s">
        <v>263</v>
      </c>
      <c r="C124" s="13" t="s">
        <v>16</v>
      </c>
      <c r="D124" s="14" t="s">
        <v>17</v>
      </c>
      <c r="E124" s="15">
        <v>100</v>
      </c>
      <c r="F124" s="15">
        <v>20</v>
      </c>
      <c r="G124" s="15">
        <f t="shared" si="6"/>
        <v>2000</v>
      </c>
      <c r="H124" s="14" t="s">
        <v>18</v>
      </c>
      <c r="I124" s="16">
        <f>SUMIFS([1]IMPORT!$L$2:$L$93,[1]IMPORT!$J$2:$J$93,[1]CDC!B124)</f>
        <v>0</v>
      </c>
      <c r="J124" s="16">
        <f>SUMIFS([1]IMPORT!$Q$2:$Q$93,[1]IMPORT!$J$2:$J$93,[1]CDC!B124)</f>
        <v>0</v>
      </c>
      <c r="K124" s="16">
        <f>SUMIFS([1]IMPORT!$N$2:$N$93,[1]IMPORT!$J$2:$J$93,[1]CDC!B124)</f>
        <v>0</v>
      </c>
      <c r="L124" s="16">
        <f t="shared" si="7"/>
        <v>100</v>
      </c>
      <c r="M124" s="17">
        <f t="shared" si="8"/>
        <v>1</v>
      </c>
      <c r="N124" s="16" t="str">
        <f t="shared" si="9"/>
        <v>OK</v>
      </c>
      <c r="O124" s="14" t="s">
        <v>264</v>
      </c>
    </row>
    <row r="125" spans="1:15" x14ac:dyDescent="0.25">
      <c r="A125" s="12">
        <f t="shared" si="5"/>
        <v>123</v>
      </c>
      <c r="B125" s="13" t="s">
        <v>265</v>
      </c>
      <c r="C125" s="13" t="s">
        <v>16</v>
      </c>
      <c r="D125" s="14" t="s">
        <v>17</v>
      </c>
      <c r="E125" s="15">
        <v>3</v>
      </c>
      <c r="F125" s="15">
        <v>1000</v>
      </c>
      <c r="G125" s="15">
        <f t="shared" si="6"/>
        <v>3000</v>
      </c>
      <c r="H125" s="14" t="s">
        <v>18</v>
      </c>
      <c r="I125" s="16">
        <f>SUMIFS([1]IMPORT!$L$2:$L$93,[1]IMPORT!$J$2:$J$93,[1]CDC!B125)</f>
        <v>0</v>
      </c>
      <c r="J125" s="16">
        <f>SUMIFS([1]IMPORT!$Q$2:$Q$93,[1]IMPORT!$J$2:$J$93,[1]CDC!B125)</f>
        <v>0</v>
      </c>
      <c r="K125" s="16">
        <f>SUMIFS([1]IMPORT!$N$2:$N$93,[1]IMPORT!$J$2:$J$93,[1]CDC!B125)</f>
        <v>0</v>
      </c>
      <c r="L125" s="16">
        <f t="shared" si="7"/>
        <v>3</v>
      </c>
      <c r="M125" s="17">
        <f t="shared" si="8"/>
        <v>1</v>
      </c>
      <c r="N125" s="16" t="str">
        <f t="shared" si="9"/>
        <v>OK</v>
      </c>
      <c r="O125" s="14" t="s">
        <v>266</v>
      </c>
    </row>
    <row r="126" spans="1:15" x14ac:dyDescent="0.25">
      <c r="A126" s="12"/>
      <c r="B126" s="13"/>
      <c r="C126" s="13"/>
      <c r="D126" s="14"/>
      <c r="E126" s="15"/>
      <c r="F126" s="15"/>
      <c r="G126" s="15"/>
      <c r="H126" s="14"/>
      <c r="I126" s="16">
        <f>SUM(I3:I125)</f>
        <v>481</v>
      </c>
      <c r="J126" s="16"/>
      <c r="K126" s="16"/>
      <c r="L126" s="16"/>
      <c r="M126" s="17"/>
      <c r="N126" s="16"/>
      <c r="O126" s="14"/>
    </row>
    <row r="127" spans="1:15" ht="18.75" x14ac:dyDescent="0.25">
      <c r="A127" s="28" t="s">
        <v>267</v>
      </c>
      <c r="B127" s="13"/>
      <c r="C127" s="13"/>
      <c r="D127" s="14"/>
      <c r="E127" s="15"/>
      <c r="F127" s="15"/>
      <c r="G127" s="15"/>
      <c r="H127" s="14"/>
      <c r="I127" s="16">
        <f>SUMIFS([1]IMPORT!$L$2:$L$93,[1]IMPORT!$J$2:$J$93,[1]CDC!B127)</f>
        <v>20</v>
      </c>
      <c r="J127" s="16">
        <f>SUMIFS([1]IMPORT!$Q$2:$Q$93,[1]IMPORT!$J$2:$J$93,[1]CDC!B127)</f>
        <v>400</v>
      </c>
      <c r="K127" s="16">
        <f>SUMIFS([1]IMPORT!$N$2:$N$93,[1]IMPORT!$J$2:$J$93,[1]CDC!B127)</f>
        <v>25</v>
      </c>
      <c r="L127" s="16">
        <f t="shared" si="7"/>
        <v>-20</v>
      </c>
      <c r="M127" s="17"/>
      <c r="N127" s="16"/>
      <c r="O127" s="14"/>
    </row>
    <row r="128" spans="1:15" x14ac:dyDescent="0.25">
      <c r="A128" s="12">
        <f>A125+1</f>
        <v>124</v>
      </c>
      <c r="B128" s="13" t="s">
        <v>268</v>
      </c>
      <c r="C128" s="13"/>
      <c r="D128" s="14" t="s">
        <v>174</v>
      </c>
      <c r="E128" s="15">
        <v>900000</v>
      </c>
      <c r="F128" s="15">
        <v>1.8</v>
      </c>
      <c r="G128" s="15">
        <f t="shared" si="6"/>
        <v>1620000</v>
      </c>
      <c r="H128" s="14" t="s">
        <v>18</v>
      </c>
      <c r="I128" s="16">
        <f>SUMIFS([1]IMPORT!$L$2:$L$93,[1]IMPORT!$J$2:$J$93,[1]CDC!B128)</f>
        <v>0</v>
      </c>
      <c r="J128" s="16">
        <f>SUMIFS([1]IMPORT!$Q$2:$Q$93,[1]IMPORT!$J$2:$J$93,[1]CDC!B128)</f>
        <v>0</v>
      </c>
      <c r="K128" s="16">
        <f>SUMIFS([1]IMPORT!$N$2:$N$93,[1]IMPORT!$J$2:$J$93,[1]CDC!B128)</f>
        <v>0</v>
      </c>
      <c r="L128" s="16">
        <f t="shared" si="7"/>
        <v>900000</v>
      </c>
      <c r="M128" s="17">
        <f t="shared" si="8"/>
        <v>1</v>
      </c>
      <c r="N128" s="16" t="str">
        <f t="shared" si="9"/>
        <v>OK</v>
      </c>
      <c r="O128" s="14" t="s">
        <v>269</v>
      </c>
    </row>
    <row r="129" spans="1:15" x14ac:dyDescent="0.25">
      <c r="A129" s="12">
        <f>A128+2</f>
        <v>126</v>
      </c>
      <c r="B129" s="13" t="s">
        <v>270</v>
      </c>
      <c r="C129" s="13"/>
      <c r="D129" s="14" t="s">
        <v>174</v>
      </c>
      <c r="E129" s="15">
        <v>900000</v>
      </c>
      <c r="F129" s="15">
        <v>1</v>
      </c>
      <c r="G129" s="15">
        <f t="shared" si="6"/>
        <v>900000</v>
      </c>
      <c r="H129" s="14" t="s">
        <v>18</v>
      </c>
      <c r="I129" s="16">
        <f>SUMIFS([1]IMPORT!$L$2:$L$93,[1]IMPORT!$J$2:$J$93,[1]CDC!B129)</f>
        <v>0</v>
      </c>
      <c r="J129" s="16">
        <f>SUMIFS([1]IMPORT!$Q$2:$Q$93,[1]IMPORT!$J$2:$J$93,[1]CDC!B129)</f>
        <v>0</v>
      </c>
      <c r="K129" s="16">
        <f>SUMIFS([1]IMPORT!$N$2:$N$93,[1]IMPORT!$J$2:$J$93,[1]CDC!B129)</f>
        <v>0</v>
      </c>
      <c r="L129" s="16">
        <f t="shared" si="7"/>
        <v>900000</v>
      </c>
      <c r="M129" s="17">
        <f t="shared" si="8"/>
        <v>1</v>
      </c>
      <c r="N129" s="16" t="str">
        <f t="shared" si="9"/>
        <v>OK</v>
      </c>
      <c r="O129" s="14" t="s">
        <v>271</v>
      </c>
    </row>
    <row r="130" spans="1:15" ht="18.75" x14ac:dyDescent="0.25">
      <c r="A130" s="28" t="s">
        <v>272</v>
      </c>
      <c r="B130" s="13"/>
      <c r="C130" s="13"/>
      <c r="D130" s="14"/>
      <c r="E130" s="15"/>
      <c r="F130" s="15"/>
      <c r="G130" s="15"/>
      <c r="H130" s="14"/>
      <c r="I130" s="16">
        <f>SUMIFS([1]IMPORT!$L$2:$L$93,[1]IMPORT!$J$2:$J$93,[1]CDC!B130)</f>
        <v>0</v>
      </c>
      <c r="J130" s="16">
        <f>SUMIFS([1]IMPORT!$Q$2:$Q$93,[1]IMPORT!$J$2:$J$93,[1]CDC!B130)</f>
        <v>0</v>
      </c>
      <c r="K130" s="16">
        <f>SUMIFS([1]IMPORT!$N$2:$N$93,[1]IMPORT!$J$2:$J$93,[1]CDC!B130)</f>
        <v>0</v>
      </c>
      <c r="L130" s="16">
        <f t="shared" si="7"/>
        <v>0</v>
      </c>
      <c r="M130" s="17"/>
      <c r="N130" s="16"/>
      <c r="O130" s="14"/>
    </row>
    <row r="131" spans="1:15" x14ac:dyDescent="0.25">
      <c r="A131" s="12">
        <v>126</v>
      </c>
      <c r="B131" s="13" t="s">
        <v>273</v>
      </c>
      <c r="C131" s="13"/>
      <c r="D131" s="14" t="s">
        <v>274</v>
      </c>
      <c r="E131" s="15">
        <v>1500000</v>
      </c>
      <c r="F131" s="15">
        <v>4</v>
      </c>
      <c r="G131" s="15">
        <f t="shared" si="6"/>
        <v>6000000</v>
      </c>
      <c r="H131" s="14" t="s">
        <v>18</v>
      </c>
      <c r="I131" s="16">
        <f>SUMIFS([1]IMPORT!$L$2:$L$93,[1]IMPORT!$J$2:$J$93,[1]CDC!B131)</f>
        <v>198504</v>
      </c>
      <c r="J131" s="16">
        <f>SUMIFS([1]IMPORT!$Q$2:$Q$93,[1]IMPORT!$J$2:$J$93,[1]CDC!B131)</f>
        <v>357307.20000000007</v>
      </c>
      <c r="K131" s="16">
        <f>SUMIFS([1]IMPORT!$N$2:$N$93,[1]IMPORT!$J$2:$J$93,[1]CDC!B131)</f>
        <v>60342.8</v>
      </c>
      <c r="L131" s="16">
        <f t="shared" si="7"/>
        <v>1301496</v>
      </c>
      <c r="M131" s="17">
        <f t="shared" si="8"/>
        <v>0.86766399999999999</v>
      </c>
      <c r="N131" s="16" t="str">
        <f t="shared" si="9"/>
        <v>OK</v>
      </c>
      <c r="O131" s="14" t="s">
        <v>275</v>
      </c>
    </row>
    <row r="132" spans="1:15" x14ac:dyDescent="0.25">
      <c r="A132" s="12">
        <v>127</v>
      </c>
      <c r="B132" s="13" t="s">
        <v>276</v>
      </c>
      <c r="C132" s="13"/>
      <c r="D132" s="14" t="s">
        <v>274</v>
      </c>
      <c r="E132" s="15">
        <v>374000</v>
      </c>
      <c r="F132" s="15">
        <v>2</v>
      </c>
      <c r="G132" s="15">
        <f t="shared" si="6"/>
        <v>748000</v>
      </c>
      <c r="H132" s="14" t="s">
        <v>18</v>
      </c>
      <c r="I132" s="16">
        <f>SUMIFS([1]IMPORT!$L$2:$L$93,[1]IMPORT!$J$2:$J$93,[1]CDC!B132)</f>
        <v>639817.4</v>
      </c>
      <c r="J132" s="16">
        <f>SUMIFS([1]IMPORT!$Q$2:$Q$93,[1]IMPORT!$J$2:$J$93,[1]CDC!B132)</f>
        <v>639817.4</v>
      </c>
      <c r="K132" s="16">
        <f>SUMIFS([1]IMPORT!$N$2:$N$93,[1]IMPORT!$J$2:$J$93,[1]CDC!B132)</f>
        <v>293125.09999999998</v>
      </c>
      <c r="L132" s="16">
        <f t="shared" si="7"/>
        <v>-265817.40000000002</v>
      </c>
      <c r="M132" s="17">
        <f t="shared" si="8"/>
        <v>-0.71074171122994656</v>
      </c>
      <c r="N132" s="16" t="str">
        <f t="shared" si="9"/>
        <v>CHECK</v>
      </c>
      <c r="O132" s="14" t="s">
        <v>277</v>
      </c>
    </row>
    <row r="133" spans="1:15" x14ac:dyDescent="0.25">
      <c r="A133" s="12">
        <v>128</v>
      </c>
      <c r="B133" s="13" t="s">
        <v>278</v>
      </c>
      <c r="C133" s="13"/>
      <c r="D133" s="14" t="s">
        <v>274</v>
      </c>
      <c r="E133" s="15">
        <v>234000</v>
      </c>
      <c r="F133" s="15">
        <v>3</v>
      </c>
      <c r="G133" s="15">
        <f t="shared" ref="G133:G196" si="10">F133*E133</f>
        <v>702000</v>
      </c>
      <c r="H133" s="14" t="s">
        <v>18</v>
      </c>
      <c r="I133" s="16">
        <f>SUMIFS([1]IMPORT!$L$2:$L$93,[1]IMPORT!$J$2:$J$93,[1]CDC!B133)</f>
        <v>0</v>
      </c>
      <c r="J133" s="16">
        <f>SUMIFS([1]IMPORT!$Q$2:$Q$93,[1]IMPORT!$J$2:$J$93,[1]CDC!B133)</f>
        <v>0</v>
      </c>
      <c r="K133" s="16">
        <f>SUMIFS([1]IMPORT!$N$2:$N$93,[1]IMPORT!$J$2:$J$93,[1]CDC!B133)</f>
        <v>0</v>
      </c>
      <c r="L133" s="16">
        <f t="shared" ref="L133:L196" si="11">E133-I133</f>
        <v>234000</v>
      </c>
      <c r="M133" s="17">
        <f t="shared" ref="M133:M196" si="12">L133/E133</f>
        <v>1</v>
      </c>
      <c r="N133" s="16" t="str">
        <f t="shared" ref="N133:N196" si="13">IF(M133&lt;50%,"CHECK","OK")</f>
        <v>OK</v>
      </c>
      <c r="O133" s="14" t="s">
        <v>279</v>
      </c>
    </row>
    <row r="134" spans="1:15" x14ac:dyDescent="0.25">
      <c r="A134" s="12">
        <v>129</v>
      </c>
      <c r="B134" s="13" t="s">
        <v>280</v>
      </c>
      <c r="C134" s="13"/>
      <c r="D134" s="14" t="s">
        <v>281</v>
      </c>
      <c r="E134" s="15">
        <v>334000</v>
      </c>
      <c r="F134" s="15">
        <v>2</v>
      </c>
      <c r="G134" s="15">
        <f t="shared" si="10"/>
        <v>668000</v>
      </c>
      <c r="H134" s="14" t="s">
        <v>18</v>
      </c>
      <c r="I134" s="16">
        <f>SUMIFS([1]IMPORT!$L$2:$L$93,[1]IMPORT!$J$2:$J$93,[1]CDC!B134)</f>
        <v>0</v>
      </c>
      <c r="J134" s="16">
        <f>SUMIFS([1]IMPORT!$Q$2:$Q$93,[1]IMPORT!$J$2:$J$93,[1]CDC!B134)</f>
        <v>0</v>
      </c>
      <c r="K134" s="16">
        <f>SUMIFS([1]IMPORT!$N$2:$N$93,[1]IMPORT!$J$2:$J$93,[1]CDC!B134)</f>
        <v>0</v>
      </c>
      <c r="L134" s="16">
        <f t="shared" si="11"/>
        <v>334000</v>
      </c>
      <c r="M134" s="17">
        <f t="shared" si="12"/>
        <v>1</v>
      </c>
      <c r="N134" s="16" t="str">
        <f t="shared" si="13"/>
        <v>OK</v>
      </c>
      <c r="O134" s="14" t="s">
        <v>282</v>
      </c>
    </row>
    <row r="135" spans="1:15" x14ac:dyDescent="0.25">
      <c r="A135" s="12">
        <v>130</v>
      </c>
      <c r="B135" s="13" t="s">
        <v>283</v>
      </c>
      <c r="C135" s="13"/>
      <c r="D135" s="14" t="s">
        <v>174</v>
      </c>
      <c r="E135" s="15">
        <v>1000000</v>
      </c>
      <c r="F135" s="15">
        <v>0.2</v>
      </c>
      <c r="G135" s="15">
        <f t="shared" si="10"/>
        <v>200000</v>
      </c>
      <c r="H135" s="14" t="s">
        <v>18</v>
      </c>
      <c r="I135" s="16">
        <f>SUMIFS([1]IMPORT!$L$2:$L$93,[1]IMPORT!$J$2:$J$93,[1]CDC!B135)</f>
        <v>0</v>
      </c>
      <c r="J135" s="16">
        <f>SUMIFS([1]IMPORT!$Q$2:$Q$93,[1]IMPORT!$J$2:$J$93,[1]CDC!B135)</f>
        <v>0</v>
      </c>
      <c r="K135" s="16">
        <f>SUMIFS([1]IMPORT!$N$2:$N$93,[1]IMPORT!$J$2:$J$93,[1]CDC!B135)</f>
        <v>0</v>
      </c>
      <c r="L135" s="16">
        <f t="shared" si="11"/>
        <v>1000000</v>
      </c>
      <c r="M135" s="17">
        <f t="shared" si="12"/>
        <v>1</v>
      </c>
      <c r="N135" s="16" t="str">
        <f t="shared" si="13"/>
        <v>OK</v>
      </c>
      <c r="O135" s="14" t="s">
        <v>284</v>
      </c>
    </row>
    <row r="136" spans="1:15" x14ac:dyDescent="0.25">
      <c r="A136" s="12">
        <v>131</v>
      </c>
      <c r="B136" s="13" t="s">
        <v>285</v>
      </c>
      <c r="C136" s="13"/>
      <c r="D136" s="14" t="s">
        <v>174</v>
      </c>
      <c r="E136" s="15">
        <v>14000</v>
      </c>
      <c r="F136" s="15">
        <v>3</v>
      </c>
      <c r="G136" s="15">
        <f t="shared" si="10"/>
        <v>42000</v>
      </c>
      <c r="H136" s="14" t="s">
        <v>18</v>
      </c>
      <c r="I136" s="16">
        <f>SUMIFS([1]IMPORT!$L$2:$L$93,[1]IMPORT!$J$2:$J$93,[1]CDC!B136)</f>
        <v>0</v>
      </c>
      <c r="J136" s="16">
        <f>SUMIFS([1]IMPORT!$Q$2:$Q$93,[1]IMPORT!$J$2:$J$93,[1]CDC!B136)</f>
        <v>0</v>
      </c>
      <c r="K136" s="16">
        <f>SUMIFS([1]IMPORT!$N$2:$N$93,[1]IMPORT!$J$2:$J$93,[1]CDC!B136)</f>
        <v>0</v>
      </c>
      <c r="L136" s="16">
        <f t="shared" si="11"/>
        <v>14000</v>
      </c>
      <c r="M136" s="17">
        <f t="shared" si="12"/>
        <v>1</v>
      </c>
      <c r="N136" s="16" t="str">
        <f t="shared" si="13"/>
        <v>OK</v>
      </c>
      <c r="O136" s="14" t="s">
        <v>286</v>
      </c>
    </row>
    <row r="137" spans="1:15" x14ac:dyDescent="0.25">
      <c r="A137" s="12">
        <v>132</v>
      </c>
      <c r="B137" s="13" t="s">
        <v>287</v>
      </c>
      <c r="C137" s="13"/>
      <c r="D137" s="14" t="s">
        <v>288</v>
      </c>
      <c r="E137" s="15">
        <v>300000</v>
      </c>
      <c r="F137" s="15">
        <v>0.45</v>
      </c>
      <c r="G137" s="15">
        <f t="shared" si="10"/>
        <v>135000</v>
      </c>
      <c r="H137" s="14" t="s">
        <v>289</v>
      </c>
      <c r="I137" s="16">
        <f>SUMIFS([1]IMPORT!$L$2:$L$93,[1]IMPORT!$J$2:$J$93,[1]CDC!B137)</f>
        <v>0</v>
      </c>
      <c r="J137" s="16">
        <f>SUMIFS([1]IMPORT!$Q$2:$Q$93,[1]IMPORT!$J$2:$J$93,[1]CDC!B137)</f>
        <v>0</v>
      </c>
      <c r="K137" s="16">
        <f>SUMIFS([1]IMPORT!$N$2:$N$93,[1]IMPORT!$J$2:$J$93,[1]CDC!B137)</f>
        <v>0</v>
      </c>
      <c r="L137" s="16">
        <f t="shared" si="11"/>
        <v>300000</v>
      </c>
      <c r="M137" s="17">
        <f t="shared" si="12"/>
        <v>1</v>
      </c>
      <c r="N137" s="16" t="str">
        <f t="shared" si="13"/>
        <v>OK</v>
      </c>
      <c r="O137" s="14" t="s">
        <v>290</v>
      </c>
    </row>
    <row r="138" spans="1:15" x14ac:dyDescent="0.25">
      <c r="A138" s="12">
        <v>133</v>
      </c>
      <c r="B138" s="13" t="s">
        <v>291</v>
      </c>
      <c r="C138" s="13"/>
      <c r="D138" s="14" t="s">
        <v>288</v>
      </c>
      <c r="E138" s="15">
        <v>134000</v>
      </c>
      <c r="F138" s="15">
        <v>0.45</v>
      </c>
      <c r="G138" s="15">
        <f t="shared" si="10"/>
        <v>60300</v>
      </c>
      <c r="H138" s="14" t="s">
        <v>289</v>
      </c>
      <c r="I138" s="16">
        <f>SUMIFS([1]IMPORT!$L$2:$L$93,[1]IMPORT!$J$2:$J$93,[1]CDC!B138)</f>
        <v>5985</v>
      </c>
      <c r="J138" s="16">
        <f>SUMIFS([1]IMPORT!$Q$2:$Q$93,[1]IMPORT!$J$2:$J$93,[1]CDC!B138)</f>
        <v>1197</v>
      </c>
      <c r="K138" s="16">
        <f>SUMIFS([1]IMPORT!$N$2:$N$93,[1]IMPORT!$J$2:$J$93,[1]CDC!B138)</f>
        <v>1142.75</v>
      </c>
      <c r="L138" s="16">
        <f t="shared" si="11"/>
        <v>128015</v>
      </c>
      <c r="M138" s="17">
        <f t="shared" si="12"/>
        <v>0.95533582089552238</v>
      </c>
      <c r="N138" s="16" t="str">
        <f t="shared" si="13"/>
        <v>OK</v>
      </c>
      <c r="O138" s="14" t="s">
        <v>292</v>
      </c>
    </row>
    <row r="139" spans="1:15" x14ac:dyDescent="0.25">
      <c r="A139" s="12">
        <v>134</v>
      </c>
      <c r="B139" s="13" t="s">
        <v>293</v>
      </c>
      <c r="C139" s="13"/>
      <c r="D139" s="14" t="s">
        <v>288</v>
      </c>
      <c r="E139" s="15">
        <v>300000</v>
      </c>
      <c r="F139" s="15">
        <v>0.45</v>
      </c>
      <c r="G139" s="15">
        <f t="shared" si="10"/>
        <v>135000</v>
      </c>
      <c r="H139" s="14" t="s">
        <v>289</v>
      </c>
      <c r="I139" s="16">
        <f>SUMIFS([1]IMPORT!$L$2:$L$93,[1]IMPORT!$J$2:$J$93,[1]CDC!B139)</f>
        <v>0</v>
      </c>
      <c r="J139" s="16">
        <f>SUMIFS([1]IMPORT!$Q$2:$Q$93,[1]IMPORT!$J$2:$J$93,[1]CDC!B139)</f>
        <v>0</v>
      </c>
      <c r="K139" s="16">
        <f>SUMIFS([1]IMPORT!$N$2:$N$93,[1]IMPORT!$J$2:$J$93,[1]CDC!B139)</f>
        <v>0</v>
      </c>
      <c r="L139" s="16">
        <f t="shared" si="11"/>
        <v>300000</v>
      </c>
      <c r="M139" s="17">
        <f t="shared" si="12"/>
        <v>1</v>
      </c>
      <c r="N139" s="16" t="str">
        <f t="shared" si="13"/>
        <v>OK</v>
      </c>
      <c r="O139" s="14" t="s">
        <v>294</v>
      </c>
    </row>
    <row r="140" spans="1:15" x14ac:dyDescent="0.25">
      <c r="A140" s="12">
        <v>135</v>
      </c>
      <c r="B140" s="13" t="s">
        <v>295</v>
      </c>
      <c r="C140" s="13"/>
      <c r="D140" s="14" t="s">
        <v>288</v>
      </c>
      <c r="E140" s="15">
        <v>50000</v>
      </c>
      <c r="F140" s="15">
        <v>0.4</v>
      </c>
      <c r="G140" s="15">
        <f t="shared" si="10"/>
        <v>20000</v>
      </c>
      <c r="H140" s="14" t="s">
        <v>289</v>
      </c>
      <c r="I140" s="16">
        <f>SUMIFS([1]IMPORT!$L$2:$L$93,[1]IMPORT!$J$2:$J$93,[1]CDC!B140)</f>
        <v>0</v>
      </c>
      <c r="J140" s="16">
        <f>SUMIFS([1]IMPORT!$Q$2:$Q$93,[1]IMPORT!$J$2:$J$93,[1]CDC!B140)</f>
        <v>0</v>
      </c>
      <c r="K140" s="16">
        <f>SUMIFS([1]IMPORT!$N$2:$N$93,[1]IMPORT!$J$2:$J$93,[1]CDC!B140)</f>
        <v>0</v>
      </c>
      <c r="L140" s="16">
        <f t="shared" si="11"/>
        <v>50000</v>
      </c>
      <c r="M140" s="17">
        <f t="shared" si="12"/>
        <v>1</v>
      </c>
      <c r="N140" s="16" t="str">
        <f t="shared" si="13"/>
        <v>OK</v>
      </c>
      <c r="O140" s="14" t="s">
        <v>296</v>
      </c>
    </row>
    <row r="141" spans="1:15" x14ac:dyDescent="0.25">
      <c r="A141" s="12">
        <v>136</v>
      </c>
      <c r="B141" s="13" t="s">
        <v>297</v>
      </c>
      <c r="C141" s="13"/>
      <c r="D141" s="14" t="s">
        <v>288</v>
      </c>
      <c r="E141" s="15">
        <v>9000</v>
      </c>
      <c r="F141" s="15">
        <v>0.5</v>
      </c>
      <c r="G141" s="15">
        <f t="shared" si="10"/>
        <v>4500</v>
      </c>
      <c r="H141" s="14" t="s">
        <v>289</v>
      </c>
      <c r="I141" s="16">
        <f>SUMIFS([1]IMPORT!$L$2:$L$93,[1]IMPORT!$J$2:$J$93,[1]CDC!B141)</f>
        <v>0</v>
      </c>
      <c r="J141" s="16">
        <f>SUMIFS([1]IMPORT!$Q$2:$Q$93,[1]IMPORT!$J$2:$J$93,[1]CDC!B141)</f>
        <v>0</v>
      </c>
      <c r="K141" s="16">
        <f>SUMIFS([1]IMPORT!$N$2:$N$93,[1]IMPORT!$J$2:$J$93,[1]CDC!B141)</f>
        <v>0</v>
      </c>
      <c r="L141" s="16">
        <f t="shared" si="11"/>
        <v>9000</v>
      </c>
      <c r="M141" s="17">
        <f t="shared" si="12"/>
        <v>1</v>
      </c>
      <c r="N141" s="16" t="str">
        <f t="shared" si="13"/>
        <v>OK</v>
      </c>
      <c r="O141" s="14" t="s">
        <v>298</v>
      </c>
    </row>
    <row r="142" spans="1:15" x14ac:dyDescent="0.25">
      <c r="A142" s="12">
        <v>137</v>
      </c>
      <c r="B142" s="13" t="s">
        <v>299</v>
      </c>
      <c r="C142" s="13"/>
      <c r="D142" s="14" t="s">
        <v>281</v>
      </c>
      <c r="E142" s="15">
        <v>400000</v>
      </c>
      <c r="F142" s="15">
        <v>1.8</v>
      </c>
      <c r="G142" s="15">
        <f t="shared" si="10"/>
        <v>720000</v>
      </c>
      <c r="H142" s="14" t="s">
        <v>18</v>
      </c>
      <c r="I142" s="16">
        <f>SUMIFS([1]IMPORT!$L$2:$L$93,[1]IMPORT!$J$2:$J$93,[1]CDC!B142)</f>
        <v>0</v>
      </c>
      <c r="J142" s="16">
        <f>SUMIFS([1]IMPORT!$Q$2:$Q$93,[1]IMPORT!$J$2:$J$93,[1]CDC!B142)</f>
        <v>0</v>
      </c>
      <c r="K142" s="16">
        <f>SUMIFS([1]IMPORT!$N$2:$N$93,[1]IMPORT!$J$2:$J$93,[1]CDC!B142)</f>
        <v>0</v>
      </c>
      <c r="L142" s="16">
        <f t="shared" si="11"/>
        <v>400000</v>
      </c>
      <c r="M142" s="17">
        <f t="shared" si="12"/>
        <v>1</v>
      </c>
      <c r="N142" s="16" t="str">
        <f t="shared" si="13"/>
        <v>OK</v>
      </c>
      <c r="O142" s="14" t="s">
        <v>300</v>
      </c>
    </row>
    <row r="143" spans="1:15" x14ac:dyDescent="0.25">
      <c r="A143" s="12">
        <v>138</v>
      </c>
      <c r="B143" s="13" t="s">
        <v>301</v>
      </c>
      <c r="C143" s="13"/>
      <c r="D143" s="14" t="s">
        <v>281</v>
      </c>
      <c r="E143" s="15">
        <v>200000</v>
      </c>
      <c r="F143" s="15">
        <v>1.5</v>
      </c>
      <c r="G143" s="15">
        <f t="shared" si="10"/>
        <v>300000</v>
      </c>
      <c r="H143" s="14" t="s">
        <v>18</v>
      </c>
      <c r="I143" s="16">
        <f>SUMIFS([1]IMPORT!$L$2:$L$93,[1]IMPORT!$J$2:$J$93,[1]CDC!B143)</f>
        <v>0</v>
      </c>
      <c r="J143" s="16">
        <f>SUMIFS([1]IMPORT!$Q$2:$Q$93,[1]IMPORT!$J$2:$J$93,[1]CDC!B143)</f>
        <v>0</v>
      </c>
      <c r="K143" s="16">
        <f>SUMIFS([1]IMPORT!$N$2:$N$93,[1]IMPORT!$J$2:$J$93,[1]CDC!B143)</f>
        <v>0</v>
      </c>
      <c r="L143" s="16">
        <f t="shared" si="11"/>
        <v>200000</v>
      </c>
      <c r="M143" s="17">
        <f t="shared" si="12"/>
        <v>1</v>
      </c>
      <c r="N143" s="16" t="str">
        <f t="shared" si="13"/>
        <v>OK</v>
      </c>
      <c r="O143" s="14" t="s">
        <v>302</v>
      </c>
    </row>
    <row r="144" spans="1:15" x14ac:dyDescent="0.25">
      <c r="A144" s="12">
        <v>139</v>
      </c>
      <c r="B144" s="13" t="s">
        <v>303</v>
      </c>
      <c r="C144" s="13"/>
      <c r="D144" s="14" t="s">
        <v>281</v>
      </c>
      <c r="E144" s="15">
        <v>400000</v>
      </c>
      <c r="F144" s="15">
        <v>1.2</v>
      </c>
      <c r="G144" s="15">
        <f t="shared" si="10"/>
        <v>480000</v>
      </c>
      <c r="H144" s="14" t="s">
        <v>18</v>
      </c>
      <c r="I144" s="16">
        <f>SUMIFS([1]IMPORT!$L$2:$L$93,[1]IMPORT!$J$2:$J$93,[1]CDC!B144)</f>
        <v>0</v>
      </c>
      <c r="J144" s="16">
        <f>SUMIFS([1]IMPORT!$Q$2:$Q$93,[1]IMPORT!$J$2:$J$93,[1]CDC!B144)</f>
        <v>0</v>
      </c>
      <c r="K144" s="16">
        <f>SUMIFS([1]IMPORT!$N$2:$N$93,[1]IMPORT!$J$2:$J$93,[1]CDC!B144)</f>
        <v>0</v>
      </c>
      <c r="L144" s="16">
        <f t="shared" si="11"/>
        <v>400000</v>
      </c>
      <c r="M144" s="17">
        <f t="shared" si="12"/>
        <v>1</v>
      </c>
      <c r="N144" s="16" t="str">
        <f t="shared" si="13"/>
        <v>OK</v>
      </c>
      <c r="O144" s="14" t="s">
        <v>304</v>
      </c>
    </row>
    <row r="145" spans="1:15" x14ac:dyDescent="0.25">
      <c r="A145" s="12">
        <v>140</v>
      </c>
      <c r="B145" s="13" t="s">
        <v>305</v>
      </c>
      <c r="C145" s="13"/>
      <c r="D145" s="14" t="s">
        <v>281</v>
      </c>
      <c r="E145" s="15">
        <v>400000</v>
      </c>
      <c r="F145" s="15">
        <v>0.05</v>
      </c>
      <c r="G145" s="15">
        <f t="shared" si="10"/>
        <v>20000</v>
      </c>
      <c r="H145" s="14" t="s">
        <v>18</v>
      </c>
      <c r="I145" s="16">
        <f>SUMIFS([1]IMPORT!$L$2:$L$93,[1]IMPORT!$J$2:$J$93,[1]CDC!B145)</f>
        <v>0</v>
      </c>
      <c r="J145" s="16">
        <f>SUMIFS([1]IMPORT!$Q$2:$Q$93,[1]IMPORT!$J$2:$J$93,[1]CDC!B145)</f>
        <v>0</v>
      </c>
      <c r="K145" s="16">
        <f>SUMIFS([1]IMPORT!$N$2:$N$93,[1]IMPORT!$J$2:$J$93,[1]CDC!B145)</f>
        <v>0</v>
      </c>
      <c r="L145" s="16">
        <f t="shared" si="11"/>
        <v>400000</v>
      </c>
      <c r="M145" s="17">
        <f t="shared" si="12"/>
        <v>1</v>
      </c>
      <c r="N145" s="16" t="str">
        <f t="shared" si="13"/>
        <v>OK</v>
      </c>
      <c r="O145" s="14" t="s">
        <v>306</v>
      </c>
    </row>
    <row r="146" spans="1:15" x14ac:dyDescent="0.25">
      <c r="A146" s="12">
        <v>141</v>
      </c>
      <c r="B146" s="13" t="s">
        <v>307</v>
      </c>
      <c r="C146" s="13"/>
      <c r="D146" s="14" t="s">
        <v>281</v>
      </c>
      <c r="E146" s="15">
        <v>400000</v>
      </c>
      <c r="F146" s="15">
        <v>0.05</v>
      </c>
      <c r="G146" s="15">
        <f t="shared" si="10"/>
        <v>20000</v>
      </c>
      <c r="H146" s="14" t="s">
        <v>18</v>
      </c>
      <c r="I146" s="16">
        <f>SUMIFS([1]IMPORT!$L$2:$L$93,[1]IMPORT!$J$2:$J$93,[1]CDC!B146)</f>
        <v>0</v>
      </c>
      <c r="J146" s="16">
        <f>SUMIFS([1]IMPORT!$Q$2:$Q$93,[1]IMPORT!$J$2:$J$93,[1]CDC!B146)</f>
        <v>0</v>
      </c>
      <c r="K146" s="16">
        <f>SUMIFS([1]IMPORT!$N$2:$N$93,[1]IMPORT!$J$2:$J$93,[1]CDC!B146)</f>
        <v>0</v>
      </c>
      <c r="L146" s="16">
        <f t="shared" si="11"/>
        <v>400000</v>
      </c>
      <c r="M146" s="17">
        <f t="shared" si="12"/>
        <v>1</v>
      </c>
      <c r="N146" s="16" t="str">
        <f t="shared" si="13"/>
        <v>OK</v>
      </c>
      <c r="O146" s="14" t="s">
        <v>308</v>
      </c>
    </row>
    <row r="147" spans="1:15" x14ac:dyDescent="0.25">
      <c r="A147" s="12">
        <v>142</v>
      </c>
      <c r="B147" s="13" t="s">
        <v>309</v>
      </c>
      <c r="C147" s="13"/>
      <c r="D147" s="14" t="s">
        <v>281</v>
      </c>
      <c r="E147" s="15">
        <v>250000</v>
      </c>
      <c r="F147" s="15">
        <v>0.15</v>
      </c>
      <c r="G147" s="15">
        <f t="shared" si="10"/>
        <v>37500</v>
      </c>
      <c r="H147" s="14" t="s">
        <v>18</v>
      </c>
      <c r="I147" s="16">
        <f>SUMIFS([1]IMPORT!$L$2:$L$93,[1]IMPORT!$J$2:$J$93,[1]CDC!B147)</f>
        <v>602</v>
      </c>
      <c r="J147" s="16">
        <f>SUMIFS([1]IMPORT!$Q$2:$Q$93,[1]IMPORT!$J$2:$J$93,[1]CDC!B147)</f>
        <v>722.4</v>
      </c>
      <c r="K147" s="16">
        <f>SUMIFS([1]IMPORT!$N$2:$N$93,[1]IMPORT!$J$2:$J$93,[1]CDC!B147)</f>
        <v>23</v>
      </c>
      <c r="L147" s="16">
        <f t="shared" si="11"/>
        <v>249398</v>
      </c>
      <c r="M147" s="17">
        <f t="shared" si="12"/>
        <v>0.99759200000000003</v>
      </c>
      <c r="N147" s="16" t="str">
        <f t="shared" si="13"/>
        <v>OK</v>
      </c>
      <c r="O147" s="14" t="s">
        <v>310</v>
      </c>
    </row>
    <row r="148" spans="1:15" x14ac:dyDescent="0.25">
      <c r="A148" s="12">
        <v>143</v>
      </c>
      <c r="B148" s="13" t="s">
        <v>311</v>
      </c>
      <c r="C148" s="13"/>
      <c r="D148" s="14" t="s">
        <v>281</v>
      </c>
      <c r="E148" s="15">
        <v>300000</v>
      </c>
      <c r="F148" s="15">
        <v>0.05</v>
      </c>
      <c r="G148" s="15">
        <f t="shared" si="10"/>
        <v>15000</v>
      </c>
      <c r="H148" s="14" t="s">
        <v>18</v>
      </c>
      <c r="I148" s="16">
        <f>SUMIFS([1]IMPORT!$L$2:$L$93,[1]IMPORT!$J$2:$J$93,[1]CDC!B148)</f>
        <v>7415</v>
      </c>
      <c r="J148" s="16">
        <f>SUMIFS([1]IMPORT!$Q$2:$Q$93,[1]IMPORT!$J$2:$J$93,[1]CDC!B148)</f>
        <v>370.75</v>
      </c>
      <c r="K148" s="16">
        <f>SUMIFS([1]IMPORT!$N$2:$N$93,[1]IMPORT!$J$2:$J$93,[1]CDC!B148)</f>
        <v>51.5</v>
      </c>
      <c r="L148" s="16">
        <f t="shared" si="11"/>
        <v>292585</v>
      </c>
      <c r="M148" s="17">
        <f t="shared" si="12"/>
        <v>0.97528333333333328</v>
      </c>
      <c r="N148" s="16" t="str">
        <f t="shared" si="13"/>
        <v>OK</v>
      </c>
      <c r="O148" s="14" t="s">
        <v>312</v>
      </c>
    </row>
    <row r="149" spans="1:15" x14ac:dyDescent="0.25">
      <c r="A149" s="12">
        <v>144</v>
      </c>
      <c r="B149" s="13" t="s">
        <v>313</v>
      </c>
      <c r="C149" s="13"/>
      <c r="D149" s="14" t="s">
        <v>281</v>
      </c>
      <c r="E149" s="15">
        <v>300000</v>
      </c>
      <c r="F149" s="15">
        <v>0.05</v>
      </c>
      <c r="G149" s="15">
        <f t="shared" si="10"/>
        <v>15000</v>
      </c>
      <c r="H149" s="14" t="s">
        <v>18</v>
      </c>
      <c r="I149" s="16">
        <f>SUMIFS([1]IMPORT!$L$2:$L$93,[1]IMPORT!$J$2:$J$93,[1]CDC!B149)</f>
        <v>0</v>
      </c>
      <c r="J149" s="16">
        <f>SUMIFS([1]IMPORT!$Q$2:$Q$93,[1]IMPORT!$J$2:$J$93,[1]CDC!B149)</f>
        <v>0</v>
      </c>
      <c r="K149" s="16">
        <f>SUMIFS([1]IMPORT!$N$2:$N$93,[1]IMPORT!$J$2:$J$93,[1]CDC!B149)</f>
        <v>0</v>
      </c>
      <c r="L149" s="16">
        <f t="shared" si="11"/>
        <v>300000</v>
      </c>
      <c r="M149" s="17">
        <f t="shared" si="12"/>
        <v>1</v>
      </c>
      <c r="N149" s="16" t="str">
        <f t="shared" si="13"/>
        <v>OK</v>
      </c>
      <c r="O149" s="14" t="s">
        <v>314</v>
      </c>
    </row>
    <row r="150" spans="1:15" x14ac:dyDescent="0.25">
      <c r="A150" s="12">
        <v>145</v>
      </c>
      <c r="B150" s="13" t="s">
        <v>315</v>
      </c>
      <c r="C150" s="13"/>
      <c r="D150" s="14" t="s">
        <v>281</v>
      </c>
      <c r="E150" s="15">
        <v>250000</v>
      </c>
      <c r="F150" s="15">
        <v>0.2</v>
      </c>
      <c r="G150" s="15">
        <f t="shared" si="10"/>
        <v>50000</v>
      </c>
      <c r="H150" s="14" t="s">
        <v>18</v>
      </c>
      <c r="I150" s="16">
        <f>SUMIFS([1]IMPORT!$L$2:$L$93,[1]IMPORT!$J$2:$J$93,[1]CDC!B150)</f>
        <v>0</v>
      </c>
      <c r="J150" s="16">
        <f>SUMIFS([1]IMPORT!$Q$2:$Q$93,[1]IMPORT!$J$2:$J$93,[1]CDC!B150)</f>
        <v>0</v>
      </c>
      <c r="K150" s="16">
        <f>SUMIFS([1]IMPORT!$N$2:$N$93,[1]IMPORT!$J$2:$J$93,[1]CDC!B150)</f>
        <v>0</v>
      </c>
      <c r="L150" s="16">
        <f t="shared" si="11"/>
        <v>250000</v>
      </c>
      <c r="M150" s="17">
        <f t="shared" si="12"/>
        <v>1</v>
      </c>
      <c r="N150" s="16" t="str">
        <f t="shared" si="13"/>
        <v>OK</v>
      </c>
      <c r="O150" s="14" t="s">
        <v>316</v>
      </c>
    </row>
    <row r="151" spans="1:15" x14ac:dyDescent="0.25">
      <c r="A151" s="12">
        <v>146</v>
      </c>
      <c r="B151" s="13" t="s">
        <v>317</v>
      </c>
      <c r="C151" s="13"/>
      <c r="D151" s="14" t="s">
        <v>281</v>
      </c>
      <c r="E151" s="15">
        <v>300000</v>
      </c>
      <c r="F151" s="15">
        <v>0.05</v>
      </c>
      <c r="G151" s="15">
        <f t="shared" si="10"/>
        <v>15000</v>
      </c>
      <c r="H151" s="14" t="s">
        <v>18</v>
      </c>
      <c r="I151" s="16">
        <f>SUMIFS([1]IMPORT!$L$2:$L$93,[1]IMPORT!$J$2:$J$93,[1]CDC!B151)</f>
        <v>0</v>
      </c>
      <c r="J151" s="16">
        <f>SUMIFS([1]IMPORT!$Q$2:$Q$93,[1]IMPORT!$J$2:$J$93,[1]CDC!B151)</f>
        <v>0</v>
      </c>
      <c r="K151" s="16">
        <f>SUMIFS([1]IMPORT!$N$2:$N$93,[1]IMPORT!$J$2:$J$93,[1]CDC!B151)</f>
        <v>0</v>
      </c>
      <c r="L151" s="16">
        <f t="shared" si="11"/>
        <v>300000</v>
      </c>
      <c r="M151" s="17">
        <f t="shared" si="12"/>
        <v>1</v>
      </c>
      <c r="N151" s="16" t="str">
        <f t="shared" si="13"/>
        <v>OK</v>
      </c>
      <c r="O151" s="14" t="s">
        <v>318</v>
      </c>
    </row>
    <row r="152" spans="1:15" x14ac:dyDescent="0.25">
      <c r="A152" s="12">
        <v>147</v>
      </c>
      <c r="B152" s="13" t="s">
        <v>319</v>
      </c>
      <c r="C152" s="13"/>
      <c r="D152" s="14" t="s">
        <v>281</v>
      </c>
      <c r="E152" s="15">
        <v>250000</v>
      </c>
      <c r="F152" s="15">
        <v>0.8</v>
      </c>
      <c r="G152" s="15">
        <f t="shared" si="10"/>
        <v>200000</v>
      </c>
      <c r="H152" s="14" t="s">
        <v>18</v>
      </c>
      <c r="I152" s="16">
        <f>SUMIFS([1]IMPORT!$L$2:$L$93,[1]IMPORT!$J$2:$J$93,[1]CDC!B152)</f>
        <v>0</v>
      </c>
      <c r="J152" s="16">
        <f>SUMIFS([1]IMPORT!$Q$2:$Q$93,[1]IMPORT!$J$2:$J$93,[1]CDC!B152)</f>
        <v>0</v>
      </c>
      <c r="K152" s="16">
        <f>SUMIFS([1]IMPORT!$N$2:$N$93,[1]IMPORT!$J$2:$J$93,[1]CDC!B152)</f>
        <v>0</v>
      </c>
      <c r="L152" s="16">
        <f t="shared" si="11"/>
        <v>250000</v>
      </c>
      <c r="M152" s="17">
        <f t="shared" si="12"/>
        <v>1</v>
      </c>
      <c r="N152" s="16" t="str">
        <f t="shared" si="13"/>
        <v>OK</v>
      </c>
      <c r="O152" s="14" t="s">
        <v>320</v>
      </c>
    </row>
    <row r="153" spans="1:15" x14ac:dyDescent="0.25">
      <c r="A153" s="12">
        <v>148</v>
      </c>
      <c r="B153" s="13" t="s">
        <v>321</v>
      </c>
      <c r="C153" s="13"/>
      <c r="D153" s="14" t="s">
        <v>281</v>
      </c>
      <c r="E153" s="15">
        <v>300000</v>
      </c>
      <c r="F153" s="15">
        <v>0.05</v>
      </c>
      <c r="G153" s="15">
        <f t="shared" si="10"/>
        <v>15000</v>
      </c>
      <c r="H153" s="14" t="s">
        <v>18</v>
      </c>
      <c r="I153" s="16">
        <f>SUMIFS([1]IMPORT!$L$2:$L$93,[1]IMPORT!$J$2:$J$93,[1]CDC!B153)</f>
        <v>0</v>
      </c>
      <c r="J153" s="16">
        <f>SUMIFS([1]IMPORT!$Q$2:$Q$93,[1]IMPORT!$J$2:$J$93,[1]CDC!B153)</f>
        <v>0</v>
      </c>
      <c r="K153" s="16">
        <f>SUMIFS([1]IMPORT!$N$2:$N$93,[1]IMPORT!$J$2:$J$93,[1]CDC!B153)</f>
        <v>0</v>
      </c>
      <c r="L153" s="16">
        <f t="shared" si="11"/>
        <v>300000</v>
      </c>
      <c r="M153" s="17">
        <f t="shared" si="12"/>
        <v>1</v>
      </c>
      <c r="N153" s="16" t="str">
        <f t="shared" si="13"/>
        <v>OK</v>
      </c>
      <c r="O153" s="14" t="s">
        <v>322</v>
      </c>
    </row>
    <row r="154" spans="1:15" x14ac:dyDescent="0.25">
      <c r="A154" s="12">
        <v>149</v>
      </c>
      <c r="B154" s="13" t="s">
        <v>323</v>
      </c>
      <c r="C154" s="13"/>
      <c r="D154" s="14" t="s">
        <v>281</v>
      </c>
      <c r="E154" s="15">
        <v>300000</v>
      </c>
      <c r="F154" s="15">
        <v>0.05</v>
      </c>
      <c r="G154" s="15">
        <f t="shared" si="10"/>
        <v>15000</v>
      </c>
      <c r="H154" s="14" t="s">
        <v>18</v>
      </c>
      <c r="I154" s="16">
        <f>SUMIFS([1]IMPORT!$L$2:$L$93,[1]IMPORT!$J$2:$J$93,[1]CDC!B154)</f>
        <v>764</v>
      </c>
      <c r="J154" s="16">
        <f>SUMIFS([1]IMPORT!$Q$2:$Q$93,[1]IMPORT!$J$2:$J$93,[1]CDC!B154)</f>
        <v>38.200000000000003</v>
      </c>
      <c r="K154" s="16">
        <f>SUMIFS([1]IMPORT!$N$2:$N$93,[1]IMPORT!$J$2:$J$93,[1]CDC!B154)</f>
        <v>10.7</v>
      </c>
      <c r="L154" s="16">
        <f t="shared" si="11"/>
        <v>299236</v>
      </c>
      <c r="M154" s="17">
        <f t="shared" si="12"/>
        <v>0.9974533333333333</v>
      </c>
      <c r="N154" s="16" t="str">
        <f t="shared" si="13"/>
        <v>OK</v>
      </c>
      <c r="O154" s="14" t="s">
        <v>324</v>
      </c>
    </row>
    <row r="155" spans="1:15" x14ac:dyDescent="0.25">
      <c r="A155" s="12">
        <v>150</v>
      </c>
      <c r="B155" s="13" t="s">
        <v>325</v>
      </c>
      <c r="C155" s="13"/>
      <c r="D155" s="14" t="s">
        <v>174</v>
      </c>
      <c r="E155" s="15">
        <v>1000000</v>
      </c>
      <c r="F155" s="15">
        <v>0.01</v>
      </c>
      <c r="G155" s="15">
        <f t="shared" si="10"/>
        <v>10000</v>
      </c>
      <c r="H155" s="14" t="s">
        <v>18</v>
      </c>
      <c r="I155" s="16">
        <f>SUMIFS([1]IMPORT!$L$2:$L$93,[1]IMPORT!$J$2:$J$93,[1]CDC!B155)</f>
        <v>0</v>
      </c>
      <c r="J155" s="16">
        <f>SUMIFS([1]IMPORT!$Q$2:$Q$93,[1]IMPORT!$J$2:$J$93,[1]CDC!B155)</f>
        <v>0</v>
      </c>
      <c r="K155" s="16">
        <f>SUMIFS([1]IMPORT!$N$2:$N$93,[1]IMPORT!$J$2:$J$93,[1]CDC!B155)</f>
        <v>0</v>
      </c>
      <c r="L155" s="16">
        <f t="shared" si="11"/>
        <v>1000000</v>
      </c>
      <c r="M155" s="17">
        <f t="shared" si="12"/>
        <v>1</v>
      </c>
      <c r="N155" s="16" t="str">
        <f t="shared" si="13"/>
        <v>OK</v>
      </c>
      <c r="O155" s="14" t="s">
        <v>326</v>
      </c>
    </row>
    <row r="156" spans="1:15" x14ac:dyDescent="0.25">
      <c r="A156" s="12">
        <v>151</v>
      </c>
      <c r="B156" s="13" t="s">
        <v>327</v>
      </c>
      <c r="C156" s="13"/>
      <c r="D156" s="14" t="s">
        <v>174</v>
      </c>
      <c r="E156" s="15">
        <v>1000000</v>
      </c>
      <c r="F156" s="15">
        <v>0.02</v>
      </c>
      <c r="G156" s="15">
        <f t="shared" si="10"/>
        <v>20000</v>
      </c>
      <c r="H156" s="14" t="s">
        <v>18</v>
      </c>
      <c r="I156" s="16">
        <f>SUMIFS([1]IMPORT!$L$2:$L$93,[1]IMPORT!$J$2:$J$93,[1]CDC!B156)</f>
        <v>0</v>
      </c>
      <c r="J156" s="16">
        <f>SUMIFS([1]IMPORT!$Q$2:$Q$93,[1]IMPORT!$J$2:$J$93,[1]CDC!B156)</f>
        <v>0</v>
      </c>
      <c r="K156" s="16">
        <f>SUMIFS([1]IMPORT!$N$2:$N$93,[1]IMPORT!$J$2:$J$93,[1]CDC!B156)</f>
        <v>0</v>
      </c>
      <c r="L156" s="16">
        <f t="shared" si="11"/>
        <v>1000000</v>
      </c>
      <c r="M156" s="17">
        <f t="shared" si="12"/>
        <v>1</v>
      </c>
      <c r="N156" s="16" t="str">
        <f t="shared" si="13"/>
        <v>OK</v>
      </c>
      <c r="O156" s="14" t="s">
        <v>328</v>
      </c>
    </row>
    <row r="157" spans="1:15" x14ac:dyDescent="0.25">
      <c r="A157" s="12">
        <v>152</v>
      </c>
      <c r="B157" s="13" t="s">
        <v>329</v>
      </c>
      <c r="C157" s="13"/>
      <c r="D157" s="14" t="s">
        <v>174</v>
      </c>
      <c r="E157" s="15">
        <v>1000000</v>
      </c>
      <c r="F157" s="15">
        <v>0.02</v>
      </c>
      <c r="G157" s="15">
        <f t="shared" si="10"/>
        <v>20000</v>
      </c>
      <c r="H157" s="14" t="s">
        <v>18</v>
      </c>
      <c r="I157" s="16">
        <f>SUMIFS([1]IMPORT!$L$2:$L$93,[1]IMPORT!$J$2:$J$93,[1]CDC!B157)</f>
        <v>0</v>
      </c>
      <c r="J157" s="16">
        <f>SUMIFS([1]IMPORT!$Q$2:$Q$93,[1]IMPORT!$J$2:$J$93,[1]CDC!B157)</f>
        <v>0</v>
      </c>
      <c r="K157" s="16">
        <f>SUMIFS([1]IMPORT!$N$2:$N$93,[1]IMPORT!$J$2:$J$93,[1]CDC!B157)</f>
        <v>0</v>
      </c>
      <c r="L157" s="16">
        <f t="shared" si="11"/>
        <v>1000000</v>
      </c>
      <c r="M157" s="17">
        <f t="shared" si="12"/>
        <v>1</v>
      </c>
      <c r="N157" s="16" t="str">
        <f t="shared" si="13"/>
        <v>OK</v>
      </c>
      <c r="O157" s="14" t="s">
        <v>330</v>
      </c>
    </row>
    <row r="158" spans="1:15" x14ac:dyDescent="0.25">
      <c r="A158" s="12">
        <v>153</v>
      </c>
      <c r="B158" s="13" t="s">
        <v>331</v>
      </c>
      <c r="C158" s="13"/>
      <c r="D158" s="14" t="s">
        <v>174</v>
      </c>
      <c r="E158" s="15">
        <v>1500000</v>
      </c>
      <c r="F158" s="15">
        <v>0.02</v>
      </c>
      <c r="G158" s="15">
        <f t="shared" si="10"/>
        <v>30000</v>
      </c>
      <c r="H158" s="14" t="s">
        <v>18</v>
      </c>
      <c r="I158" s="16">
        <f>SUMIFS([1]IMPORT!$L$2:$L$93,[1]IMPORT!$J$2:$J$93,[1]CDC!B158)</f>
        <v>0</v>
      </c>
      <c r="J158" s="16">
        <f>SUMIFS([1]IMPORT!$Q$2:$Q$93,[1]IMPORT!$J$2:$J$93,[1]CDC!B158)</f>
        <v>0</v>
      </c>
      <c r="K158" s="16">
        <f>SUMIFS([1]IMPORT!$N$2:$N$93,[1]IMPORT!$J$2:$J$93,[1]CDC!B158)</f>
        <v>0</v>
      </c>
      <c r="L158" s="16">
        <f t="shared" si="11"/>
        <v>1500000</v>
      </c>
      <c r="M158" s="17">
        <f t="shared" si="12"/>
        <v>1</v>
      </c>
      <c r="N158" s="16" t="str">
        <f t="shared" si="13"/>
        <v>OK</v>
      </c>
      <c r="O158" s="14" t="s">
        <v>332</v>
      </c>
    </row>
    <row r="159" spans="1:15" x14ac:dyDescent="0.25">
      <c r="A159" s="12">
        <v>154</v>
      </c>
      <c r="B159" s="13" t="s">
        <v>333</v>
      </c>
      <c r="C159" s="13"/>
      <c r="D159" s="14" t="s">
        <v>174</v>
      </c>
      <c r="E159" s="15">
        <v>1500000</v>
      </c>
      <c r="F159" s="15">
        <v>0.03</v>
      </c>
      <c r="G159" s="15">
        <f t="shared" si="10"/>
        <v>45000</v>
      </c>
      <c r="H159" s="14" t="s">
        <v>18</v>
      </c>
      <c r="I159" s="16">
        <f>SUMIFS([1]IMPORT!$L$2:$L$93,[1]IMPORT!$J$2:$J$93,[1]CDC!B159)</f>
        <v>0</v>
      </c>
      <c r="J159" s="16">
        <f>SUMIFS([1]IMPORT!$Q$2:$Q$93,[1]IMPORT!$J$2:$J$93,[1]CDC!B159)</f>
        <v>0</v>
      </c>
      <c r="K159" s="16">
        <f>SUMIFS([1]IMPORT!$N$2:$N$93,[1]IMPORT!$J$2:$J$93,[1]CDC!B159)</f>
        <v>0</v>
      </c>
      <c r="L159" s="16">
        <f t="shared" si="11"/>
        <v>1500000</v>
      </c>
      <c r="M159" s="17">
        <f t="shared" si="12"/>
        <v>1</v>
      </c>
      <c r="N159" s="16" t="str">
        <f t="shared" si="13"/>
        <v>OK</v>
      </c>
      <c r="O159" s="14" t="s">
        <v>334</v>
      </c>
    </row>
    <row r="160" spans="1:15" x14ac:dyDescent="0.25">
      <c r="A160" s="12">
        <v>155</v>
      </c>
      <c r="B160" s="13" t="s">
        <v>335</v>
      </c>
      <c r="C160" s="13"/>
      <c r="D160" s="14" t="s">
        <v>281</v>
      </c>
      <c r="E160" s="15">
        <v>300000</v>
      </c>
      <c r="F160" s="15">
        <v>0.1</v>
      </c>
      <c r="G160" s="15">
        <f t="shared" si="10"/>
        <v>30000</v>
      </c>
      <c r="H160" s="14" t="s">
        <v>18</v>
      </c>
      <c r="I160" s="16">
        <f>SUMIFS([1]IMPORT!$L$2:$L$93,[1]IMPORT!$J$2:$J$93,[1]CDC!B160)</f>
        <v>6990</v>
      </c>
      <c r="J160" s="16">
        <f>SUMIFS([1]IMPORT!$Q$2:$Q$93,[1]IMPORT!$J$2:$J$93,[1]CDC!B160)</f>
        <v>139.80000000000001</v>
      </c>
      <c r="K160" s="16">
        <f>SUMIFS([1]IMPORT!$N$2:$N$93,[1]IMPORT!$J$2:$J$93,[1]CDC!B160)</f>
        <v>204.7</v>
      </c>
      <c r="L160" s="16">
        <f t="shared" si="11"/>
        <v>293010</v>
      </c>
      <c r="M160" s="17">
        <f t="shared" si="12"/>
        <v>0.97670000000000001</v>
      </c>
      <c r="N160" s="16" t="str">
        <f t="shared" si="13"/>
        <v>OK</v>
      </c>
      <c r="O160" s="14" t="s">
        <v>336</v>
      </c>
    </row>
    <row r="161" spans="1:15" x14ac:dyDescent="0.25">
      <c r="A161" s="12">
        <v>156</v>
      </c>
      <c r="B161" s="13" t="s">
        <v>337</v>
      </c>
      <c r="C161" s="13"/>
      <c r="D161" s="14" t="s">
        <v>174</v>
      </c>
      <c r="E161" s="15">
        <v>300000</v>
      </c>
      <c r="F161" s="15">
        <v>0.01</v>
      </c>
      <c r="G161" s="15">
        <f t="shared" si="10"/>
        <v>3000</v>
      </c>
      <c r="H161" s="14" t="s">
        <v>18</v>
      </c>
      <c r="I161" s="16">
        <f>SUMIFS([1]IMPORT!$L$2:$L$93,[1]IMPORT!$J$2:$J$93,[1]CDC!B161)</f>
        <v>0</v>
      </c>
      <c r="J161" s="16">
        <f>SUMIFS([1]IMPORT!$Q$2:$Q$93,[1]IMPORT!$J$2:$J$93,[1]CDC!B161)</f>
        <v>0</v>
      </c>
      <c r="K161" s="16">
        <f>SUMIFS([1]IMPORT!$N$2:$N$93,[1]IMPORT!$J$2:$J$93,[1]CDC!B161)</f>
        <v>0</v>
      </c>
      <c r="L161" s="16">
        <f t="shared" si="11"/>
        <v>300000</v>
      </c>
      <c r="M161" s="17">
        <f t="shared" si="12"/>
        <v>1</v>
      </c>
      <c r="N161" s="16" t="str">
        <f t="shared" si="13"/>
        <v>OK</v>
      </c>
      <c r="O161" s="14" t="s">
        <v>338</v>
      </c>
    </row>
    <row r="162" spans="1:15" x14ac:dyDescent="0.25">
      <c r="A162" s="12">
        <v>157</v>
      </c>
      <c r="B162" s="13" t="s">
        <v>339</v>
      </c>
      <c r="C162" s="13"/>
      <c r="D162" s="14" t="s">
        <v>174</v>
      </c>
      <c r="E162" s="15">
        <v>1000000</v>
      </c>
      <c r="F162" s="15">
        <v>0.01</v>
      </c>
      <c r="G162" s="15">
        <f t="shared" si="10"/>
        <v>10000</v>
      </c>
      <c r="H162" s="14" t="s">
        <v>18</v>
      </c>
      <c r="I162" s="16">
        <f>SUMIFS([1]IMPORT!$L$2:$L$93,[1]IMPORT!$J$2:$J$93,[1]CDC!B162)</f>
        <v>341</v>
      </c>
      <c r="J162" s="16">
        <f>SUMIFS([1]IMPORT!$Q$2:$Q$93,[1]IMPORT!$J$2:$J$93,[1]CDC!B162)</f>
        <v>10.23</v>
      </c>
      <c r="K162" s="16">
        <f>SUMIFS([1]IMPORT!$N$2:$N$93,[1]IMPORT!$J$2:$J$93,[1]CDC!B162)</f>
        <v>22</v>
      </c>
      <c r="L162" s="16">
        <f t="shared" si="11"/>
        <v>999659</v>
      </c>
      <c r="M162" s="17">
        <f t="shared" si="12"/>
        <v>0.99965899999999996</v>
      </c>
      <c r="N162" s="16" t="str">
        <f t="shared" si="13"/>
        <v>OK</v>
      </c>
      <c r="O162" s="14" t="s">
        <v>340</v>
      </c>
    </row>
    <row r="163" spans="1:15" x14ac:dyDescent="0.25">
      <c r="A163" s="12">
        <v>158</v>
      </c>
      <c r="B163" s="13" t="s">
        <v>341</v>
      </c>
      <c r="C163" s="13"/>
      <c r="D163" s="14" t="s">
        <v>174</v>
      </c>
      <c r="E163" s="15">
        <v>800000</v>
      </c>
      <c r="F163" s="15">
        <v>0.04</v>
      </c>
      <c r="G163" s="15">
        <f t="shared" si="10"/>
        <v>32000</v>
      </c>
      <c r="H163" s="14" t="s">
        <v>18</v>
      </c>
      <c r="I163" s="16">
        <f>SUMIFS([1]IMPORT!$L$2:$L$93,[1]IMPORT!$J$2:$J$93,[1]CDC!B163)</f>
        <v>0</v>
      </c>
      <c r="J163" s="16">
        <f>SUMIFS([1]IMPORT!$Q$2:$Q$93,[1]IMPORT!$J$2:$J$93,[1]CDC!B163)</f>
        <v>0</v>
      </c>
      <c r="K163" s="16">
        <f>SUMIFS([1]IMPORT!$N$2:$N$93,[1]IMPORT!$J$2:$J$93,[1]CDC!B163)</f>
        <v>0</v>
      </c>
      <c r="L163" s="16">
        <f t="shared" si="11"/>
        <v>800000</v>
      </c>
      <c r="M163" s="17">
        <f t="shared" si="12"/>
        <v>1</v>
      </c>
      <c r="N163" s="16" t="str">
        <f t="shared" si="13"/>
        <v>OK</v>
      </c>
      <c r="O163" s="14" t="s">
        <v>342</v>
      </c>
    </row>
    <row r="164" spans="1:15" x14ac:dyDescent="0.25">
      <c r="A164" s="12">
        <v>159</v>
      </c>
      <c r="B164" s="13" t="s">
        <v>343</v>
      </c>
      <c r="C164" s="13"/>
      <c r="D164" s="14" t="s">
        <v>174</v>
      </c>
      <c r="E164" s="15">
        <v>1000000</v>
      </c>
      <c r="F164" s="15">
        <v>0.01</v>
      </c>
      <c r="G164" s="15">
        <f t="shared" si="10"/>
        <v>10000</v>
      </c>
      <c r="H164" s="14" t="s">
        <v>18</v>
      </c>
      <c r="I164" s="16">
        <f>SUMIFS([1]IMPORT!$L$2:$L$93,[1]IMPORT!$J$2:$J$93,[1]CDC!B164)</f>
        <v>0</v>
      </c>
      <c r="J164" s="16">
        <f>SUMIFS([1]IMPORT!$Q$2:$Q$93,[1]IMPORT!$J$2:$J$93,[1]CDC!B164)</f>
        <v>0</v>
      </c>
      <c r="K164" s="16">
        <f>SUMIFS([1]IMPORT!$N$2:$N$93,[1]IMPORT!$J$2:$J$93,[1]CDC!B164)</f>
        <v>0</v>
      </c>
      <c r="L164" s="16">
        <f t="shared" si="11"/>
        <v>1000000</v>
      </c>
      <c r="M164" s="17">
        <f t="shared" si="12"/>
        <v>1</v>
      </c>
      <c r="N164" s="16" t="str">
        <f t="shared" si="13"/>
        <v>OK</v>
      </c>
      <c r="O164" s="14" t="s">
        <v>344</v>
      </c>
    </row>
    <row r="165" spans="1:15" x14ac:dyDescent="0.25">
      <c r="A165" s="12">
        <v>160</v>
      </c>
      <c r="B165" s="13" t="s">
        <v>345</v>
      </c>
      <c r="C165" s="13"/>
      <c r="D165" s="14" t="s">
        <v>174</v>
      </c>
      <c r="E165" s="15">
        <v>50000</v>
      </c>
      <c r="F165" s="15">
        <v>7.0000000000000007E-2</v>
      </c>
      <c r="G165" s="15">
        <f t="shared" si="10"/>
        <v>3500.0000000000005</v>
      </c>
      <c r="H165" s="14" t="s">
        <v>18</v>
      </c>
      <c r="I165" s="16">
        <f>SUMIFS([1]IMPORT!$L$2:$L$93,[1]IMPORT!$J$2:$J$93,[1]CDC!B165)</f>
        <v>0</v>
      </c>
      <c r="J165" s="16">
        <f>SUMIFS([1]IMPORT!$Q$2:$Q$93,[1]IMPORT!$J$2:$J$93,[1]CDC!B165)</f>
        <v>0</v>
      </c>
      <c r="K165" s="16">
        <f>SUMIFS([1]IMPORT!$N$2:$N$93,[1]IMPORT!$J$2:$J$93,[1]CDC!B165)</f>
        <v>0</v>
      </c>
      <c r="L165" s="16">
        <f t="shared" si="11"/>
        <v>50000</v>
      </c>
      <c r="M165" s="17">
        <f t="shared" si="12"/>
        <v>1</v>
      </c>
      <c r="N165" s="16" t="str">
        <f t="shared" si="13"/>
        <v>OK</v>
      </c>
      <c r="O165" s="14" t="s">
        <v>346</v>
      </c>
    </row>
    <row r="166" spans="1:15" x14ac:dyDescent="0.25">
      <c r="A166" s="12">
        <v>161</v>
      </c>
      <c r="B166" s="13" t="s">
        <v>347</v>
      </c>
      <c r="C166" s="13"/>
      <c r="D166" s="14" t="s">
        <v>281</v>
      </c>
      <c r="E166" s="15">
        <v>200000</v>
      </c>
      <c r="F166" s="15">
        <v>0.1</v>
      </c>
      <c r="G166" s="15">
        <f t="shared" si="10"/>
        <v>20000</v>
      </c>
      <c r="H166" s="14" t="s">
        <v>18</v>
      </c>
      <c r="I166" s="16">
        <f>SUMIFS([1]IMPORT!$L$2:$L$93,[1]IMPORT!$J$2:$J$93,[1]CDC!B166)</f>
        <v>0</v>
      </c>
      <c r="J166" s="16">
        <f>SUMIFS([1]IMPORT!$Q$2:$Q$93,[1]IMPORT!$J$2:$J$93,[1]CDC!B166)</f>
        <v>0</v>
      </c>
      <c r="K166" s="16">
        <f>SUMIFS([1]IMPORT!$N$2:$N$93,[1]IMPORT!$J$2:$J$93,[1]CDC!B166)</f>
        <v>0</v>
      </c>
      <c r="L166" s="16">
        <f t="shared" si="11"/>
        <v>200000</v>
      </c>
      <c r="M166" s="17">
        <f t="shared" si="12"/>
        <v>1</v>
      </c>
      <c r="N166" s="16" t="str">
        <f t="shared" si="13"/>
        <v>OK</v>
      </c>
      <c r="O166" s="14" t="s">
        <v>348</v>
      </c>
    </row>
    <row r="167" spans="1:15" x14ac:dyDescent="0.25">
      <c r="A167" s="12">
        <v>162</v>
      </c>
      <c r="B167" s="13" t="s">
        <v>349</v>
      </c>
      <c r="C167" s="13"/>
      <c r="D167" s="14" t="s">
        <v>281</v>
      </c>
      <c r="E167" s="15">
        <v>200000</v>
      </c>
      <c r="F167" s="15">
        <v>0.1</v>
      </c>
      <c r="G167" s="15">
        <f t="shared" si="10"/>
        <v>20000</v>
      </c>
      <c r="H167" s="14" t="s">
        <v>18</v>
      </c>
      <c r="I167" s="16">
        <f>SUMIFS([1]IMPORT!$L$2:$L$93,[1]IMPORT!$J$2:$J$93,[1]CDC!B167)</f>
        <v>0</v>
      </c>
      <c r="J167" s="16">
        <f>SUMIFS([1]IMPORT!$Q$2:$Q$93,[1]IMPORT!$J$2:$J$93,[1]CDC!B167)</f>
        <v>0</v>
      </c>
      <c r="K167" s="16">
        <f>SUMIFS([1]IMPORT!$N$2:$N$93,[1]IMPORT!$J$2:$J$93,[1]CDC!B167)</f>
        <v>0</v>
      </c>
      <c r="L167" s="16">
        <f t="shared" si="11"/>
        <v>200000</v>
      </c>
      <c r="M167" s="17">
        <f t="shared" si="12"/>
        <v>1</v>
      </c>
      <c r="N167" s="16" t="str">
        <f t="shared" si="13"/>
        <v>OK</v>
      </c>
      <c r="O167" s="14" t="s">
        <v>350</v>
      </c>
    </row>
    <row r="168" spans="1:15" x14ac:dyDescent="0.25">
      <c r="A168" s="12">
        <v>163</v>
      </c>
      <c r="B168" s="13" t="s">
        <v>351</v>
      </c>
      <c r="C168" s="13"/>
      <c r="D168" s="14" t="s">
        <v>281</v>
      </c>
      <c r="E168" s="15">
        <v>200000</v>
      </c>
      <c r="F168" s="15">
        <v>0.1</v>
      </c>
      <c r="G168" s="15">
        <f t="shared" si="10"/>
        <v>20000</v>
      </c>
      <c r="H168" s="14" t="s">
        <v>18</v>
      </c>
      <c r="I168" s="16">
        <f>SUMIFS([1]IMPORT!$L$2:$L$93,[1]IMPORT!$J$2:$J$93,[1]CDC!B168)</f>
        <v>0</v>
      </c>
      <c r="J168" s="16">
        <f>SUMIFS([1]IMPORT!$Q$2:$Q$93,[1]IMPORT!$J$2:$J$93,[1]CDC!B168)</f>
        <v>0</v>
      </c>
      <c r="K168" s="16">
        <f>SUMIFS([1]IMPORT!$N$2:$N$93,[1]IMPORT!$J$2:$J$93,[1]CDC!B168)</f>
        <v>0</v>
      </c>
      <c r="L168" s="16">
        <f t="shared" si="11"/>
        <v>200000</v>
      </c>
      <c r="M168" s="17">
        <f t="shared" si="12"/>
        <v>1</v>
      </c>
      <c r="N168" s="16" t="str">
        <f t="shared" si="13"/>
        <v>OK</v>
      </c>
      <c r="O168" s="14" t="s">
        <v>352</v>
      </c>
    </row>
    <row r="169" spans="1:15" x14ac:dyDescent="0.25">
      <c r="A169" s="12">
        <v>164</v>
      </c>
      <c r="B169" s="13" t="s">
        <v>353</v>
      </c>
      <c r="C169" s="13"/>
      <c r="D169" s="14" t="s">
        <v>281</v>
      </c>
      <c r="E169" s="15">
        <v>200000</v>
      </c>
      <c r="F169" s="15">
        <v>0.1</v>
      </c>
      <c r="G169" s="15">
        <f t="shared" si="10"/>
        <v>20000</v>
      </c>
      <c r="H169" s="14" t="s">
        <v>18</v>
      </c>
      <c r="I169" s="16">
        <f>SUMIFS([1]IMPORT!$L$2:$L$93,[1]IMPORT!$J$2:$J$93,[1]CDC!B169)</f>
        <v>0</v>
      </c>
      <c r="J169" s="16">
        <f>SUMIFS([1]IMPORT!$Q$2:$Q$93,[1]IMPORT!$J$2:$J$93,[1]CDC!B169)</f>
        <v>0</v>
      </c>
      <c r="K169" s="16">
        <f>SUMIFS([1]IMPORT!$N$2:$N$93,[1]IMPORT!$J$2:$J$93,[1]CDC!B169)</f>
        <v>0</v>
      </c>
      <c r="L169" s="16">
        <f t="shared" si="11"/>
        <v>200000</v>
      </c>
      <c r="M169" s="17">
        <f t="shared" si="12"/>
        <v>1</v>
      </c>
      <c r="N169" s="16" t="str">
        <f t="shared" si="13"/>
        <v>OK</v>
      </c>
      <c r="O169" s="14" t="s">
        <v>354</v>
      </c>
    </row>
    <row r="170" spans="1:15" x14ac:dyDescent="0.25">
      <c r="A170" s="12">
        <v>165</v>
      </c>
      <c r="B170" s="13" t="s">
        <v>355</v>
      </c>
      <c r="C170" s="13"/>
      <c r="D170" s="14" t="s">
        <v>281</v>
      </c>
      <c r="E170" s="15">
        <v>200000</v>
      </c>
      <c r="F170" s="15">
        <v>0.1</v>
      </c>
      <c r="G170" s="15">
        <f t="shared" si="10"/>
        <v>20000</v>
      </c>
      <c r="H170" s="14" t="s">
        <v>18</v>
      </c>
      <c r="I170" s="16">
        <f>SUMIFS([1]IMPORT!$L$2:$L$93,[1]IMPORT!$J$2:$J$93,[1]CDC!B170)</f>
        <v>0</v>
      </c>
      <c r="J170" s="16">
        <f>SUMIFS([1]IMPORT!$Q$2:$Q$93,[1]IMPORT!$J$2:$J$93,[1]CDC!B170)</f>
        <v>0</v>
      </c>
      <c r="K170" s="16">
        <f>SUMIFS([1]IMPORT!$N$2:$N$93,[1]IMPORT!$J$2:$J$93,[1]CDC!B170)</f>
        <v>0</v>
      </c>
      <c r="L170" s="16">
        <f t="shared" si="11"/>
        <v>200000</v>
      </c>
      <c r="M170" s="17">
        <f t="shared" si="12"/>
        <v>1</v>
      </c>
      <c r="N170" s="16" t="str">
        <f t="shared" si="13"/>
        <v>OK</v>
      </c>
      <c r="O170" s="14" t="s">
        <v>356</v>
      </c>
    </row>
    <row r="171" spans="1:15" x14ac:dyDescent="0.25">
      <c r="A171" s="12">
        <v>166</v>
      </c>
      <c r="B171" s="13" t="s">
        <v>357</v>
      </c>
      <c r="C171" s="13"/>
      <c r="D171" s="14" t="s">
        <v>281</v>
      </c>
      <c r="E171" s="15">
        <v>200000</v>
      </c>
      <c r="F171" s="15">
        <v>0.15</v>
      </c>
      <c r="G171" s="15">
        <f t="shared" si="10"/>
        <v>30000</v>
      </c>
      <c r="H171" s="14" t="s">
        <v>18</v>
      </c>
      <c r="I171" s="16">
        <f>SUMIFS([1]IMPORT!$L$2:$L$93,[1]IMPORT!$J$2:$J$93,[1]CDC!B171)</f>
        <v>0</v>
      </c>
      <c r="J171" s="16">
        <f>SUMIFS([1]IMPORT!$Q$2:$Q$93,[1]IMPORT!$J$2:$J$93,[1]CDC!B171)</f>
        <v>0</v>
      </c>
      <c r="K171" s="16">
        <f>SUMIFS([1]IMPORT!$N$2:$N$93,[1]IMPORT!$J$2:$J$93,[1]CDC!B171)</f>
        <v>0</v>
      </c>
      <c r="L171" s="16">
        <f t="shared" si="11"/>
        <v>200000</v>
      </c>
      <c r="M171" s="17">
        <f t="shared" si="12"/>
        <v>1</v>
      </c>
      <c r="N171" s="16" t="str">
        <f t="shared" si="13"/>
        <v>OK</v>
      </c>
      <c r="O171" s="14" t="s">
        <v>358</v>
      </c>
    </row>
    <row r="172" spans="1:15" x14ac:dyDescent="0.25">
      <c r="A172" s="12">
        <v>167</v>
      </c>
      <c r="B172" s="13" t="s">
        <v>359</v>
      </c>
      <c r="C172" s="13"/>
      <c r="D172" s="14" t="s">
        <v>281</v>
      </c>
      <c r="E172" s="15">
        <v>60000</v>
      </c>
      <c r="F172" s="15">
        <v>0.15</v>
      </c>
      <c r="G172" s="15">
        <f t="shared" si="10"/>
        <v>9000</v>
      </c>
      <c r="H172" s="14" t="s">
        <v>18</v>
      </c>
      <c r="I172" s="16">
        <f>SUMIFS([1]IMPORT!$L$2:$L$93,[1]IMPORT!$J$2:$J$93,[1]CDC!B172)</f>
        <v>0</v>
      </c>
      <c r="J172" s="16">
        <f>SUMIFS([1]IMPORT!$Q$2:$Q$93,[1]IMPORT!$J$2:$J$93,[1]CDC!B172)</f>
        <v>0</v>
      </c>
      <c r="K172" s="16">
        <f>SUMIFS([1]IMPORT!$N$2:$N$93,[1]IMPORT!$J$2:$J$93,[1]CDC!B172)</f>
        <v>0</v>
      </c>
      <c r="L172" s="16">
        <f t="shared" si="11"/>
        <v>60000</v>
      </c>
      <c r="M172" s="17">
        <f t="shared" si="12"/>
        <v>1</v>
      </c>
      <c r="N172" s="16" t="str">
        <f t="shared" si="13"/>
        <v>OK</v>
      </c>
      <c r="O172" s="14" t="s">
        <v>360</v>
      </c>
    </row>
    <row r="173" spans="1:15" x14ac:dyDescent="0.25">
      <c r="A173" s="12">
        <v>168</v>
      </c>
      <c r="B173" s="13" t="s">
        <v>361</v>
      </c>
      <c r="C173" s="13"/>
      <c r="D173" s="14" t="s">
        <v>362</v>
      </c>
      <c r="E173" s="15">
        <v>40000</v>
      </c>
      <c r="F173" s="15">
        <v>4</v>
      </c>
      <c r="G173" s="15">
        <f t="shared" si="10"/>
        <v>160000</v>
      </c>
      <c r="H173" s="14" t="s">
        <v>18</v>
      </c>
      <c r="I173" s="16">
        <f>SUMIFS([1]IMPORT!$L$2:$L$93,[1]IMPORT!$J$2:$J$93,[1]CDC!B173)</f>
        <v>0</v>
      </c>
      <c r="J173" s="16">
        <f>SUMIFS([1]IMPORT!$Q$2:$Q$93,[1]IMPORT!$J$2:$J$93,[1]CDC!B173)</f>
        <v>0</v>
      </c>
      <c r="K173" s="16">
        <f>SUMIFS([1]IMPORT!$N$2:$N$93,[1]IMPORT!$J$2:$J$93,[1]CDC!B173)</f>
        <v>0</v>
      </c>
      <c r="L173" s="16">
        <f t="shared" si="11"/>
        <v>40000</v>
      </c>
      <c r="M173" s="17">
        <f t="shared" si="12"/>
        <v>1</v>
      </c>
      <c r="N173" s="16" t="str">
        <f t="shared" si="13"/>
        <v>OK</v>
      </c>
      <c r="O173" s="14" t="s">
        <v>363</v>
      </c>
    </row>
    <row r="174" spans="1:15" x14ac:dyDescent="0.25">
      <c r="A174" s="12">
        <v>169</v>
      </c>
      <c r="B174" s="13" t="s">
        <v>364</v>
      </c>
      <c r="C174" s="13"/>
      <c r="D174" s="14" t="s">
        <v>362</v>
      </c>
      <c r="E174" s="15">
        <v>40000</v>
      </c>
      <c r="F174" s="15">
        <v>4</v>
      </c>
      <c r="G174" s="15">
        <f t="shared" si="10"/>
        <v>160000</v>
      </c>
      <c r="H174" s="14" t="s">
        <v>18</v>
      </c>
      <c r="I174" s="16">
        <f>SUMIFS([1]IMPORT!$L$2:$L$93,[1]IMPORT!$J$2:$J$93,[1]CDC!B174)</f>
        <v>0</v>
      </c>
      <c r="J174" s="16">
        <f>SUMIFS([1]IMPORT!$Q$2:$Q$93,[1]IMPORT!$J$2:$J$93,[1]CDC!B174)</f>
        <v>0</v>
      </c>
      <c r="K174" s="16">
        <f>SUMIFS([1]IMPORT!$N$2:$N$93,[1]IMPORT!$J$2:$J$93,[1]CDC!B174)</f>
        <v>0</v>
      </c>
      <c r="L174" s="16">
        <f t="shared" si="11"/>
        <v>40000</v>
      </c>
      <c r="M174" s="17">
        <f t="shared" si="12"/>
        <v>1</v>
      </c>
      <c r="N174" s="16" t="str">
        <f t="shared" si="13"/>
        <v>OK</v>
      </c>
      <c r="O174" s="14" t="s">
        <v>365</v>
      </c>
    </row>
    <row r="175" spans="1:15" x14ac:dyDescent="0.25">
      <c r="A175" s="12">
        <v>170</v>
      </c>
      <c r="B175" s="13" t="s">
        <v>366</v>
      </c>
      <c r="C175" s="13"/>
      <c r="D175" s="14" t="s">
        <v>362</v>
      </c>
      <c r="E175" s="15">
        <v>40000</v>
      </c>
      <c r="F175" s="15">
        <v>1.5</v>
      </c>
      <c r="G175" s="15">
        <f t="shared" si="10"/>
        <v>60000</v>
      </c>
      <c r="H175" s="14" t="s">
        <v>18</v>
      </c>
      <c r="I175" s="16">
        <f>SUMIFS([1]IMPORT!$L$2:$L$93,[1]IMPORT!$J$2:$J$93,[1]CDC!B175)</f>
        <v>0</v>
      </c>
      <c r="J175" s="16">
        <f>SUMIFS([1]IMPORT!$Q$2:$Q$93,[1]IMPORT!$J$2:$J$93,[1]CDC!B175)</f>
        <v>0</v>
      </c>
      <c r="K175" s="16">
        <f>SUMIFS([1]IMPORT!$N$2:$N$93,[1]IMPORT!$J$2:$J$93,[1]CDC!B175)</f>
        <v>0</v>
      </c>
      <c r="L175" s="16">
        <f t="shared" si="11"/>
        <v>40000</v>
      </c>
      <c r="M175" s="17">
        <f t="shared" si="12"/>
        <v>1</v>
      </c>
      <c r="N175" s="16" t="str">
        <f t="shared" si="13"/>
        <v>OK</v>
      </c>
      <c r="O175" s="14" t="s">
        <v>367</v>
      </c>
    </row>
    <row r="176" spans="1:15" x14ac:dyDescent="0.25">
      <c r="A176" s="12">
        <v>171</v>
      </c>
      <c r="B176" s="13" t="s">
        <v>368</v>
      </c>
      <c r="C176" s="13"/>
      <c r="D176" s="14" t="s">
        <v>281</v>
      </c>
      <c r="E176" s="15">
        <v>40000</v>
      </c>
      <c r="F176" s="15">
        <v>0.25</v>
      </c>
      <c r="G176" s="15">
        <f t="shared" si="10"/>
        <v>10000</v>
      </c>
      <c r="H176" s="14" t="s">
        <v>18</v>
      </c>
      <c r="I176" s="16">
        <f>SUMIFS([1]IMPORT!$L$2:$L$93,[1]IMPORT!$J$2:$J$93,[1]CDC!B176)</f>
        <v>0</v>
      </c>
      <c r="J176" s="16">
        <f>SUMIFS([1]IMPORT!$Q$2:$Q$93,[1]IMPORT!$J$2:$J$93,[1]CDC!B176)</f>
        <v>0</v>
      </c>
      <c r="K176" s="16">
        <f>SUMIFS([1]IMPORT!$N$2:$N$93,[1]IMPORT!$J$2:$J$93,[1]CDC!B176)</f>
        <v>0</v>
      </c>
      <c r="L176" s="16">
        <f t="shared" si="11"/>
        <v>40000</v>
      </c>
      <c r="M176" s="17">
        <f t="shared" si="12"/>
        <v>1</v>
      </c>
      <c r="N176" s="16" t="str">
        <f t="shared" si="13"/>
        <v>OK</v>
      </c>
      <c r="O176" s="14" t="s">
        <v>369</v>
      </c>
    </row>
    <row r="177" spans="1:15" x14ac:dyDescent="0.25">
      <c r="A177" s="12">
        <v>172</v>
      </c>
      <c r="B177" s="13" t="s">
        <v>370</v>
      </c>
      <c r="C177" s="13"/>
      <c r="D177" s="14" t="s">
        <v>281</v>
      </c>
      <c r="E177" s="15">
        <v>40000</v>
      </c>
      <c r="F177" s="15">
        <v>0.25</v>
      </c>
      <c r="G177" s="15">
        <f t="shared" si="10"/>
        <v>10000</v>
      </c>
      <c r="H177" s="14" t="s">
        <v>18</v>
      </c>
      <c r="I177" s="16">
        <f>SUMIFS([1]IMPORT!$L$2:$L$93,[1]IMPORT!$J$2:$J$93,[1]CDC!B177)</f>
        <v>1569</v>
      </c>
      <c r="J177" s="16">
        <f>SUMIFS([1]IMPORT!$Q$2:$Q$93,[1]IMPORT!$J$2:$J$93,[1]CDC!B177)</f>
        <v>6276</v>
      </c>
      <c r="K177" s="16">
        <f>SUMIFS([1]IMPORT!$N$2:$N$93,[1]IMPORT!$J$2:$J$93,[1]CDC!B177)</f>
        <v>554.79999999999995</v>
      </c>
      <c r="L177" s="16">
        <f t="shared" si="11"/>
        <v>38431</v>
      </c>
      <c r="M177" s="17">
        <f t="shared" si="12"/>
        <v>0.96077500000000005</v>
      </c>
      <c r="N177" s="16" t="str">
        <f t="shared" si="13"/>
        <v>OK</v>
      </c>
      <c r="O177" s="14" t="s">
        <v>371</v>
      </c>
    </row>
    <row r="178" spans="1:15" x14ac:dyDescent="0.25">
      <c r="A178" s="12">
        <v>173</v>
      </c>
      <c r="B178" s="13" t="s">
        <v>372</v>
      </c>
      <c r="C178" s="13"/>
      <c r="D178" s="14" t="s">
        <v>362</v>
      </c>
      <c r="E178" s="15">
        <v>80000</v>
      </c>
      <c r="F178" s="15">
        <v>1.2</v>
      </c>
      <c r="G178" s="15">
        <f t="shared" si="10"/>
        <v>96000</v>
      </c>
      <c r="H178" s="14" t="s">
        <v>18</v>
      </c>
      <c r="I178" s="16">
        <f>SUMIFS([1]IMPORT!$L$2:$L$93,[1]IMPORT!$J$2:$J$93,[1]CDC!B178)</f>
        <v>849</v>
      </c>
      <c r="J178" s="16">
        <f>SUMIFS([1]IMPORT!$Q$2:$Q$93,[1]IMPORT!$J$2:$J$93,[1]CDC!B178)</f>
        <v>1273.5</v>
      </c>
      <c r="K178" s="16">
        <f>SUMIFS([1]IMPORT!$N$2:$N$93,[1]IMPORT!$J$2:$J$93,[1]CDC!B178)</f>
        <v>562.70000000000005</v>
      </c>
      <c r="L178" s="16">
        <f t="shared" si="11"/>
        <v>79151</v>
      </c>
      <c r="M178" s="17">
        <f t="shared" si="12"/>
        <v>0.98938749999999998</v>
      </c>
      <c r="N178" s="16" t="str">
        <f t="shared" si="13"/>
        <v>OK</v>
      </c>
      <c r="O178" s="14" t="s">
        <v>373</v>
      </c>
    </row>
    <row r="179" spans="1:15" x14ac:dyDescent="0.25">
      <c r="A179" s="12">
        <v>174</v>
      </c>
      <c r="B179" s="13" t="s">
        <v>374</v>
      </c>
      <c r="C179" s="13"/>
      <c r="D179" s="14" t="s">
        <v>362</v>
      </c>
      <c r="E179" s="15">
        <v>80000</v>
      </c>
      <c r="F179" s="15">
        <v>1.2</v>
      </c>
      <c r="G179" s="15">
        <f t="shared" si="10"/>
        <v>96000</v>
      </c>
      <c r="H179" s="14" t="s">
        <v>18</v>
      </c>
      <c r="I179" s="16">
        <f>SUMIFS([1]IMPORT!$L$2:$L$93,[1]IMPORT!$J$2:$J$93,[1]CDC!B179)</f>
        <v>0</v>
      </c>
      <c r="J179" s="16">
        <f>SUMIFS([1]IMPORT!$Q$2:$Q$93,[1]IMPORT!$J$2:$J$93,[1]CDC!B179)</f>
        <v>0</v>
      </c>
      <c r="K179" s="16">
        <f>SUMIFS([1]IMPORT!$N$2:$N$93,[1]IMPORT!$J$2:$J$93,[1]CDC!B179)</f>
        <v>0</v>
      </c>
      <c r="L179" s="16">
        <f t="shared" si="11"/>
        <v>80000</v>
      </c>
      <c r="M179" s="17">
        <f t="shared" si="12"/>
        <v>1</v>
      </c>
      <c r="N179" s="16" t="str">
        <f t="shared" si="13"/>
        <v>OK</v>
      </c>
      <c r="O179" s="14" t="s">
        <v>375</v>
      </c>
    </row>
    <row r="180" spans="1:15" x14ac:dyDescent="0.25">
      <c r="A180" s="12">
        <v>175</v>
      </c>
      <c r="B180" s="13" t="s">
        <v>376</v>
      </c>
      <c r="C180" s="13"/>
      <c r="D180" s="14" t="s">
        <v>362</v>
      </c>
      <c r="E180" s="15">
        <v>9000</v>
      </c>
      <c r="F180" s="15">
        <v>1.8</v>
      </c>
      <c r="G180" s="15">
        <f t="shared" si="10"/>
        <v>16200</v>
      </c>
      <c r="H180" s="14" t="s">
        <v>18</v>
      </c>
      <c r="I180" s="16">
        <f>SUMIFS([1]IMPORT!$L$2:$L$93,[1]IMPORT!$J$2:$J$93,[1]CDC!B180)</f>
        <v>0</v>
      </c>
      <c r="J180" s="16">
        <f>SUMIFS([1]IMPORT!$Q$2:$Q$93,[1]IMPORT!$J$2:$J$93,[1]CDC!B180)</f>
        <v>0</v>
      </c>
      <c r="K180" s="16">
        <f>SUMIFS([1]IMPORT!$N$2:$N$93,[1]IMPORT!$J$2:$J$93,[1]CDC!B180)</f>
        <v>0</v>
      </c>
      <c r="L180" s="16">
        <f t="shared" si="11"/>
        <v>9000</v>
      </c>
      <c r="M180" s="17">
        <f t="shared" si="12"/>
        <v>1</v>
      </c>
      <c r="N180" s="16" t="str">
        <f t="shared" si="13"/>
        <v>OK</v>
      </c>
      <c r="O180" s="14" t="s">
        <v>377</v>
      </c>
    </row>
    <row r="181" spans="1:15" x14ac:dyDescent="0.25">
      <c r="A181" s="12">
        <v>176</v>
      </c>
      <c r="B181" s="13" t="s">
        <v>378</v>
      </c>
      <c r="C181" s="13"/>
      <c r="D181" s="14" t="s">
        <v>281</v>
      </c>
      <c r="E181" s="15">
        <v>200000</v>
      </c>
      <c r="F181" s="15">
        <v>0.12</v>
      </c>
      <c r="G181" s="15">
        <f t="shared" si="10"/>
        <v>24000</v>
      </c>
      <c r="H181" s="14" t="s">
        <v>18</v>
      </c>
      <c r="I181" s="16">
        <f>SUMIFS([1]IMPORT!$L$2:$L$93,[1]IMPORT!$J$2:$J$93,[1]CDC!B181)</f>
        <v>0</v>
      </c>
      <c r="J181" s="16">
        <f>SUMIFS([1]IMPORT!$Q$2:$Q$93,[1]IMPORT!$J$2:$J$93,[1]CDC!B181)</f>
        <v>0</v>
      </c>
      <c r="K181" s="16">
        <f>SUMIFS([1]IMPORT!$N$2:$N$93,[1]IMPORT!$J$2:$J$93,[1]CDC!B181)</f>
        <v>0</v>
      </c>
      <c r="L181" s="16">
        <f t="shared" si="11"/>
        <v>200000</v>
      </c>
      <c r="M181" s="17">
        <f t="shared" si="12"/>
        <v>1</v>
      </c>
      <c r="N181" s="16" t="str">
        <f t="shared" si="13"/>
        <v>OK</v>
      </c>
      <c r="O181" s="14" t="s">
        <v>379</v>
      </c>
    </row>
    <row r="182" spans="1:15" x14ac:dyDescent="0.25">
      <c r="A182" s="12">
        <v>177</v>
      </c>
      <c r="B182" s="13" t="s">
        <v>380</v>
      </c>
      <c r="C182" s="13"/>
      <c r="D182" s="14" t="s">
        <v>281</v>
      </c>
      <c r="E182" s="15">
        <v>200000</v>
      </c>
      <c r="F182" s="15">
        <v>0.1</v>
      </c>
      <c r="G182" s="15">
        <f t="shared" si="10"/>
        <v>20000</v>
      </c>
      <c r="H182" s="14" t="s">
        <v>18</v>
      </c>
      <c r="I182" s="16">
        <f>SUMIFS([1]IMPORT!$L$2:$L$93,[1]IMPORT!$J$2:$J$93,[1]CDC!B182)</f>
        <v>0</v>
      </c>
      <c r="J182" s="16">
        <f>SUMIFS([1]IMPORT!$Q$2:$Q$93,[1]IMPORT!$J$2:$J$93,[1]CDC!B182)</f>
        <v>0</v>
      </c>
      <c r="K182" s="16">
        <f>SUMIFS([1]IMPORT!$N$2:$N$93,[1]IMPORT!$J$2:$J$93,[1]CDC!B182)</f>
        <v>0</v>
      </c>
      <c r="L182" s="16">
        <f t="shared" si="11"/>
        <v>200000</v>
      </c>
      <c r="M182" s="17">
        <f t="shared" si="12"/>
        <v>1</v>
      </c>
      <c r="N182" s="16" t="str">
        <f t="shared" si="13"/>
        <v>OK</v>
      </c>
      <c r="O182" s="14" t="s">
        <v>381</v>
      </c>
    </row>
    <row r="183" spans="1:15" x14ac:dyDescent="0.25">
      <c r="A183" s="12">
        <v>178</v>
      </c>
      <c r="B183" s="13" t="s">
        <v>382</v>
      </c>
      <c r="C183" s="13"/>
      <c r="D183" s="14" t="s">
        <v>281</v>
      </c>
      <c r="E183" s="15">
        <v>200000</v>
      </c>
      <c r="F183" s="15">
        <v>0.1</v>
      </c>
      <c r="G183" s="15">
        <f t="shared" si="10"/>
        <v>20000</v>
      </c>
      <c r="H183" s="14" t="s">
        <v>18</v>
      </c>
      <c r="I183" s="16">
        <f>SUMIFS([1]IMPORT!$L$2:$L$93,[1]IMPORT!$J$2:$J$93,[1]CDC!B183)</f>
        <v>0</v>
      </c>
      <c r="J183" s="16">
        <f>SUMIFS([1]IMPORT!$Q$2:$Q$93,[1]IMPORT!$J$2:$J$93,[1]CDC!B183)</f>
        <v>0</v>
      </c>
      <c r="K183" s="16">
        <f>SUMIFS([1]IMPORT!$N$2:$N$93,[1]IMPORT!$J$2:$J$93,[1]CDC!B183)</f>
        <v>0</v>
      </c>
      <c r="L183" s="16">
        <f t="shared" si="11"/>
        <v>200000</v>
      </c>
      <c r="M183" s="17">
        <f t="shared" si="12"/>
        <v>1</v>
      </c>
      <c r="N183" s="16" t="str">
        <f t="shared" si="13"/>
        <v>OK</v>
      </c>
      <c r="O183" s="14" t="s">
        <v>383</v>
      </c>
    </row>
    <row r="184" spans="1:15" x14ac:dyDescent="0.25">
      <c r="A184" s="12">
        <v>179</v>
      </c>
      <c r="B184" s="13" t="s">
        <v>384</v>
      </c>
      <c r="C184" s="13"/>
      <c r="D184" s="14" t="s">
        <v>281</v>
      </c>
      <c r="E184" s="15">
        <v>200000</v>
      </c>
      <c r="F184" s="15">
        <v>0.15</v>
      </c>
      <c r="G184" s="15">
        <f t="shared" si="10"/>
        <v>30000</v>
      </c>
      <c r="H184" s="14" t="s">
        <v>18</v>
      </c>
      <c r="I184" s="16">
        <f>SUMIFS([1]IMPORT!$L$2:$L$93,[1]IMPORT!$J$2:$J$93,[1]CDC!B184)</f>
        <v>1284</v>
      </c>
      <c r="J184" s="16">
        <f>SUMIFS([1]IMPORT!$Q$2:$Q$93,[1]IMPORT!$J$2:$J$93,[1]CDC!B184)</f>
        <v>154.08000000000001</v>
      </c>
      <c r="K184" s="16">
        <f>SUMIFS([1]IMPORT!$N$2:$N$93,[1]IMPORT!$J$2:$J$93,[1]CDC!B184)</f>
        <v>66.900000000000006</v>
      </c>
      <c r="L184" s="16">
        <f t="shared" si="11"/>
        <v>198716</v>
      </c>
      <c r="M184" s="17">
        <f t="shared" si="12"/>
        <v>0.99358000000000002</v>
      </c>
      <c r="N184" s="16" t="str">
        <f t="shared" si="13"/>
        <v>OK</v>
      </c>
      <c r="O184" s="14" t="s">
        <v>385</v>
      </c>
    </row>
    <row r="185" spans="1:15" x14ac:dyDescent="0.25">
      <c r="A185" s="12">
        <v>180</v>
      </c>
      <c r="B185" s="13" t="s">
        <v>386</v>
      </c>
      <c r="C185" s="13"/>
      <c r="D185" s="14" t="s">
        <v>281</v>
      </c>
      <c r="E185" s="15">
        <v>200000</v>
      </c>
      <c r="F185" s="15">
        <v>0.1</v>
      </c>
      <c r="G185" s="15">
        <f t="shared" si="10"/>
        <v>20000</v>
      </c>
      <c r="H185" s="14" t="s">
        <v>18</v>
      </c>
      <c r="I185" s="16">
        <f>SUMIFS([1]IMPORT!$L$2:$L$93,[1]IMPORT!$J$2:$J$93,[1]CDC!B185)</f>
        <v>0</v>
      </c>
      <c r="J185" s="16">
        <f>SUMIFS([1]IMPORT!$Q$2:$Q$93,[1]IMPORT!$J$2:$J$93,[1]CDC!B185)</f>
        <v>0</v>
      </c>
      <c r="K185" s="16">
        <f>SUMIFS([1]IMPORT!$N$2:$N$93,[1]IMPORT!$J$2:$J$93,[1]CDC!B185)</f>
        <v>0</v>
      </c>
      <c r="L185" s="16">
        <f t="shared" si="11"/>
        <v>200000</v>
      </c>
      <c r="M185" s="17">
        <f t="shared" si="12"/>
        <v>1</v>
      </c>
      <c r="N185" s="16" t="str">
        <f t="shared" si="13"/>
        <v>OK</v>
      </c>
      <c r="O185" s="14" t="s">
        <v>387</v>
      </c>
    </row>
    <row r="186" spans="1:15" x14ac:dyDescent="0.25">
      <c r="A186" s="12">
        <v>181</v>
      </c>
      <c r="B186" s="13" t="s">
        <v>388</v>
      </c>
      <c r="C186" s="13"/>
      <c r="D186" s="14" t="s">
        <v>281</v>
      </c>
      <c r="E186" s="15">
        <v>200000</v>
      </c>
      <c r="F186" s="15">
        <v>0.2</v>
      </c>
      <c r="G186" s="15">
        <f t="shared" si="10"/>
        <v>40000</v>
      </c>
      <c r="H186" s="14" t="s">
        <v>18</v>
      </c>
      <c r="I186" s="16">
        <f>SUMIFS([1]IMPORT!$L$2:$L$93,[1]IMPORT!$J$2:$J$93,[1]CDC!B186)</f>
        <v>0</v>
      </c>
      <c r="J186" s="16">
        <f>SUMIFS([1]IMPORT!$Q$2:$Q$93,[1]IMPORT!$J$2:$J$93,[1]CDC!B186)</f>
        <v>0</v>
      </c>
      <c r="K186" s="16">
        <f>SUMIFS([1]IMPORT!$N$2:$N$93,[1]IMPORT!$J$2:$J$93,[1]CDC!B186)</f>
        <v>0</v>
      </c>
      <c r="L186" s="16">
        <f t="shared" si="11"/>
        <v>200000</v>
      </c>
      <c r="M186" s="17">
        <f t="shared" si="12"/>
        <v>1</v>
      </c>
      <c r="N186" s="16" t="str">
        <f t="shared" si="13"/>
        <v>OK</v>
      </c>
      <c r="O186" s="14" t="s">
        <v>389</v>
      </c>
    </row>
    <row r="187" spans="1:15" x14ac:dyDescent="0.25">
      <c r="A187" s="12">
        <v>182</v>
      </c>
      <c r="B187" s="13" t="s">
        <v>390</v>
      </c>
      <c r="C187" s="13"/>
      <c r="D187" s="14" t="s">
        <v>281</v>
      </c>
      <c r="E187" s="15">
        <v>200000</v>
      </c>
      <c r="F187" s="15">
        <v>1</v>
      </c>
      <c r="G187" s="15">
        <f t="shared" si="10"/>
        <v>200000</v>
      </c>
      <c r="H187" s="14" t="s">
        <v>18</v>
      </c>
      <c r="I187" s="16">
        <f>SUMIFS([1]IMPORT!$L$2:$L$93,[1]IMPORT!$J$2:$J$93,[1]CDC!B187)</f>
        <v>0</v>
      </c>
      <c r="J187" s="16">
        <f>SUMIFS([1]IMPORT!$Q$2:$Q$93,[1]IMPORT!$J$2:$J$93,[1]CDC!B187)</f>
        <v>0</v>
      </c>
      <c r="K187" s="16">
        <f>SUMIFS([1]IMPORT!$N$2:$N$93,[1]IMPORT!$J$2:$J$93,[1]CDC!B187)</f>
        <v>0</v>
      </c>
      <c r="L187" s="16">
        <f t="shared" si="11"/>
        <v>200000</v>
      </c>
      <c r="M187" s="17">
        <f t="shared" si="12"/>
        <v>1</v>
      </c>
      <c r="N187" s="16" t="str">
        <f t="shared" si="13"/>
        <v>OK</v>
      </c>
      <c r="O187" s="14" t="s">
        <v>391</v>
      </c>
    </row>
    <row r="188" spans="1:15" x14ac:dyDescent="0.25">
      <c r="A188" s="12">
        <v>183</v>
      </c>
      <c r="B188" s="13" t="s">
        <v>392</v>
      </c>
      <c r="C188" s="13"/>
      <c r="D188" s="14" t="s">
        <v>281</v>
      </c>
      <c r="E188" s="15">
        <v>200000</v>
      </c>
      <c r="F188" s="15">
        <v>0.15</v>
      </c>
      <c r="G188" s="15">
        <f t="shared" si="10"/>
        <v>30000</v>
      </c>
      <c r="H188" s="14" t="s">
        <v>18</v>
      </c>
      <c r="I188" s="16">
        <f>SUMIFS([1]IMPORT!$L$2:$L$93,[1]IMPORT!$J$2:$J$93,[1]CDC!B188)</f>
        <v>0</v>
      </c>
      <c r="J188" s="16">
        <f>SUMIFS([1]IMPORT!$Q$2:$Q$93,[1]IMPORT!$J$2:$J$93,[1]CDC!B188)</f>
        <v>0</v>
      </c>
      <c r="K188" s="16">
        <f>SUMIFS([1]IMPORT!$N$2:$N$93,[1]IMPORT!$J$2:$J$93,[1]CDC!B188)</f>
        <v>0</v>
      </c>
      <c r="L188" s="16">
        <f t="shared" si="11"/>
        <v>200000</v>
      </c>
      <c r="M188" s="17">
        <f t="shared" si="12"/>
        <v>1</v>
      </c>
      <c r="N188" s="16" t="str">
        <f t="shared" si="13"/>
        <v>OK</v>
      </c>
      <c r="O188" s="14" t="s">
        <v>393</v>
      </c>
    </row>
    <row r="189" spans="1:15" x14ac:dyDescent="0.25">
      <c r="A189" s="12">
        <v>184</v>
      </c>
      <c r="B189" s="13" t="s">
        <v>394</v>
      </c>
      <c r="C189" s="13"/>
      <c r="D189" s="14" t="s">
        <v>281</v>
      </c>
      <c r="E189" s="15">
        <v>200000</v>
      </c>
      <c r="F189" s="15">
        <v>0.5</v>
      </c>
      <c r="G189" s="15">
        <f t="shared" si="10"/>
        <v>100000</v>
      </c>
      <c r="H189" s="14" t="s">
        <v>18</v>
      </c>
      <c r="I189" s="16">
        <f>SUMIFS([1]IMPORT!$L$2:$L$93,[1]IMPORT!$J$2:$J$93,[1]CDC!B189)</f>
        <v>0</v>
      </c>
      <c r="J189" s="16">
        <f>SUMIFS([1]IMPORT!$Q$2:$Q$93,[1]IMPORT!$J$2:$J$93,[1]CDC!B189)</f>
        <v>0</v>
      </c>
      <c r="K189" s="16">
        <f>SUMIFS([1]IMPORT!$N$2:$N$93,[1]IMPORT!$J$2:$J$93,[1]CDC!B189)</f>
        <v>0</v>
      </c>
      <c r="L189" s="16">
        <f t="shared" si="11"/>
        <v>200000</v>
      </c>
      <c r="M189" s="17">
        <f t="shared" si="12"/>
        <v>1</v>
      </c>
      <c r="N189" s="16" t="str">
        <f t="shared" si="13"/>
        <v>OK</v>
      </c>
      <c r="O189" s="14" t="s">
        <v>395</v>
      </c>
    </row>
    <row r="190" spans="1:15" x14ac:dyDescent="0.25">
      <c r="A190" s="12">
        <v>185</v>
      </c>
      <c r="B190" s="13" t="s">
        <v>396</v>
      </c>
      <c r="C190" s="13"/>
      <c r="D190" s="14" t="s">
        <v>281</v>
      </c>
      <c r="E190" s="15">
        <v>150000</v>
      </c>
      <c r="F190" s="15">
        <v>0.1</v>
      </c>
      <c r="G190" s="15">
        <f t="shared" si="10"/>
        <v>15000</v>
      </c>
      <c r="H190" s="14" t="s">
        <v>18</v>
      </c>
      <c r="I190" s="16">
        <f>SUMIFS([1]IMPORT!$L$2:$L$93,[1]IMPORT!$J$2:$J$93,[1]CDC!B190)</f>
        <v>756</v>
      </c>
      <c r="J190" s="16">
        <f>SUMIFS([1]IMPORT!$Q$2:$Q$93,[1]IMPORT!$J$2:$J$93,[1]CDC!B190)</f>
        <v>756</v>
      </c>
      <c r="K190" s="16">
        <f>SUMIFS([1]IMPORT!$N$2:$N$93,[1]IMPORT!$J$2:$J$93,[1]CDC!B190)</f>
        <v>633.79999999999995</v>
      </c>
      <c r="L190" s="16">
        <f t="shared" si="11"/>
        <v>149244</v>
      </c>
      <c r="M190" s="17">
        <f t="shared" si="12"/>
        <v>0.99495999999999996</v>
      </c>
      <c r="N190" s="16" t="str">
        <f t="shared" si="13"/>
        <v>OK</v>
      </c>
      <c r="O190" s="14" t="s">
        <v>397</v>
      </c>
    </row>
    <row r="191" spans="1:15" x14ac:dyDescent="0.25">
      <c r="A191" s="12">
        <v>186</v>
      </c>
      <c r="B191" s="13" t="s">
        <v>398</v>
      </c>
      <c r="C191" s="13"/>
      <c r="D191" s="14" t="s">
        <v>281</v>
      </c>
      <c r="E191" s="15">
        <v>150000</v>
      </c>
      <c r="F191" s="15">
        <v>0.3</v>
      </c>
      <c r="G191" s="15">
        <f t="shared" si="10"/>
        <v>45000</v>
      </c>
      <c r="H191" s="14" t="s">
        <v>18</v>
      </c>
      <c r="I191" s="16">
        <f>SUMIFS([1]IMPORT!$L$2:$L$93,[1]IMPORT!$J$2:$J$93,[1]CDC!B191)</f>
        <v>0</v>
      </c>
      <c r="J191" s="16">
        <f>SUMIFS([1]IMPORT!$Q$2:$Q$93,[1]IMPORT!$J$2:$J$93,[1]CDC!B191)</f>
        <v>0</v>
      </c>
      <c r="K191" s="16">
        <f>SUMIFS([1]IMPORT!$N$2:$N$93,[1]IMPORT!$J$2:$J$93,[1]CDC!B191)</f>
        <v>0</v>
      </c>
      <c r="L191" s="16">
        <f t="shared" si="11"/>
        <v>150000</v>
      </c>
      <c r="M191" s="17">
        <f t="shared" si="12"/>
        <v>1</v>
      </c>
      <c r="N191" s="16" t="str">
        <f t="shared" si="13"/>
        <v>OK</v>
      </c>
      <c r="O191" s="14" t="s">
        <v>399</v>
      </c>
    </row>
    <row r="192" spans="1:15" x14ac:dyDescent="0.25">
      <c r="A192" s="12">
        <v>187</v>
      </c>
      <c r="B192" s="13" t="s">
        <v>400</v>
      </c>
      <c r="C192" s="13"/>
      <c r="D192" s="14" t="s">
        <v>281</v>
      </c>
      <c r="E192" s="15">
        <v>150000</v>
      </c>
      <c r="F192" s="15">
        <v>0.1</v>
      </c>
      <c r="G192" s="15">
        <f t="shared" si="10"/>
        <v>15000</v>
      </c>
      <c r="H192" s="14" t="s">
        <v>18</v>
      </c>
      <c r="I192" s="16">
        <f>SUMIFS([1]IMPORT!$L$2:$L$93,[1]IMPORT!$J$2:$J$93,[1]CDC!B192)</f>
        <v>0</v>
      </c>
      <c r="J192" s="16">
        <f>SUMIFS([1]IMPORT!$Q$2:$Q$93,[1]IMPORT!$J$2:$J$93,[1]CDC!B192)</f>
        <v>0</v>
      </c>
      <c r="K192" s="16">
        <f>SUMIFS([1]IMPORT!$N$2:$N$93,[1]IMPORT!$J$2:$J$93,[1]CDC!B192)</f>
        <v>0</v>
      </c>
      <c r="L192" s="16">
        <f t="shared" si="11"/>
        <v>150000</v>
      </c>
      <c r="M192" s="17">
        <f t="shared" si="12"/>
        <v>1</v>
      </c>
      <c r="N192" s="16" t="str">
        <f t="shared" si="13"/>
        <v>OK</v>
      </c>
      <c r="O192" s="14" t="s">
        <v>401</v>
      </c>
    </row>
    <row r="193" spans="1:15" x14ac:dyDescent="0.25">
      <c r="A193" s="12">
        <v>188</v>
      </c>
      <c r="B193" s="13" t="s">
        <v>402</v>
      </c>
      <c r="C193" s="13"/>
      <c r="D193" s="14" t="s">
        <v>281</v>
      </c>
      <c r="E193" s="15">
        <v>100000</v>
      </c>
      <c r="F193" s="15">
        <v>0.5</v>
      </c>
      <c r="G193" s="15">
        <f t="shared" si="10"/>
        <v>50000</v>
      </c>
      <c r="H193" s="14" t="s">
        <v>18</v>
      </c>
      <c r="I193" s="16">
        <f>SUMIFS([1]IMPORT!$L$2:$L$93,[1]IMPORT!$J$2:$J$93,[1]CDC!B193)</f>
        <v>0</v>
      </c>
      <c r="J193" s="16">
        <f>SUMIFS([1]IMPORT!$Q$2:$Q$93,[1]IMPORT!$J$2:$J$93,[1]CDC!B193)</f>
        <v>0</v>
      </c>
      <c r="K193" s="16">
        <f>SUMIFS([1]IMPORT!$N$2:$N$93,[1]IMPORT!$J$2:$J$93,[1]CDC!B193)</f>
        <v>0</v>
      </c>
      <c r="L193" s="16">
        <f t="shared" si="11"/>
        <v>100000</v>
      </c>
      <c r="M193" s="17">
        <f t="shared" si="12"/>
        <v>1</v>
      </c>
      <c r="N193" s="16" t="str">
        <f t="shared" si="13"/>
        <v>OK</v>
      </c>
      <c r="O193" s="14" t="s">
        <v>403</v>
      </c>
    </row>
    <row r="194" spans="1:15" x14ac:dyDescent="0.25">
      <c r="A194" s="12">
        <v>189</v>
      </c>
      <c r="B194" s="13" t="s">
        <v>404</v>
      </c>
      <c r="C194" s="13"/>
      <c r="D194" s="14" t="s">
        <v>281</v>
      </c>
      <c r="E194" s="15">
        <v>45000</v>
      </c>
      <c r="F194" s="15">
        <v>1</v>
      </c>
      <c r="G194" s="15">
        <f t="shared" si="10"/>
        <v>45000</v>
      </c>
      <c r="H194" s="14" t="s">
        <v>18</v>
      </c>
      <c r="I194" s="16">
        <f>SUMIFS([1]IMPORT!$L$2:$L$93,[1]IMPORT!$J$2:$J$93,[1]CDC!B194)</f>
        <v>0</v>
      </c>
      <c r="J194" s="16">
        <f>SUMIFS([1]IMPORT!$Q$2:$Q$93,[1]IMPORT!$J$2:$J$93,[1]CDC!B194)</f>
        <v>0</v>
      </c>
      <c r="K194" s="16">
        <f>SUMIFS([1]IMPORT!$N$2:$N$93,[1]IMPORT!$J$2:$J$93,[1]CDC!B194)</f>
        <v>0</v>
      </c>
      <c r="L194" s="16">
        <f t="shared" si="11"/>
        <v>45000</v>
      </c>
      <c r="M194" s="17">
        <f t="shared" si="12"/>
        <v>1</v>
      </c>
      <c r="N194" s="16" t="str">
        <f t="shared" si="13"/>
        <v>OK</v>
      </c>
      <c r="O194" s="14" t="s">
        <v>405</v>
      </c>
    </row>
    <row r="195" spans="1:15" x14ac:dyDescent="0.25">
      <c r="A195" s="12">
        <v>190</v>
      </c>
      <c r="B195" s="13" t="s">
        <v>406</v>
      </c>
      <c r="C195" s="13"/>
      <c r="D195" s="14" t="s">
        <v>281</v>
      </c>
      <c r="E195" s="15">
        <v>9000</v>
      </c>
      <c r="F195" s="15">
        <v>0.4</v>
      </c>
      <c r="G195" s="15">
        <f t="shared" si="10"/>
        <v>3600</v>
      </c>
      <c r="H195" s="14" t="s">
        <v>18</v>
      </c>
      <c r="I195" s="16">
        <f>SUMIFS([1]IMPORT!$L$2:$L$93,[1]IMPORT!$J$2:$J$93,[1]CDC!B195)</f>
        <v>0</v>
      </c>
      <c r="J195" s="16">
        <f>SUMIFS([1]IMPORT!$Q$2:$Q$93,[1]IMPORT!$J$2:$J$93,[1]CDC!B195)</f>
        <v>0</v>
      </c>
      <c r="K195" s="16">
        <f>SUMIFS([1]IMPORT!$N$2:$N$93,[1]IMPORT!$J$2:$J$93,[1]CDC!B195)</f>
        <v>0</v>
      </c>
      <c r="L195" s="16">
        <f t="shared" si="11"/>
        <v>9000</v>
      </c>
      <c r="M195" s="17">
        <f t="shared" si="12"/>
        <v>1</v>
      </c>
      <c r="N195" s="16" t="str">
        <f t="shared" si="13"/>
        <v>OK</v>
      </c>
      <c r="O195" s="14" t="s">
        <v>407</v>
      </c>
    </row>
    <row r="196" spans="1:15" x14ac:dyDescent="0.25">
      <c r="A196" s="12">
        <v>191</v>
      </c>
      <c r="B196" s="13" t="s">
        <v>408</v>
      </c>
      <c r="C196" s="13"/>
      <c r="D196" s="14" t="s">
        <v>281</v>
      </c>
      <c r="E196" s="15">
        <v>9000</v>
      </c>
      <c r="F196" s="15">
        <v>7</v>
      </c>
      <c r="G196" s="15">
        <f t="shared" si="10"/>
        <v>63000</v>
      </c>
      <c r="H196" s="14" t="s">
        <v>18</v>
      </c>
      <c r="I196" s="16">
        <f>SUMIFS([1]IMPORT!$L$2:$L$93,[1]IMPORT!$J$2:$J$93,[1]CDC!B196)</f>
        <v>0</v>
      </c>
      <c r="J196" s="16">
        <f>SUMIFS([1]IMPORT!$Q$2:$Q$93,[1]IMPORT!$J$2:$J$93,[1]CDC!B196)</f>
        <v>0</v>
      </c>
      <c r="K196" s="16">
        <f>SUMIFS([1]IMPORT!$N$2:$N$93,[1]IMPORT!$J$2:$J$93,[1]CDC!B196)</f>
        <v>0</v>
      </c>
      <c r="L196" s="16">
        <f t="shared" si="11"/>
        <v>9000</v>
      </c>
      <c r="M196" s="17">
        <f t="shared" si="12"/>
        <v>1</v>
      </c>
      <c r="N196" s="16" t="str">
        <f t="shared" si="13"/>
        <v>OK</v>
      </c>
      <c r="O196" s="14" t="s">
        <v>409</v>
      </c>
    </row>
    <row r="197" spans="1:15" x14ac:dyDescent="0.25">
      <c r="A197" s="12">
        <v>192</v>
      </c>
      <c r="B197" s="13" t="s">
        <v>410</v>
      </c>
      <c r="C197" s="13"/>
      <c r="D197" s="14" t="s">
        <v>281</v>
      </c>
      <c r="E197" s="15">
        <v>28000</v>
      </c>
      <c r="F197" s="15">
        <v>0.1</v>
      </c>
      <c r="G197" s="15">
        <f>F197*E197</f>
        <v>2800</v>
      </c>
      <c r="H197" s="14" t="s">
        <v>18</v>
      </c>
      <c r="I197" s="16">
        <f>SUMIFS([1]IMPORT!$L$2:$L$93,[1]IMPORT!$J$2:$J$93,[1]CDC!B197)</f>
        <v>0</v>
      </c>
      <c r="J197" s="16">
        <f>SUMIFS([1]IMPORT!$Q$2:$Q$93,[1]IMPORT!$J$2:$J$93,[1]CDC!B197)</f>
        <v>0</v>
      </c>
      <c r="K197" s="16">
        <f>SUMIFS([1]IMPORT!$N$2:$N$93,[1]IMPORT!$J$2:$J$93,[1]CDC!B197)</f>
        <v>0</v>
      </c>
      <c r="L197" s="16">
        <f>E197-I197</f>
        <v>28000</v>
      </c>
      <c r="M197" s="17">
        <f>L197/E197</f>
        <v>1</v>
      </c>
      <c r="N197" s="16" t="str">
        <f>IF(M197&lt;50%,"CHECK","OK")</f>
        <v>OK</v>
      </c>
      <c r="O197" s="14" t="s">
        <v>411</v>
      </c>
    </row>
    <row r="198" spans="1:15" x14ac:dyDescent="0.25">
      <c r="A198" s="12">
        <v>193</v>
      </c>
      <c r="B198" s="13" t="s">
        <v>412</v>
      </c>
      <c r="C198" s="13"/>
      <c r="D198" s="14" t="s">
        <v>413</v>
      </c>
      <c r="E198" s="15">
        <v>3000</v>
      </c>
      <c r="F198" s="15">
        <v>0.3</v>
      </c>
      <c r="G198" s="15">
        <f>F198*E198</f>
        <v>900</v>
      </c>
      <c r="H198" s="14" t="s">
        <v>414</v>
      </c>
      <c r="I198" s="16">
        <f>SUMIFS([1]IMPORT!$L$2:$L$93,[1]IMPORT!$J$2:$J$93,[1]CDC!B198)</f>
        <v>0</v>
      </c>
      <c r="J198" s="16">
        <f>SUMIFS([1]IMPORT!$Q$2:$Q$93,[1]IMPORT!$J$2:$J$93,[1]CDC!B198)</f>
        <v>0</v>
      </c>
      <c r="K198" s="16">
        <f>SUMIFS([1]IMPORT!$N$2:$N$93,[1]IMPORT!$J$2:$J$93,[1]CDC!B198)</f>
        <v>0</v>
      </c>
      <c r="L198" s="16">
        <f>E198-I198</f>
        <v>3000</v>
      </c>
      <c r="M198" s="17">
        <f>L198/E198</f>
        <v>1</v>
      </c>
      <c r="N198" s="16" t="str">
        <f>IF(M198&lt;50%,"CHECK","OK")</f>
        <v>OK</v>
      </c>
      <c r="O198" s="14" t="s">
        <v>415</v>
      </c>
    </row>
    <row r="199" spans="1:15" x14ac:dyDescent="0.25">
      <c r="A199" s="12">
        <v>194</v>
      </c>
      <c r="B199" s="13" t="s">
        <v>416</v>
      </c>
      <c r="C199" s="13"/>
      <c r="D199" s="14" t="s">
        <v>281</v>
      </c>
      <c r="E199" s="15">
        <v>14000</v>
      </c>
      <c r="F199" s="15">
        <v>0.5</v>
      </c>
      <c r="G199" s="15">
        <f>F199*E199</f>
        <v>7000</v>
      </c>
      <c r="H199" s="14" t="s">
        <v>18</v>
      </c>
      <c r="I199" s="16">
        <f>SUMIFS([1]IMPORT!$L$2:$L$93,[1]IMPORT!$J$2:$J$93,[1]CDC!B199)</f>
        <v>0</v>
      </c>
      <c r="J199" s="16">
        <f>SUMIFS([1]IMPORT!$Q$2:$Q$93,[1]IMPORT!$J$2:$J$93,[1]CDC!B199)</f>
        <v>0</v>
      </c>
      <c r="K199" s="16">
        <f>SUMIFS([1]IMPORT!$N$2:$N$93,[1]IMPORT!$J$2:$J$93,[1]CDC!B199)</f>
        <v>0</v>
      </c>
      <c r="L199" s="16">
        <f>E199-I199</f>
        <v>14000</v>
      </c>
      <c r="M199" s="17">
        <f>L199/E199</f>
        <v>1</v>
      </c>
      <c r="N199" s="16" t="str">
        <f>IF(M199&lt;50%,"CHECK","OK")</f>
        <v>OK</v>
      </c>
      <c r="O199" s="14" t="s">
        <v>417</v>
      </c>
    </row>
    <row r="200" spans="1:15" x14ac:dyDescent="0.25">
      <c r="A200" s="12">
        <v>195</v>
      </c>
      <c r="B200" s="13" t="s">
        <v>418</v>
      </c>
      <c r="C200" s="13"/>
      <c r="D200" s="14" t="s">
        <v>281</v>
      </c>
      <c r="E200" s="15">
        <v>8000</v>
      </c>
      <c r="F200" s="15">
        <v>10</v>
      </c>
      <c r="G200" s="15">
        <f>F200*E200</f>
        <v>80000</v>
      </c>
      <c r="H200" s="14" t="s">
        <v>18</v>
      </c>
      <c r="I200" s="16">
        <f>SUMIFS([1]IMPORT!$L$2:$L$93,[1]IMPORT!$J$2:$J$93,[1]CDC!B200)</f>
        <v>0</v>
      </c>
      <c r="J200" s="16">
        <f>SUMIFS([1]IMPORT!$Q$2:$Q$93,[1]IMPORT!$J$2:$J$93,[1]CDC!B200)</f>
        <v>0</v>
      </c>
      <c r="K200" s="16">
        <f>SUMIFS([1]IMPORT!$N$2:$N$93,[1]IMPORT!$J$2:$J$93,[1]CDC!B200)</f>
        <v>0</v>
      </c>
      <c r="L200" s="16">
        <f>E200-I200</f>
        <v>8000</v>
      </c>
      <c r="M200" s="17">
        <f>L200/E200</f>
        <v>1</v>
      </c>
      <c r="N200" s="16" t="str">
        <f>IF(M200&lt;50%,"CHECK","OK")</f>
        <v>OK</v>
      </c>
      <c r="O200" s="14" t="s">
        <v>419</v>
      </c>
    </row>
  </sheetData>
  <mergeCells count="1">
    <mergeCell ref="I1:K1"/>
  </mergeCells>
  <conditionalFormatting sqref="A3:O200">
    <cfRule type="expression" dxfId="0" priority="1">
      <formula>$M3&lt;50%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Jay</dc:creator>
  <cp:lastModifiedBy>Alex Jay</cp:lastModifiedBy>
  <dcterms:created xsi:type="dcterms:W3CDTF">2026-09-17T14:12:37Z</dcterms:created>
  <dcterms:modified xsi:type="dcterms:W3CDTF">2026-09-17T14:13:14Z</dcterms:modified>
</cp:coreProperties>
</file>