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F2FB0C-BB5E-4F0C-A7F4-117AB2BEA6E4}" xr6:coauthVersionLast="47" xr6:coauthVersionMax="47" xr10:uidLastSave="{00000000-0000-0000-0000-000000000000}"/>
  <bookViews>
    <workbookView xWindow="-120" yWindow="-120" windowWidth="29040" windowHeight="15690" xr2:uid="{00000000-000D-0000-FFFF-FFFF00000000}"/>
  </bookViews>
  <sheets>
    <sheet name="INVOICE" sheetId="2" r:id="rId1"/>
    <sheet name="Cover" sheetId="3" r:id="rId2"/>
    <sheet name="AUTHOR " sheetId="7" r:id="rId3"/>
    <sheet name="ID" sheetId="8" r:id="rId4"/>
  </sheets>
  <externalReferences>
    <externalReference r:id="rId5"/>
    <externalReference r:id="rId6"/>
  </externalReferences>
  <definedNames>
    <definedName name="_xlnm._FilterDatabase" localSheetId="0" hidden="1">INVOICE!$B$18:$L$18</definedName>
    <definedName name="_Hlk86259791" localSheetId="2">'AUTHOR '!$A$69</definedName>
    <definedName name="_xlnm.Print_Area" localSheetId="2">'AUTHOR '!$A$1:$AA$35</definedName>
    <definedName name="_xlnm.Print_Area" localSheetId="1">Cover!$A$1:$AU$29</definedName>
    <definedName name="_xlnm.Print_Area" localSheetId="3">ID!$A$1:$L$54</definedName>
    <definedName name="_xlnm.Print_Area" localSheetId="0">INVOICE!$A$1:$L$40</definedName>
  </definedNames>
  <calcPr calcId="191029" refMode="R1C1" iterateDelta="9.9999999974897903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H20" i="2"/>
  <c r="G20" i="2"/>
  <c r="F20" i="2"/>
  <c r="C20" i="2"/>
  <c r="E20" i="2"/>
  <c r="Y20" i="7"/>
  <c r="Y18" i="7"/>
  <c r="Y19" i="7" s="1"/>
  <c r="M20" i="7"/>
  <c r="M18" i="7"/>
  <c r="M19" i="7" s="1"/>
  <c r="AD6" i="3"/>
  <c r="AB5" i="3"/>
  <c r="AE17" i="3"/>
  <c r="AE16" i="3"/>
  <c r="O17" i="3"/>
  <c r="O16" i="3"/>
  <c r="T13" i="3"/>
  <c r="K25" i="2" l="1"/>
  <c r="F19" i="2" l="1"/>
  <c r="G19" i="2" s="1"/>
  <c r="E19" i="2"/>
  <c r="C19" i="2"/>
  <c r="G25" i="2" l="1"/>
  <c r="AO12" i="3" s="1"/>
  <c r="K39" i="2"/>
  <c r="I13" i="2" l="1"/>
  <c r="D36" i="2"/>
  <c r="K36" i="2" s="1"/>
  <c r="L25" i="2"/>
  <c r="AD12" i="3" s="1"/>
  <c r="I25" i="2"/>
  <c r="E44" i="2" s="1"/>
  <c r="Y12" i="3" s="1"/>
  <c r="I14" i="2"/>
  <c r="H10" i="2"/>
  <c r="J19" i="2"/>
  <c r="H2" i="2"/>
  <c r="H19" i="2"/>
  <c r="O19" i="2"/>
  <c r="N26" i="2"/>
  <c r="I12" i="2"/>
  <c r="I11" i="2"/>
  <c r="I10" i="2"/>
  <c r="L7" i="2"/>
  <c r="K7" i="2"/>
  <c r="I7" i="2"/>
  <c r="H7" i="2"/>
  <c r="H1" i="2"/>
  <c r="A41" i="2" l="1"/>
  <c r="S12" i="3" s="1"/>
</calcChain>
</file>

<file path=xl/sharedStrings.xml><?xml version="1.0" encoding="utf-8"?>
<sst xmlns="http://schemas.openxmlformats.org/spreadsheetml/2006/main" count="112" uniqueCount="97">
  <si>
    <t>ជាតិ  សាសនា  ព្រះមហាក្សត្រ</t>
  </si>
  <si>
    <t xml:space="preserve">លិខិតផ្ទេរសិទ្ធិ </t>
  </si>
  <si>
    <r>
      <t>តាមឯកសារភ្ជាប់ដូចខាងក្រោម</t>
    </r>
    <r>
      <rPr>
        <sz val="12"/>
        <color indexed="8"/>
        <rFont val="Khmer OS Siemreap"/>
      </rPr>
      <t>៖</t>
    </r>
  </si>
  <si>
    <t>1-វិក្កយប័ត្រ(Invoice)លេខ</t>
  </si>
  <si>
    <t>ចុះថ្ងៃទីខែឆ្នាំ</t>
  </si>
  <si>
    <t>2-បញ្ជីវេចខ្ចប់(Packing List)លេខ</t>
  </si>
  <si>
    <t>3-អញ្ញាតប័ណ្ណ(B/L, AWB, TWB)លេខ</t>
  </si>
  <si>
    <t>4-ឯកសារគាំទ្រផ្សេងទៀត</t>
  </si>
  <si>
    <t>ឈ្មោះ</t>
  </si>
  <si>
    <t>INVOICE</t>
  </si>
  <si>
    <t>PACKING LIST</t>
  </si>
  <si>
    <t xml:space="preserve">NO: </t>
  </si>
  <si>
    <t>Date:</t>
  </si>
  <si>
    <t>No</t>
  </si>
  <si>
    <t>Description of Goods</t>
  </si>
  <si>
    <t>Quantity</t>
  </si>
  <si>
    <t>Unit Price(USD)</t>
  </si>
  <si>
    <t>Amount(USD)</t>
  </si>
  <si>
    <t>Net Weight (KGS)</t>
  </si>
  <si>
    <t>Gross Weight (KGS)</t>
  </si>
  <si>
    <t>B/L</t>
  </si>
  <si>
    <t>Date</t>
  </si>
  <si>
    <t>PKGS :</t>
  </si>
  <si>
    <t>ព្រះរាជាណាចក្រកម្ពុ​ជា</t>
  </si>
  <si>
    <t>:</t>
  </si>
  <si>
    <t>ជាតិ​​ សាសនា ព្រះមហាក្សត្រ</t>
  </si>
  <si>
    <t>អាស័យដ្ឋាន</t>
  </si>
  <si>
    <t>eeõff</t>
  </si>
  <si>
    <t>សូមគោរពជូន</t>
  </si>
  <si>
    <t>ឯកឧត្តម​​​​រដ្ឋមន្រ្តីប្រតិភូអមនាយករដ្ឋមន្រ្តី</t>
  </si>
  <si>
    <t>អគ្គនាយក​នៃអគ្គនាយកដ្ឋានគយ និងរដ្ឋាករកម្ពុជា</t>
  </si>
  <si>
    <t>កម្មវត្ថុ</t>
  </si>
  <si>
    <t>សំណើសុំលិខិតអនុញ្ញាតតិនាំចូលនូវវត្ថុធាតុដើម</t>
  </si>
  <si>
    <t>ចំនួន</t>
  </si>
  <si>
    <t>=</t>
  </si>
  <si>
    <t>តំលៃUSD</t>
  </si>
  <si>
    <t>យោង</t>
  </si>
  <si>
    <t xml:space="preserve">-Invoice/Packing List </t>
  </si>
  <si>
    <t>No.</t>
  </si>
  <si>
    <t>ចុះថៃ្ងទី</t>
  </si>
  <si>
    <t>តបតាមន័យកម្មវត្ថុ និង យោងខាងលើ សូមឯកឧត្តមរដ្ឋមន្រ្តីប្រតិភូ មេត្តាពិនិត្យ និង ដោះស្រាយនូវសំណើខាងលើដោយក្តីអនុគ្រោះ ។</t>
  </si>
  <si>
    <t xml:space="preserve">   (ហត្ថលេខា និង ឈ្មោះ )</t>
  </si>
  <si>
    <t>GENERAL MANAGER</t>
  </si>
  <si>
    <t>ដោយពន្ឋនិងអាករជាបន្ទុករបស់រដ្ឋតាមមាត់ច្រក</t>
  </si>
  <si>
    <t xml:space="preserve">COUNTRY OF ORIGIN:  </t>
  </si>
  <si>
    <t>CHINA</t>
  </si>
  <si>
    <r>
      <t xml:space="preserve">និងជាម្ចាស់ទំនិញ </t>
    </r>
    <r>
      <rPr>
        <sz val="12"/>
        <color indexed="8"/>
        <rFont val="Khmer MEF2"/>
      </rPr>
      <t>សូមផ្ទេរសិទ្ធិជូន</t>
    </r>
    <r>
      <rPr>
        <sz val="12"/>
        <color indexed="8"/>
        <rFont val="Khmer MEF1"/>
      </rPr>
      <t>​​</t>
    </r>
  </si>
  <si>
    <t>CFSECAT241274199</t>
  </si>
  <si>
    <t>Consignee:</t>
  </si>
  <si>
    <t>កំពង់ផែក្រុងព្រះសីហនុ (បញ្ចេញទំនិញនៅមាត់ច្រក​ កំពង់ផែក្រុងព្រះសីហនុ)</t>
  </si>
  <si>
    <t>CIF SIHANOUKVILLE</t>
  </si>
  <si>
    <t>-Bill of Loading</t>
  </si>
  <si>
    <t xml:space="preserve">JR APPAREL CO. ,LTD </t>
  </si>
  <si>
    <t>ATTN: KENDY TEL 085441621</t>
  </si>
  <si>
    <t>VAT: L001-902501613</t>
  </si>
  <si>
    <t>ជ.នាយកក្រុមហ៊ុន JR APPAREL</t>
  </si>
  <si>
    <t>KAOH KNOR PREAEK ROKA KANDAL STUENG</t>
  </si>
  <si>
    <t>KANDAL PROVINCE CAMBODIA</t>
  </si>
  <si>
    <t>VAT# L001-902501613</t>
  </si>
  <si>
    <t>STUENG KANDAL PROVINCE CAMBODIA</t>
  </si>
  <si>
    <t xml:space="preserve">KAOH KNOR PREAEK ROKA KANDAL </t>
  </si>
  <si>
    <t>LIN LEE BI JEN</t>
  </si>
  <si>
    <t>ក្រុមហ៊ុន</t>
  </si>
  <si>
    <t>QIP25021226-C01996</t>
  </si>
  <si>
    <t>KNITTED FABRIC</t>
  </si>
  <si>
    <t>________________________________________________</t>
  </si>
  <si>
    <r>
      <t xml:space="preserve">សម្រាប់ម្ចាស់ទំនិញជូននីតិបុគ្គលជើងសាគយ </t>
    </r>
    <r>
      <rPr>
        <sz val="12"/>
        <color theme="1"/>
        <rFont val="Wingdings"/>
        <charset val="2"/>
      </rPr>
      <t>þ</t>
    </r>
    <r>
      <rPr>
        <sz val="12"/>
        <color theme="1"/>
        <rFont val="Khmer MEF1"/>
      </rPr>
      <t xml:space="preserve">    រូបវន្តបុគ្គលជើងសាគយ  </t>
    </r>
    <r>
      <rPr>
        <sz val="12"/>
        <color theme="1"/>
        <rFont val="Wingdings"/>
        <charset val="2"/>
      </rPr>
      <t>¨</t>
    </r>
  </si>
  <si>
    <t xml:space="preserve">ខ្ញុំបាទ/នាងខ្ញុំ....LIN LEE BI JEN..... អត្តសញ្ញាណប័ណ្ណសញ្ជាតិខ្មែរ/លិខិតឆ្លងដែនលេខ      353387543 </t>
  </si>
  <si>
    <r>
      <t xml:space="preserve">ជាប្រធានក្រុមហ៊ុន </t>
    </r>
    <r>
      <rPr>
        <sz val="12"/>
        <color theme="1"/>
        <rFont val="Wingdings"/>
        <charset val="2"/>
      </rPr>
      <t>þ</t>
    </r>
    <r>
      <rPr>
        <sz val="12"/>
        <color theme="1"/>
        <rFont val="Khmer MEF1"/>
      </rPr>
      <t xml:space="preserve"> សមាជិកក្រុមប្រឹក្សាភិបាល </t>
    </r>
    <r>
      <rPr>
        <sz val="12"/>
        <color theme="1"/>
        <rFont val="Wingdings"/>
        <charset val="2"/>
      </rPr>
      <t xml:space="preserve">¨ </t>
    </r>
    <r>
      <rPr>
        <sz val="12"/>
        <color theme="1"/>
        <rFont val="Khmer MEF1"/>
      </rPr>
      <t xml:space="preserve">ផ្សេងទៀត  </t>
    </r>
    <r>
      <rPr>
        <sz val="12"/>
        <color theme="1"/>
        <rFont val="Wingdings"/>
        <charset val="2"/>
      </rPr>
      <t>¨</t>
    </r>
    <r>
      <rPr>
        <sz val="13.2"/>
        <color theme="1"/>
        <rFont val="Khmer MEF1"/>
      </rPr>
      <t>................................</t>
    </r>
    <r>
      <rPr>
        <sz val="12"/>
        <color theme="1"/>
        <rFont val="Khmer MEF1"/>
      </rPr>
      <t xml:space="preserve"> នៃក្រុមហ៊ុន/សហគ្រាស/អង្គភាព</t>
    </r>
  </si>
  <si>
    <t>អត្តសញ្ញាណកម្មសារពើពន្ធ (VAT)លេខ​ L001-902501613​ ទូរស័ព្ទលេខ 077 777 469</t>
  </si>
  <si>
    <r>
      <t xml:space="preserve">លោក​ </t>
    </r>
    <r>
      <rPr>
        <sz val="12"/>
        <color theme="1"/>
        <rFont val="Wingdings"/>
        <charset val="2"/>
      </rPr>
      <t>þ</t>
    </r>
    <r>
      <rPr>
        <sz val="12"/>
        <color theme="1"/>
        <rFont val="Khmer MEF1"/>
      </rPr>
      <t xml:space="preserve">   /​ លោកស្រី </t>
    </r>
    <r>
      <rPr>
        <sz val="12"/>
        <color theme="1"/>
        <rFont val="Wingdings"/>
        <charset val="2"/>
      </rPr>
      <t>¨</t>
    </r>
  </si>
  <si>
    <t>យឹម ជៀវសៀ</t>
  </si>
  <si>
    <t>អត្តសញ្ញាណប័ណ្ណសញ្ជាតិខ្មែរ/លិខិតឆ្លងដែនលេខ           021114299          ទូរស័ព្ទលេខ     098​​ 484 414</t>
  </si>
  <si>
    <t xml:space="preserve">ជាប្រធាន/អនុប្រធានក្រុមហ៊ុន/សហគ្រាស            GRATEFUL SOLUTIONS (CAMBODIA) CO., LTD. </t>
  </si>
  <si>
    <r>
      <t xml:space="preserve">មានអត្តសញ្ញាណកម្មសារពើពន្ធ​ (VAT)លេខ K008-902404873 និងមានរូបវន្តបុគ្គលជើងសាគយតំណាងលោក </t>
    </r>
    <r>
      <rPr>
        <b/>
        <sz val="12"/>
        <color theme="1"/>
        <rFont val="Khmer MEF2"/>
      </rPr>
      <t>សៀ សុខជា</t>
    </r>
  </si>
  <si>
    <t>អត្តសញ្ញាណប័ណ្ណសញ្ជាតិខ្មែរ/លិខិតឆ្លងដែនលេខ          020466170 (02)       ទូរស័ព្ទលេខ        086 347 078</t>
  </si>
  <si>
    <t>ប័ណ្ណសម្គាល់ជើងសាគយលេខ         CB CARD #1132   ផុតសុពលភាពថ្ងៃទី   ៣១     ខែ   មីនា  ឆ្នាំ   ២០២៨</t>
  </si>
  <si>
    <r>
      <t xml:space="preserve">ដើម្បីបំពេញបែបបទបញ្ចេញទំនិញពីគយ </t>
    </r>
    <r>
      <rPr>
        <sz val="12"/>
        <color theme="1"/>
        <rFont val="Khmer MEF1"/>
      </rPr>
      <t xml:space="preserve">សម្រាប់មួយប្រតិបត្តិការនៅ </t>
    </r>
    <r>
      <rPr>
        <b/>
        <sz val="12"/>
        <color theme="1"/>
        <rFont val="Khmer MEF2"/>
      </rPr>
      <t xml:space="preserve">នាយកដ្ឋានរបបគយ </t>
    </r>
  </si>
  <si>
    <t>ថៃ្ង សុក្រ ៩កើត ខែ ចេត្រ ឆ្នាំ ម្សាញ់ សប្តស័ក ព.ស ២៥៦៩</t>
  </si>
  <si>
    <t>រាជធានីភ្នំពេញ ថៃ្ងទី ២៧ ខែ មីនា​ គ.ស ២០២៦</t>
  </si>
  <si>
    <t>ហត្ថលេខា និងត្រាអ្នកទទួលសិទ្ធ</t>
  </si>
  <si>
    <t>ហត្ថលេខានិងត្រាអ្នកផ្ទេរសិទ្ធិ</t>
  </si>
  <si>
    <t>ស្នាមមេដៃស្ដាំជើងសារគយ</t>
  </si>
  <si>
    <t>ឈ្មោះ សៀ សុខជា</t>
  </si>
  <si>
    <t>Rolls</t>
  </si>
  <si>
    <t>No. of Rolls</t>
  </si>
  <si>
    <t>CTNR:</t>
  </si>
  <si>
    <t>-លិខិតលេខ 1343/26 គ.វ.ក ចុះថៃ្ងទី 21-05-2026 ពន្យារសុពលភាពលើលិខិតលេខ QIP25021226-C01996 គ.វ.ក។</t>
  </si>
  <si>
    <t xml:space="preserve">-ចំណារលោកប្រធាននាយកដ្ឋានរបបគយ ចុះថៃ្ងទី 22-05-2026 </t>
  </si>
  <si>
    <t>SHANGHAI YONGYUE IMP.&amp;EXP. TRADING CO., LTD.</t>
  </si>
  <si>
    <t>RM 5N ,NO.1590 , WEST YANAN ROAD,SHANGHAI 200052 CHINA
FAX:021-52183565 TEL:021-62910630</t>
  </si>
  <si>
    <t>CNQ26044</t>
  </si>
  <si>
    <t>INTERLINING</t>
  </si>
  <si>
    <t>ZCSU7954124 / A4250250303 / 40'HQ</t>
  </si>
  <si>
    <t>SHSIN6090031</t>
  </si>
  <si>
    <t>ថ្ងៃអង្គារ ៤កើត ខែភទ្របទ ឆ្នាំមមី អដ្ឋស័ក ពុទ្ធសករាជ ២៥៧០</t>
  </si>
  <si>
    <t>រាជធានីភ្នំពេញ ថ្ងៃទី១៥ ខែកញ្ញា 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</si>
</sst>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12000425]0"/>
    <numFmt numFmtId="165" formatCode="dd\-mmm\-yyyy"/>
    <numFmt numFmtId="166" formatCode="#,##0.000"/>
    <numFmt numFmtId="167" formatCode="&quot;II.&quot;\ 0##"/>
    <numFmt numFmtId="168" formatCode="&quot;II.&quot;\ ###"/>
    <numFmt numFmtId="169" formatCode="#,##0.0000"/>
    <numFmt numFmtId="170" formatCode="\ ##\ &quot;មុខ&quot;"/>
    <numFmt numFmtId="171" formatCode="&quot;ភ្នំពេញថ្ងៃទី&quot;\ ##\ &quot;ខែ&quot;\ ##\ \ &quot;ឆ្នាំ&quot;\ ####"/>
    <numFmt numFmtId="172" formatCode="&quot;ភ្នំពេញថ្ងៃទី&quot;\ ##\'\ &quot;ខែ&quot;\ ##\'\ \ &quot;ឆ្នាំ&quot;\ \'####\'"/>
    <numFmt numFmtId="173" formatCode="&quot;ភ្នំពេញថ្ងែទី&quot;\ ##&quot;ខែ&quot;\ ##\ &quot;ឆ្នាំ&quot;####"/>
    <numFmt numFmtId="174" formatCode="[$-409]d\-mmm\-yy;@"/>
    <numFmt numFmtId="175" formatCode="0000&quot;P'kgs&quot;"/>
    <numFmt numFmtId="176" formatCode="\ #,##0.00\ &quot;Kgs&quot;"/>
    <numFmt numFmtId="177" formatCode="0.000"/>
    <numFmt numFmtId="178" formatCode="[$-409]dd\-mmm\-yy;@"/>
  </numFmts>
  <fonts count="71" x14ac:knownFonts="1">
    <font>
      <sz val="11"/>
      <color theme="1"/>
      <name val="Calibri"/>
      <family val="2"/>
      <scheme val="minor"/>
    </font>
    <font>
      <sz val="16"/>
      <color theme="1"/>
      <name val="Khmer MEF2"/>
    </font>
    <font>
      <sz val="14"/>
      <color theme="1"/>
      <name val="Khmer MEF2"/>
    </font>
    <font>
      <sz val="12"/>
      <color theme="1"/>
      <name val="Calibri"/>
      <family val="2"/>
      <scheme val="minor"/>
    </font>
    <font>
      <sz val="12"/>
      <color theme="1"/>
      <name val="Khmer MEF1"/>
    </font>
    <font>
      <sz val="12"/>
      <color theme="1"/>
      <name val="Khmer MEF2"/>
    </font>
    <font>
      <b/>
      <sz val="12"/>
      <color theme="1"/>
      <name val="Khmer MEF1"/>
    </font>
    <font>
      <b/>
      <sz val="12"/>
      <color theme="1"/>
      <name val="Khmer MEF2"/>
    </font>
    <font>
      <sz val="12"/>
      <color indexed="8"/>
      <name val="Khmer MEF2"/>
    </font>
    <font>
      <sz val="12"/>
      <color indexed="8"/>
      <name val="Khmer MEF1"/>
    </font>
    <font>
      <sz val="12"/>
      <color indexed="8"/>
      <name val="Khmer OS Siemreap"/>
    </font>
    <font>
      <b/>
      <sz val="24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FF0000"/>
      <name val="Times New Roman"/>
      <family val="1"/>
    </font>
    <font>
      <sz val="12"/>
      <name val="Kh Bokor"/>
    </font>
    <font>
      <sz val="11"/>
      <name val="Kh Bokor"/>
    </font>
    <font>
      <sz val="12"/>
      <color indexed="10"/>
      <name val="Kh Bokor"/>
    </font>
    <font>
      <sz val="12"/>
      <color indexed="62"/>
      <name val="Kh Bokor"/>
    </font>
    <font>
      <sz val="12"/>
      <name val="Tahoma"/>
      <family val="2"/>
    </font>
    <font>
      <b/>
      <sz val="10"/>
      <color indexed="8"/>
      <name val="Kh Bokor"/>
    </font>
    <font>
      <sz val="11"/>
      <color indexed="8"/>
      <name val="Khmer OS Muol Light"/>
    </font>
    <font>
      <b/>
      <sz val="22"/>
      <color indexed="8"/>
      <name val="Times New Roman"/>
      <family val="1"/>
    </font>
    <font>
      <sz val="10"/>
      <color indexed="8"/>
      <name val="Khmer OS Muol Light"/>
    </font>
    <font>
      <sz val="10"/>
      <color theme="1"/>
      <name val="Khmer OS Muol Light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Wingdings 2"/>
      <family val="1"/>
      <charset val="2"/>
    </font>
    <font>
      <sz val="10"/>
      <color indexed="8"/>
      <name val="Wingdings 2"/>
      <family val="1"/>
      <charset val="2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Kh Bokor"/>
    </font>
    <font>
      <sz val="10"/>
      <name val="Khmer OS Battambang"/>
    </font>
    <font>
      <sz val="12"/>
      <color indexed="8"/>
      <name val="Khmer OS Muol Light"/>
    </font>
    <font>
      <b/>
      <sz val="11"/>
      <color indexed="8"/>
      <name val="Kh Bokor"/>
    </font>
    <font>
      <sz val="10"/>
      <color indexed="8"/>
      <name val="Kh Bokor"/>
    </font>
    <font>
      <sz val="11"/>
      <color theme="1"/>
      <name val="Khmer OS Muol Light"/>
    </font>
    <font>
      <b/>
      <sz val="11"/>
      <color indexed="8"/>
      <name val="Calibri"/>
      <family val="2"/>
    </font>
    <font>
      <sz val="11"/>
      <color theme="1"/>
      <name val="Kh Bokor"/>
    </font>
    <font>
      <sz val="11"/>
      <name val="Times New Roman"/>
      <family val="1"/>
    </font>
    <font>
      <sz val="12"/>
      <name val="Khmer OS Muol Light"/>
    </font>
    <font>
      <sz val="11"/>
      <color indexed="10"/>
      <name val="Calibri"/>
      <family val="2"/>
    </font>
    <font>
      <sz val="9"/>
      <color indexed="8"/>
      <name val="Khmer OS Muol Light"/>
    </font>
    <font>
      <sz val="10"/>
      <color indexed="10"/>
      <name val="Times New Roman"/>
      <family val="1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Wingdings"/>
      <charset val="2"/>
    </font>
    <font>
      <sz val="9"/>
      <name val="Times New Roman"/>
      <family val="1"/>
    </font>
    <font>
      <b/>
      <sz val="16"/>
      <name val="Times New Roman"/>
      <family val="1"/>
    </font>
    <font>
      <sz val="12"/>
      <color theme="1"/>
      <name val="Wingdings 2"/>
      <family val="1"/>
      <charset val="2"/>
    </font>
    <font>
      <u/>
      <sz val="10"/>
      <name val="Times New Roman"/>
      <family val="1"/>
    </font>
    <font>
      <sz val="12"/>
      <color theme="1"/>
      <name val="Times New Roman"/>
      <family val="1"/>
    </font>
    <font>
      <b/>
      <sz val="12"/>
      <name val="Khmer MEF2"/>
    </font>
    <font>
      <sz val="12"/>
      <name val="Khmer MEF2"/>
    </font>
    <font>
      <b/>
      <sz val="12"/>
      <name val="Khmer MEF1"/>
    </font>
    <font>
      <sz val="12"/>
      <name val="Calibri"/>
      <family val="2"/>
      <scheme val="minor"/>
    </font>
    <font>
      <sz val="13.2"/>
      <color theme="1"/>
      <name val="Khmer MEF1"/>
    </font>
    <font>
      <b/>
      <sz val="12"/>
      <color theme="1"/>
      <name val="Times New Roman"/>
      <family val="1"/>
    </font>
    <font>
      <sz val="11"/>
      <color indexed="8"/>
      <name val="Khmer OS Siemreap"/>
    </font>
    <font>
      <sz val="11"/>
      <color theme="1"/>
      <name val="Khmer OS Siemreap"/>
    </font>
    <font>
      <sz val="11"/>
      <color indexed="8"/>
      <name val="Khmer MEF1"/>
    </font>
    <font>
      <sz val="11"/>
      <color theme="1"/>
      <name val="Khmer MEF1"/>
    </font>
    <font>
      <b/>
      <sz val="11"/>
      <color indexed="8"/>
      <name val="Khmer MEF1"/>
    </font>
    <font>
      <sz val="11"/>
      <name val="Khmer MEF1"/>
    </font>
    <font>
      <sz val="10"/>
      <name val="Khmer MEF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16" fillId="0" borderId="0">
      <alignment vertical="top"/>
    </xf>
    <xf numFmtId="43" fontId="17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1" fillId="0" borderId="0"/>
  </cellStyleXfs>
  <cellXfs count="18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quotePrefix="1" applyFont="1"/>
    <xf numFmtId="0" fontId="7" fillId="0" borderId="0" xfId="0" applyFont="1"/>
    <xf numFmtId="0" fontId="6" fillId="0" borderId="0" xfId="0" applyFont="1"/>
    <xf numFmtId="0" fontId="5" fillId="0" borderId="0" xfId="0" applyFont="1"/>
    <xf numFmtId="164" fontId="3" fillId="0" borderId="0" xfId="0" quotePrefix="1" applyNumberFormat="1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4" fontId="13" fillId="0" borderId="0" xfId="0" applyNumberFormat="1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/>
    <xf numFmtId="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left"/>
    </xf>
    <xf numFmtId="4" fontId="15" fillId="0" borderId="0" xfId="0" applyNumberFormat="1" applyFont="1"/>
    <xf numFmtId="4" fontId="12" fillId="0" borderId="0" xfId="0" applyNumberFormat="1" applyFont="1"/>
    <xf numFmtId="0" fontId="15" fillId="0" borderId="0" xfId="0" applyFont="1" applyAlignment="1">
      <alignment horizontal="right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7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left"/>
    </xf>
    <xf numFmtId="168" fontId="12" fillId="0" borderId="10" xfId="0" applyNumberFormat="1" applyFont="1" applyBorder="1" applyAlignment="1">
      <alignment horizontal="center"/>
    </xf>
    <xf numFmtId="43" fontId="12" fillId="0" borderId="9" xfId="2" applyFont="1" applyBorder="1" applyAlignment="1"/>
    <xf numFmtId="4" fontId="12" fillId="0" borderId="12" xfId="0" applyNumberFormat="1" applyFont="1" applyBorder="1" applyAlignment="1">
      <alignment horizontal="center"/>
    </xf>
    <xf numFmtId="43" fontId="12" fillId="0" borderId="8" xfId="2" applyFont="1" applyBorder="1" applyAlignment="1">
      <alignment horizontal="right"/>
    </xf>
    <xf numFmtId="4" fontId="12" fillId="0" borderId="12" xfId="0" applyNumberFormat="1" applyFont="1" applyBorder="1" applyAlignment="1">
      <alignment horizontal="right"/>
    </xf>
    <xf numFmtId="0" fontId="12" fillId="0" borderId="12" xfId="0" applyFont="1" applyBorder="1" applyAlignment="1">
      <alignment horizontal="center" vertical="center"/>
    </xf>
    <xf numFmtId="43" fontId="12" fillId="0" borderId="12" xfId="2" applyFont="1" applyBorder="1" applyAlignment="1">
      <alignment horizontal="right"/>
    </xf>
    <xf numFmtId="0" fontId="12" fillId="0" borderId="0" xfId="0" applyFont="1" applyAlignment="1">
      <alignment horizontal="center"/>
    </xf>
    <xf numFmtId="169" fontId="12" fillId="0" borderId="0" xfId="0" applyNumberFormat="1" applyFont="1"/>
    <xf numFmtId="4" fontId="18" fillId="0" borderId="0" xfId="0" applyNumberFormat="1" applyFont="1"/>
    <xf numFmtId="0" fontId="12" fillId="0" borderId="0" xfId="0" applyFont="1" applyAlignment="1">
      <alignment horizontal="right"/>
    </xf>
    <xf numFmtId="166" fontId="12" fillId="0" borderId="0" xfId="0" applyNumberFormat="1" applyFont="1"/>
    <xf numFmtId="166" fontId="13" fillId="0" borderId="0" xfId="0" applyNumberFormat="1" applyFont="1"/>
    <xf numFmtId="170" fontId="19" fillId="0" borderId="0" xfId="0" applyNumberFormat="1" applyFont="1" applyAlignment="1">
      <alignment horizontal="center" vertical="center"/>
    </xf>
    <xf numFmtId="171" fontId="20" fillId="0" borderId="0" xfId="0" applyNumberFormat="1" applyFont="1"/>
    <xf numFmtId="172" fontId="21" fillId="0" borderId="0" xfId="0" applyNumberFormat="1" applyFont="1"/>
    <xf numFmtId="173" fontId="15" fillId="0" borderId="0" xfId="0" applyNumberFormat="1" applyFont="1"/>
    <xf numFmtId="0" fontId="22" fillId="0" borderId="0" xfId="0" applyFont="1"/>
    <xf numFmtId="22" fontId="14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left"/>
    </xf>
    <xf numFmtId="174" fontId="14" fillId="0" borderId="0" xfId="0" applyNumberFormat="1" applyFont="1" applyAlignment="1">
      <alignment horizontal="center"/>
    </xf>
    <xf numFmtId="171" fontId="20" fillId="0" borderId="0" xfId="0" applyNumberFormat="1" applyFont="1" applyAlignment="1">
      <alignment vertical="center"/>
    </xf>
    <xf numFmtId="174" fontId="13" fillId="0" borderId="0" xfId="0" applyNumberFormat="1" applyFont="1" applyAlignment="1">
      <alignment horizontal="left"/>
    </xf>
    <xf numFmtId="0" fontId="25" fillId="0" borderId="0" xfId="0" applyFont="1" applyAlignment="1">
      <alignment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35" fillId="0" borderId="0" xfId="0" applyFont="1"/>
    <xf numFmtId="171" fontId="38" fillId="0" borderId="0" xfId="0" applyNumberFormat="1" applyFont="1"/>
    <xf numFmtId="0" fontId="24" fillId="0" borderId="0" xfId="0" applyFont="1"/>
    <xf numFmtId="164" fontId="37" fillId="0" borderId="0" xfId="0" applyNumberFormat="1" applyFont="1"/>
    <xf numFmtId="0" fontId="40" fillId="0" borderId="0" xfId="0" applyFont="1"/>
    <xf numFmtId="0" fontId="37" fillId="0" borderId="0" xfId="0" applyFont="1"/>
    <xf numFmtId="0" fontId="25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4" fontId="36" fillId="0" borderId="0" xfId="0" applyNumberFormat="1" applyFont="1"/>
    <xf numFmtId="0" fontId="41" fillId="0" borderId="0" xfId="0" quotePrefix="1" applyFont="1"/>
    <xf numFmtId="0" fontId="47" fillId="0" borderId="0" xfId="0" applyFont="1"/>
    <xf numFmtId="0" fontId="49" fillId="0" borderId="0" xfId="0" applyFont="1"/>
    <xf numFmtId="0" fontId="48" fillId="0" borderId="0" xfId="0" applyFont="1" applyAlignment="1">
      <alignment vertical="center"/>
    </xf>
    <xf numFmtId="0" fontId="41" fillId="0" borderId="15" xfId="0" applyFont="1" applyBorder="1"/>
    <xf numFmtId="0" fontId="0" fillId="0" borderId="15" xfId="0" applyBorder="1"/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43" fontId="12" fillId="0" borderId="11" xfId="1" applyNumberFormat="1" applyFont="1" applyBorder="1" applyAlignment="1">
      <alignment horizontal="center" vertical="center" shrinkToFit="1"/>
    </xf>
    <xf numFmtId="3" fontId="18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3" fontId="12" fillId="0" borderId="0" xfId="0" applyNumberFormat="1" applyFont="1"/>
    <xf numFmtId="3" fontId="13" fillId="0" borderId="0" xfId="0" applyNumberFormat="1" applyFont="1" applyAlignment="1">
      <alignment horizontal="center" vertical="center"/>
    </xf>
    <xf numFmtId="43" fontId="13" fillId="0" borderId="0" xfId="3" applyFont="1"/>
    <xf numFmtId="171" fontId="20" fillId="0" borderId="0" xfId="0" quotePrefix="1" applyNumberFormat="1" applyFont="1" applyAlignment="1">
      <alignment vertical="center"/>
    </xf>
    <xf numFmtId="165" fontId="14" fillId="0" borderId="0" xfId="0" applyNumberFormat="1" applyFont="1" applyAlignment="1">
      <alignment horizontal="left"/>
    </xf>
    <xf numFmtId="171" fontId="44" fillId="0" borderId="0" xfId="0" applyNumberFormat="1" applyFont="1" applyAlignment="1">
      <alignment vertical="center"/>
    </xf>
    <xf numFmtId="0" fontId="12" fillId="0" borderId="17" xfId="0" applyFont="1" applyBorder="1" applyAlignment="1">
      <alignment vertical="center"/>
    </xf>
    <xf numFmtId="166" fontId="56" fillId="0" borderId="8" xfId="0" applyNumberFormat="1" applyFont="1" applyBorder="1" applyAlignment="1">
      <alignment horizontal="center"/>
    </xf>
    <xf numFmtId="0" fontId="13" fillId="0" borderId="5" xfId="0" applyFont="1" applyBorder="1"/>
    <xf numFmtId="0" fontId="13" fillId="0" borderId="6" xfId="0" applyFont="1" applyBorder="1"/>
    <xf numFmtId="0" fontId="13" fillId="0" borderId="6" xfId="0" applyFont="1" applyBorder="1" applyAlignment="1">
      <alignment horizontal="center" vertical="center"/>
    </xf>
    <xf numFmtId="0" fontId="55" fillId="0" borderId="0" xfId="0" applyFont="1"/>
    <xf numFmtId="0" fontId="5" fillId="0" borderId="0" xfId="0" applyFont="1" applyAlignment="1">
      <alignment horizontal="right" indent="1"/>
    </xf>
    <xf numFmtId="0" fontId="15" fillId="0" borderId="0" xfId="0" applyFont="1" applyAlignment="1">
      <alignment horizontal="left" vertical="center"/>
    </xf>
    <xf numFmtId="0" fontId="13" fillId="0" borderId="7" xfId="0" applyFont="1" applyBorder="1"/>
    <xf numFmtId="0" fontId="13" fillId="0" borderId="8" xfId="0" applyFont="1" applyBorder="1"/>
    <xf numFmtId="0" fontId="15" fillId="0" borderId="7" xfId="0" applyFont="1" applyBorder="1" applyAlignment="1">
      <alignment horizontal="center"/>
    </xf>
    <xf numFmtId="167" fontId="15" fillId="0" borderId="0" xfId="0" applyNumberFormat="1" applyFont="1" applyAlignment="1">
      <alignment horizontal="left"/>
    </xf>
    <xf numFmtId="43" fontId="57" fillId="0" borderId="7" xfId="3" applyFont="1" applyBorder="1"/>
    <xf numFmtId="43" fontId="15" fillId="0" borderId="0" xfId="1" applyNumberFormat="1" applyFont="1" applyAlignment="1">
      <alignment horizontal="center" vertical="center" shrinkToFit="1"/>
    </xf>
    <xf numFmtId="43" fontId="15" fillId="0" borderId="8" xfId="2" applyFont="1" applyFill="1" applyBorder="1" applyAlignment="1">
      <alignment horizontal="right"/>
    </xf>
    <xf numFmtId="3" fontId="15" fillId="0" borderId="8" xfId="0" applyNumberFormat="1" applyFont="1" applyBorder="1" applyAlignment="1">
      <alignment horizontal="center" vertical="center"/>
    </xf>
    <xf numFmtId="0" fontId="15" fillId="0" borderId="7" xfId="0" applyFont="1" applyBorder="1"/>
    <xf numFmtId="177" fontId="15" fillId="0" borderId="0" xfId="0" applyNumberFormat="1" applyFont="1"/>
    <xf numFmtId="0" fontId="57" fillId="0" borderId="0" xfId="0" applyFont="1"/>
    <xf numFmtId="43" fontId="15" fillId="0" borderId="13" xfId="2" applyFont="1" applyBorder="1" applyAlignment="1">
      <alignment horizontal="right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58" fillId="0" borderId="0" xfId="0" applyFont="1"/>
    <xf numFmtId="0" fontId="61" fillId="0" borderId="0" xfId="0" applyFont="1"/>
    <xf numFmtId="4" fontId="15" fillId="0" borderId="8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9" fillId="0" borderId="0" xfId="0" applyFont="1"/>
    <xf numFmtId="0" fontId="63" fillId="0" borderId="0" xfId="0" applyFont="1"/>
    <xf numFmtId="0" fontId="60" fillId="0" borderId="0" xfId="0" applyFont="1"/>
    <xf numFmtId="0" fontId="64" fillId="0" borderId="0" xfId="0" applyFont="1"/>
    <xf numFmtId="0" fontId="65" fillId="0" borderId="0" xfId="0" applyFont="1"/>
    <xf numFmtId="0" fontId="64" fillId="0" borderId="0" xfId="0" quotePrefix="1" applyFont="1"/>
    <xf numFmtId="0" fontId="66" fillId="0" borderId="0" xfId="0" applyFont="1"/>
    <xf numFmtId="0" fontId="67" fillId="0" borderId="0" xfId="0" applyFont="1"/>
    <xf numFmtId="170" fontId="66" fillId="0" borderId="0" xfId="0" applyNumberFormat="1" applyFont="1"/>
    <xf numFmtId="175" fontId="67" fillId="0" borderId="0" xfId="0" applyNumberFormat="1" applyFont="1"/>
    <xf numFmtId="175" fontId="67" fillId="0" borderId="0" xfId="0" quotePrefix="1" applyNumberFormat="1" applyFont="1"/>
    <xf numFmtId="0" fontId="68" fillId="0" borderId="0" xfId="0" applyFont="1"/>
    <xf numFmtId="0" fontId="69" fillId="0" borderId="0" xfId="0" quotePrefix="1" applyFont="1"/>
    <xf numFmtId="0" fontId="69" fillId="0" borderId="0" xfId="0" applyFont="1"/>
    <xf numFmtId="0" fontId="70" fillId="0" borderId="0" xfId="0" quotePrefix="1" applyFont="1"/>
    <xf numFmtId="0" fontId="66" fillId="0" borderId="0" xfId="0" quotePrefix="1" applyFont="1"/>
    <xf numFmtId="0" fontId="66" fillId="0" borderId="0" xfId="0" applyFont="1" applyAlignment="1">
      <alignment vertical="center"/>
    </xf>
    <xf numFmtId="165" fontId="4" fillId="0" borderId="0" xfId="0" applyNumberFormat="1" applyFont="1"/>
    <xf numFmtId="178" fontId="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right" vertical="center"/>
    </xf>
    <xf numFmtId="0" fontId="36" fillId="2" borderId="0" xfId="0" applyFont="1" applyFill="1" applyAlignment="1">
      <alignment vertical="center"/>
    </xf>
    <xf numFmtId="165" fontId="14" fillId="0" borderId="0" xfId="0" applyNumberFormat="1" applyFont="1" applyAlignment="1">
      <alignment horizontal="left"/>
    </xf>
    <xf numFmtId="0" fontId="5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3" fillId="0" borderId="16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70" fontId="66" fillId="0" borderId="0" xfId="0" applyNumberFormat="1" applyFont="1" applyAlignment="1">
      <alignment horizontal="center"/>
    </xf>
    <xf numFmtId="176" fontId="66" fillId="0" borderId="0" xfId="2" applyNumberFormat="1" applyFont="1" applyAlignment="1">
      <alignment horizontal="center"/>
    </xf>
    <xf numFmtId="4" fontId="67" fillId="0" borderId="0" xfId="0" applyNumberFormat="1" applyFont="1" applyAlignment="1">
      <alignment horizontal="center"/>
    </xf>
    <xf numFmtId="165" fontId="66" fillId="0" borderId="0" xfId="0" applyNumberFormat="1" applyFont="1" applyAlignment="1">
      <alignment horizontal="left"/>
    </xf>
    <xf numFmtId="0" fontId="46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Comma" xfId="3" builtinId="3"/>
    <cellStyle name="Comma 2" xfId="2" xr:uid="{00000000-0005-0000-0000-000001000000}"/>
    <cellStyle name="Normal" xfId="0" builtinId="0"/>
    <cellStyle name="Style 1" xfId="1" xr:uid="{00000000-0005-0000-0000-000003000000}"/>
    <cellStyle name="一般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429577</xdr:colOff>
      <xdr:row>1</xdr:row>
      <xdr:rowOff>0</xdr:rowOff>
    </xdr:from>
    <xdr:to>
      <xdr:col>8</xdr:col>
      <xdr:colOff>2539</xdr:colOff>
      <xdr:row>3</xdr:row>
      <xdr:rowOff>3679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4206234C-7B83-4293-9431-F085AB6A646B}"/>
            </a:ext>
          </a:extLst>
        </xdr:cNvPr>
        <xdr:cNvSpPr txBox="1"/>
      </xdr:nvSpPr>
      <xdr:spPr>
        <a:xfrm>
          <a:off x="2867977" y="190500"/>
          <a:ext cx="2011362" cy="38467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endParaRPr lang="en-US" sz="1100">
            <a:effectLst/>
            <a:ea typeface="Calibri" panose="020F0502020204030204" pitchFamily="34" charset="0"/>
            <a:cs typeface="DaunPenh" panose="01010101010101010101" pitchFamily="2" charset="0"/>
          </a:endParaRPr>
        </a:p>
      </xdr:txBody>
    </xdr:sp>
    <xdr:clientData/>
  </xdr:twoCellAnchor>
  <xdr:oneCellAnchor>
    <xdr:from>
      <xdr:col>0</xdr:col>
      <xdr:colOff>116543</xdr:colOff>
      <xdr:row>1</xdr:row>
      <xdr:rowOff>140017</xdr:rowOff>
    </xdr:from>
    <xdr:ext cx="3514165" cy="2259105"/>
    <xdr:pic>
      <xdr:nvPicPr>
        <xdr:cNvPr id="3" name="Picture 4">
          <a:extLst>
            <a:ext uri="{FF2B5EF4-FFF2-40B4-BE49-F238E27FC236}">
              <a16:creationId xmlns:a16="http://schemas.microsoft.com/office/drawing/2014/main" id="{5B1D7B91-DC15-44B4-825E-6059C131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43" y="330517"/>
          <a:ext cx="3514165" cy="2259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297180</xdr:colOff>
      <xdr:row>15</xdr:row>
      <xdr:rowOff>82193</xdr:rowOff>
    </xdr:from>
    <xdr:ext cx="3798346" cy="2329031"/>
    <xdr:pic>
      <xdr:nvPicPr>
        <xdr:cNvPr id="4" name="Picture 5">
          <a:extLst>
            <a:ext uri="{FF2B5EF4-FFF2-40B4-BE49-F238E27FC236}">
              <a16:creationId xmlns:a16="http://schemas.microsoft.com/office/drawing/2014/main" id="{333CA89D-7951-4EA0-8ECA-555158AE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80" y="2939693"/>
          <a:ext cx="3798346" cy="2329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548640</xdr:colOff>
      <xdr:row>28</xdr:row>
      <xdr:rowOff>129707</xdr:rowOff>
    </xdr:from>
    <xdr:ext cx="6051176" cy="4079389"/>
    <xdr:pic>
      <xdr:nvPicPr>
        <xdr:cNvPr id="5" name="Picture 6">
          <a:extLst>
            <a:ext uri="{FF2B5EF4-FFF2-40B4-BE49-F238E27FC236}">
              <a16:creationId xmlns:a16="http://schemas.microsoft.com/office/drawing/2014/main" id="{1CDC2277-D827-46ED-83B9-A9F9D8F4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5463707"/>
          <a:ext cx="6051176" cy="407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174363</xdr:colOff>
      <xdr:row>1</xdr:row>
      <xdr:rowOff>155257</xdr:rowOff>
    </xdr:from>
    <xdr:ext cx="3292288" cy="2306170"/>
    <xdr:pic>
      <xdr:nvPicPr>
        <xdr:cNvPr id="6" name="Picture 7">
          <a:extLst>
            <a:ext uri="{FF2B5EF4-FFF2-40B4-BE49-F238E27FC236}">
              <a16:creationId xmlns:a16="http://schemas.microsoft.com/office/drawing/2014/main" id="{6512DEEA-A6F1-47CA-9DEF-7CBD0D3CF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1963" y="345757"/>
          <a:ext cx="3292288" cy="2306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8-JR%20APPAREL\6-Factory%20Doc\CDC%202025-JR%20IMP%20&amp;%20EXP%20SC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SHANGHAI%20YONGYUE%20IMP%20707%20(7).xlsx" TargetMode="External"/><Relationship Id="rId1" Type="http://schemas.openxmlformats.org/officeDocument/2006/relationships/externalLinkPath" Target="/Users/User/Downloads/Telegram%20Desktop/SHANGHAI%20YONGYUE%20IMP%20707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"/>
      <sheetName val="CDC"/>
      <sheetName val="MARK"/>
    </sheetNames>
    <sheetDataSet>
      <sheetData sheetId="0" refreshError="1"/>
      <sheetData sheetId="1" refreshError="1">
        <row r="4">
          <cell r="I4" t="str">
            <v>IMPORTED</v>
          </cell>
        </row>
        <row r="5">
          <cell r="C5" t="str">
            <v>New/ Used</v>
          </cell>
          <cell r="D5" t="str">
            <v>Unit</v>
          </cell>
          <cell r="E5" t="str">
            <v>Quantity</v>
          </cell>
          <cell r="F5" t="str">
            <v>Unit Price
USD</v>
          </cell>
          <cell r="G5" t="str">
            <v>Total Price
USD</v>
          </cell>
          <cell r="H5" t="str">
            <v>Remarks</v>
          </cell>
          <cell r="I5" t="str">
            <v xml:space="preserve">Q'TY </v>
          </cell>
          <cell r="J5" t="str">
            <v>PRICE</v>
          </cell>
          <cell r="K5" t="str">
            <v>N.W</v>
          </cell>
          <cell r="L5" t="str">
            <v>BALANCE</v>
          </cell>
          <cell r="M5" t="str">
            <v>&lt;50%</v>
          </cell>
          <cell r="N5" t="str">
            <v>Condition</v>
          </cell>
        </row>
        <row r="6">
          <cell r="B6" t="str">
            <v>METAL DETECTOR MACHINE</v>
          </cell>
          <cell r="C6" t="str">
            <v>New</v>
          </cell>
          <cell r="D6" t="str">
            <v>SET</v>
          </cell>
          <cell r="E6">
            <v>3</v>
          </cell>
          <cell r="F6">
            <v>4500</v>
          </cell>
          <cell r="G6">
            <v>13500</v>
          </cell>
          <cell r="H6" t="str">
            <v>N/A</v>
          </cell>
          <cell r="I6">
            <v>0</v>
          </cell>
          <cell r="J6">
            <v>0</v>
          </cell>
          <cell r="K6">
            <v>0</v>
          </cell>
          <cell r="L6">
            <v>3</v>
          </cell>
          <cell r="M6">
            <v>1</v>
          </cell>
          <cell r="N6" t="str">
            <v>OK</v>
          </cell>
          <cell r="O6" t="str">
            <v>I-001</v>
          </cell>
        </row>
        <row r="7">
          <cell r="B7" t="str">
            <v>HANDHELD SCANNER</v>
          </cell>
          <cell r="C7" t="str">
            <v>New</v>
          </cell>
          <cell r="D7" t="str">
            <v>SET</v>
          </cell>
          <cell r="E7">
            <v>8</v>
          </cell>
          <cell r="F7">
            <v>130</v>
          </cell>
          <cell r="G7">
            <v>1040</v>
          </cell>
          <cell r="H7" t="str">
            <v>N/A</v>
          </cell>
          <cell r="I7">
            <v>0</v>
          </cell>
          <cell r="J7">
            <v>0</v>
          </cell>
          <cell r="K7">
            <v>0</v>
          </cell>
          <cell r="L7">
            <v>8</v>
          </cell>
          <cell r="M7">
            <v>1</v>
          </cell>
          <cell r="N7" t="str">
            <v>OK</v>
          </cell>
          <cell r="O7" t="str">
            <v>I-002</v>
          </cell>
        </row>
        <row r="8">
          <cell r="B8" t="str">
            <v>FABRIC INSPECTION MACHINE</v>
          </cell>
          <cell r="C8" t="str">
            <v>New</v>
          </cell>
          <cell r="D8" t="str">
            <v>SET</v>
          </cell>
          <cell r="E8">
            <v>3</v>
          </cell>
          <cell r="F8">
            <v>5500</v>
          </cell>
          <cell r="G8">
            <v>16500</v>
          </cell>
          <cell r="H8" t="str">
            <v>N/A</v>
          </cell>
          <cell r="I8">
            <v>2</v>
          </cell>
          <cell r="J8">
            <v>11000</v>
          </cell>
          <cell r="K8">
            <v>1660</v>
          </cell>
          <cell r="L8">
            <v>1</v>
          </cell>
          <cell r="M8">
            <v>0.33333333333333331</v>
          </cell>
          <cell r="N8" t="str">
            <v>CHECK</v>
          </cell>
          <cell r="O8" t="str">
            <v>I-003</v>
          </cell>
        </row>
        <row r="9">
          <cell r="B9" t="str">
            <v>ELECTRONIC SCALE-30KG</v>
          </cell>
          <cell r="C9" t="str">
            <v>New</v>
          </cell>
          <cell r="D9" t="str">
            <v>SET</v>
          </cell>
          <cell r="E9">
            <v>10</v>
          </cell>
          <cell r="F9">
            <v>50</v>
          </cell>
          <cell r="G9">
            <v>500</v>
          </cell>
          <cell r="H9" t="str">
            <v>N/A</v>
          </cell>
          <cell r="I9">
            <v>0</v>
          </cell>
          <cell r="J9">
            <v>0</v>
          </cell>
          <cell r="K9">
            <v>0</v>
          </cell>
          <cell r="L9">
            <v>10</v>
          </cell>
          <cell r="M9">
            <v>1</v>
          </cell>
          <cell r="N9" t="str">
            <v>OK</v>
          </cell>
          <cell r="O9" t="str">
            <v>I-004</v>
          </cell>
        </row>
        <row r="10">
          <cell r="B10" t="str">
            <v>GRAM SCALE-500G</v>
          </cell>
          <cell r="C10" t="str">
            <v>New</v>
          </cell>
          <cell r="D10" t="str">
            <v>SET</v>
          </cell>
          <cell r="E10">
            <v>5</v>
          </cell>
          <cell r="F10">
            <v>50</v>
          </cell>
          <cell r="G10">
            <v>250</v>
          </cell>
          <cell r="H10" t="str">
            <v>N/A</v>
          </cell>
          <cell r="I10">
            <v>0</v>
          </cell>
          <cell r="J10">
            <v>0</v>
          </cell>
          <cell r="K10">
            <v>0</v>
          </cell>
          <cell r="L10">
            <v>5</v>
          </cell>
          <cell r="M10">
            <v>1</v>
          </cell>
          <cell r="N10" t="str">
            <v>OK</v>
          </cell>
          <cell r="O10" t="str">
            <v>I-005</v>
          </cell>
        </row>
        <row r="11">
          <cell r="B11" t="str">
            <v>HANGING SYSTEM</v>
          </cell>
          <cell r="C11" t="str">
            <v>New</v>
          </cell>
          <cell r="D11" t="str">
            <v>SET</v>
          </cell>
          <cell r="E11">
            <v>8</v>
          </cell>
          <cell r="F11">
            <v>35000</v>
          </cell>
          <cell r="G11">
            <v>280000</v>
          </cell>
          <cell r="H11" t="str">
            <v>N/A</v>
          </cell>
          <cell r="I11">
            <v>0</v>
          </cell>
          <cell r="J11">
            <v>0</v>
          </cell>
          <cell r="K11">
            <v>0</v>
          </cell>
          <cell r="L11">
            <v>8</v>
          </cell>
          <cell r="M11">
            <v>1</v>
          </cell>
          <cell r="N11" t="str">
            <v>OK</v>
          </cell>
          <cell r="O11" t="str">
            <v>I-006</v>
          </cell>
        </row>
        <row r="12">
          <cell r="B12" t="str">
            <v>ONE NEEDLE SEWING MACHINE</v>
          </cell>
          <cell r="C12" t="str">
            <v>New</v>
          </cell>
          <cell r="D12" t="str">
            <v>SET</v>
          </cell>
          <cell r="E12">
            <v>300</v>
          </cell>
          <cell r="F12">
            <v>320</v>
          </cell>
          <cell r="G12">
            <v>96000</v>
          </cell>
          <cell r="H12" t="str">
            <v>N/A</v>
          </cell>
          <cell r="I12">
            <v>64</v>
          </cell>
          <cell r="J12">
            <v>20480</v>
          </cell>
          <cell r="K12">
            <v>4268</v>
          </cell>
          <cell r="L12">
            <v>236</v>
          </cell>
          <cell r="M12">
            <v>0.78666666666666663</v>
          </cell>
          <cell r="N12" t="str">
            <v>OK</v>
          </cell>
          <cell r="O12" t="str">
            <v>I-007</v>
          </cell>
        </row>
        <row r="13">
          <cell r="B13" t="str">
            <v>TWO NEEDLE SEWING MACHINE</v>
          </cell>
          <cell r="C13" t="str">
            <v>New</v>
          </cell>
          <cell r="D13" t="str">
            <v>SET</v>
          </cell>
          <cell r="E13">
            <v>50</v>
          </cell>
          <cell r="F13">
            <v>1500</v>
          </cell>
          <cell r="G13">
            <v>75000</v>
          </cell>
          <cell r="H13" t="str">
            <v>N/A</v>
          </cell>
          <cell r="I13">
            <v>2</v>
          </cell>
          <cell r="J13">
            <v>3000</v>
          </cell>
          <cell r="K13">
            <v>138</v>
          </cell>
          <cell r="L13">
            <v>48</v>
          </cell>
          <cell r="M13">
            <v>0.96</v>
          </cell>
          <cell r="N13" t="str">
            <v>OK</v>
          </cell>
          <cell r="O13" t="str">
            <v>I-008</v>
          </cell>
        </row>
        <row r="14">
          <cell r="B14" t="str">
            <v>THREE NEEDLE FIVE THREAD SEWING MACHINE</v>
          </cell>
          <cell r="C14" t="str">
            <v>New</v>
          </cell>
          <cell r="D14" t="str">
            <v>SET</v>
          </cell>
          <cell r="E14">
            <v>50</v>
          </cell>
          <cell r="F14">
            <v>1500</v>
          </cell>
          <cell r="G14">
            <v>75000</v>
          </cell>
          <cell r="H14" t="str">
            <v>N/A</v>
          </cell>
          <cell r="I14">
            <v>0</v>
          </cell>
          <cell r="J14">
            <v>0</v>
          </cell>
          <cell r="K14">
            <v>0</v>
          </cell>
          <cell r="L14">
            <v>50</v>
          </cell>
          <cell r="M14">
            <v>1</v>
          </cell>
          <cell r="N14" t="str">
            <v>OK</v>
          </cell>
          <cell r="O14" t="str">
            <v>I-009</v>
          </cell>
        </row>
        <row r="15">
          <cell r="B15" t="str">
            <v>FOUR NEEDLE SIX THREAD SEWING MACHINE</v>
          </cell>
          <cell r="C15" t="str">
            <v>New</v>
          </cell>
          <cell r="D15" t="str">
            <v>SET</v>
          </cell>
          <cell r="E15">
            <v>40</v>
          </cell>
          <cell r="F15">
            <v>3000</v>
          </cell>
          <cell r="G15">
            <v>120000</v>
          </cell>
          <cell r="H15" t="str">
            <v>N/A</v>
          </cell>
          <cell r="I15">
            <v>2</v>
          </cell>
          <cell r="J15">
            <v>6000</v>
          </cell>
          <cell r="K15">
            <v>380</v>
          </cell>
          <cell r="L15">
            <v>38</v>
          </cell>
          <cell r="M15">
            <v>0.95</v>
          </cell>
          <cell r="N15" t="str">
            <v>OK</v>
          </cell>
          <cell r="O15" t="str">
            <v>I-010</v>
          </cell>
        </row>
        <row r="16">
          <cell r="B16" t="str">
            <v>FOUR THREAD OVERLOCK SEWING MACHINE</v>
          </cell>
          <cell r="C16" t="str">
            <v>New</v>
          </cell>
          <cell r="D16" t="str">
            <v>SET</v>
          </cell>
          <cell r="E16">
            <v>300</v>
          </cell>
          <cell r="F16">
            <v>500</v>
          </cell>
          <cell r="G16">
            <v>150000</v>
          </cell>
          <cell r="H16" t="str">
            <v>N/A</v>
          </cell>
          <cell r="I16">
            <v>24</v>
          </cell>
          <cell r="J16">
            <v>12000</v>
          </cell>
          <cell r="K16">
            <v>1540</v>
          </cell>
          <cell r="L16">
            <v>276</v>
          </cell>
          <cell r="M16">
            <v>0.92</v>
          </cell>
          <cell r="N16" t="str">
            <v>OK</v>
          </cell>
          <cell r="O16" t="str">
            <v>I-011</v>
          </cell>
        </row>
        <row r="17">
          <cell r="B17" t="str">
            <v>FIVE THREAD OVERLOCK SEWING MACHINE</v>
          </cell>
          <cell r="C17" t="str">
            <v>New</v>
          </cell>
          <cell r="D17" t="str">
            <v>SET</v>
          </cell>
          <cell r="E17">
            <v>50</v>
          </cell>
          <cell r="F17">
            <v>550</v>
          </cell>
          <cell r="G17">
            <v>27500</v>
          </cell>
          <cell r="H17" t="str">
            <v>N/A</v>
          </cell>
          <cell r="I17">
            <v>46</v>
          </cell>
          <cell r="J17">
            <v>25300</v>
          </cell>
          <cell r="K17">
            <v>3082</v>
          </cell>
          <cell r="L17">
            <v>4</v>
          </cell>
          <cell r="M17">
            <v>0.08</v>
          </cell>
          <cell r="N17" t="str">
            <v>CHECK</v>
          </cell>
          <cell r="O17" t="str">
            <v>I-012</v>
          </cell>
        </row>
        <row r="18">
          <cell r="B18" t="str">
            <v>COVER STITCHING MACHINE</v>
          </cell>
          <cell r="C18" t="str">
            <v>New</v>
          </cell>
          <cell r="D18" t="str">
            <v>SET</v>
          </cell>
          <cell r="E18">
            <v>30</v>
          </cell>
          <cell r="F18">
            <v>600</v>
          </cell>
          <cell r="G18">
            <v>18000</v>
          </cell>
          <cell r="H18" t="str">
            <v>N/A</v>
          </cell>
          <cell r="I18">
            <v>0</v>
          </cell>
          <cell r="J18">
            <v>0</v>
          </cell>
          <cell r="K18">
            <v>0</v>
          </cell>
          <cell r="L18">
            <v>30</v>
          </cell>
          <cell r="M18">
            <v>1</v>
          </cell>
          <cell r="N18" t="str">
            <v>OK</v>
          </cell>
          <cell r="O18" t="str">
            <v>I-013</v>
          </cell>
        </row>
        <row r="19">
          <cell r="B19" t="str">
            <v>SEWING MACHINE</v>
          </cell>
          <cell r="C19" t="str">
            <v>New</v>
          </cell>
          <cell r="D19" t="str">
            <v>SET</v>
          </cell>
          <cell r="E19">
            <v>100</v>
          </cell>
          <cell r="F19">
            <v>1000</v>
          </cell>
          <cell r="G19">
            <v>100000</v>
          </cell>
          <cell r="H19" t="str">
            <v>N/A</v>
          </cell>
          <cell r="I19">
            <v>7</v>
          </cell>
          <cell r="J19">
            <v>7000</v>
          </cell>
          <cell r="K19">
            <v>553</v>
          </cell>
          <cell r="L19">
            <v>93</v>
          </cell>
          <cell r="M19">
            <v>0.93</v>
          </cell>
          <cell r="N19" t="str">
            <v>OK</v>
          </cell>
          <cell r="O19" t="str">
            <v>I-014</v>
          </cell>
        </row>
        <row r="20">
          <cell r="B20" t="str">
            <v>LONG ARM SEWING MACHINE</v>
          </cell>
          <cell r="C20" t="str">
            <v>New</v>
          </cell>
          <cell r="D20" t="str">
            <v>SET</v>
          </cell>
          <cell r="E20">
            <v>10</v>
          </cell>
          <cell r="F20">
            <v>800</v>
          </cell>
          <cell r="G20">
            <v>8000</v>
          </cell>
          <cell r="H20" t="str">
            <v>N/A</v>
          </cell>
          <cell r="I20">
            <v>0</v>
          </cell>
          <cell r="J20">
            <v>0</v>
          </cell>
          <cell r="K20">
            <v>0</v>
          </cell>
          <cell r="L20">
            <v>10</v>
          </cell>
          <cell r="M20">
            <v>1</v>
          </cell>
          <cell r="N20" t="str">
            <v>OK</v>
          </cell>
          <cell r="O20" t="str">
            <v>I-015</v>
          </cell>
        </row>
        <row r="21">
          <cell r="B21" t="str">
            <v>BARTACKING MACHINE</v>
          </cell>
          <cell r="C21" t="str">
            <v>New</v>
          </cell>
          <cell r="D21" t="str">
            <v>SET</v>
          </cell>
          <cell r="E21">
            <v>20</v>
          </cell>
          <cell r="F21">
            <v>1200</v>
          </cell>
          <cell r="G21">
            <v>24000</v>
          </cell>
          <cell r="H21" t="str">
            <v>N/A</v>
          </cell>
          <cell r="I21">
            <v>10</v>
          </cell>
          <cell r="J21">
            <v>12000</v>
          </cell>
          <cell r="K21">
            <v>820</v>
          </cell>
          <cell r="L21">
            <v>10</v>
          </cell>
          <cell r="M21">
            <v>0.5</v>
          </cell>
          <cell r="N21" t="str">
            <v>OK</v>
          </cell>
          <cell r="O21" t="str">
            <v>I-016</v>
          </cell>
        </row>
        <row r="22">
          <cell r="B22" t="str">
            <v>WAISTBAND  CHAINSTITCHING MACHINE</v>
          </cell>
          <cell r="C22" t="str">
            <v>New</v>
          </cell>
          <cell r="D22" t="str">
            <v>SET</v>
          </cell>
          <cell r="E22">
            <v>30</v>
          </cell>
          <cell r="F22">
            <v>1000</v>
          </cell>
          <cell r="G22">
            <v>30000</v>
          </cell>
          <cell r="H22" t="str">
            <v>N/A</v>
          </cell>
          <cell r="I22">
            <v>0</v>
          </cell>
          <cell r="J22">
            <v>0</v>
          </cell>
          <cell r="K22">
            <v>0</v>
          </cell>
          <cell r="L22">
            <v>30</v>
          </cell>
          <cell r="M22">
            <v>1</v>
          </cell>
          <cell r="N22" t="str">
            <v>OK</v>
          </cell>
          <cell r="O22" t="str">
            <v>I-017</v>
          </cell>
        </row>
        <row r="23">
          <cell r="B23" t="str">
            <v>TEMPLATE LASER CUT MACHINE</v>
          </cell>
          <cell r="C23" t="str">
            <v>New</v>
          </cell>
          <cell r="D23" t="str">
            <v>SET</v>
          </cell>
          <cell r="E23">
            <v>5</v>
          </cell>
          <cell r="F23">
            <v>4000</v>
          </cell>
          <cell r="G23">
            <v>20000</v>
          </cell>
          <cell r="H23" t="str">
            <v>N/A</v>
          </cell>
          <cell r="I23">
            <v>0</v>
          </cell>
          <cell r="J23">
            <v>0</v>
          </cell>
          <cell r="K23">
            <v>0</v>
          </cell>
          <cell r="L23">
            <v>5</v>
          </cell>
          <cell r="M23">
            <v>1</v>
          </cell>
          <cell r="N23" t="str">
            <v>OK</v>
          </cell>
          <cell r="O23" t="str">
            <v>I-018</v>
          </cell>
        </row>
        <row r="24">
          <cell r="B24" t="str">
            <v>TEMPLATE SEWING MACHINE</v>
          </cell>
          <cell r="C24" t="str">
            <v>New</v>
          </cell>
          <cell r="D24" t="str">
            <v>SET</v>
          </cell>
          <cell r="E24">
            <v>10</v>
          </cell>
          <cell r="F24">
            <v>5400</v>
          </cell>
          <cell r="G24">
            <v>54000</v>
          </cell>
          <cell r="H24" t="str">
            <v>N/A</v>
          </cell>
          <cell r="I24">
            <v>0</v>
          </cell>
          <cell r="J24">
            <v>0</v>
          </cell>
          <cell r="K24">
            <v>0</v>
          </cell>
          <cell r="L24">
            <v>10</v>
          </cell>
          <cell r="M24">
            <v>1</v>
          </cell>
          <cell r="N24" t="str">
            <v>OK</v>
          </cell>
          <cell r="O24" t="str">
            <v>I-019</v>
          </cell>
        </row>
        <row r="25">
          <cell r="B25" t="str">
            <v>AUTO POCKET MAKING MACHINE</v>
          </cell>
          <cell r="C25" t="str">
            <v>New</v>
          </cell>
          <cell r="D25" t="str">
            <v>SET</v>
          </cell>
          <cell r="E25">
            <v>4</v>
          </cell>
          <cell r="F25">
            <v>3200</v>
          </cell>
          <cell r="G25">
            <v>12800</v>
          </cell>
          <cell r="H25" t="str">
            <v>N/A</v>
          </cell>
          <cell r="I25">
            <v>4</v>
          </cell>
          <cell r="J25">
            <v>12800</v>
          </cell>
          <cell r="K25">
            <v>1040</v>
          </cell>
          <cell r="L25">
            <v>0</v>
          </cell>
          <cell r="M25">
            <v>0</v>
          </cell>
          <cell r="N25" t="str">
            <v>CHECK</v>
          </cell>
          <cell r="O25" t="str">
            <v>I-020</v>
          </cell>
        </row>
        <row r="26">
          <cell r="B26" t="str">
            <v>BLIND STITCHING MACHINE</v>
          </cell>
          <cell r="C26" t="str">
            <v>New</v>
          </cell>
          <cell r="D26" t="str">
            <v>SET</v>
          </cell>
          <cell r="E26">
            <v>6</v>
          </cell>
          <cell r="F26">
            <v>1000</v>
          </cell>
          <cell r="G26">
            <v>6000</v>
          </cell>
          <cell r="H26" t="str">
            <v>N/A</v>
          </cell>
          <cell r="I26">
            <v>0</v>
          </cell>
          <cell r="J26">
            <v>0</v>
          </cell>
          <cell r="K26">
            <v>0</v>
          </cell>
          <cell r="L26">
            <v>6</v>
          </cell>
          <cell r="M26">
            <v>1</v>
          </cell>
          <cell r="N26" t="str">
            <v>OK</v>
          </cell>
          <cell r="O26" t="str">
            <v>I-021</v>
          </cell>
        </row>
        <row r="27">
          <cell r="B27" t="str">
            <v>UPPER SLEEVE MACHINE</v>
          </cell>
          <cell r="C27" t="str">
            <v>New</v>
          </cell>
          <cell r="D27" t="str">
            <v>SET</v>
          </cell>
          <cell r="E27">
            <v>20</v>
          </cell>
          <cell r="F27">
            <v>1200</v>
          </cell>
          <cell r="G27">
            <v>24000</v>
          </cell>
          <cell r="H27" t="str">
            <v>N/A</v>
          </cell>
          <cell r="I27">
            <v>0</v>
          </cell>
          <cell r="J27">
            <v>0</v>
          </cell>
          <cell r="K27">
            <v>0</v>
          </cell>
          <cell r="L27">
            <v>20</v>
          </cell>
          <cell r="M27">
            <v>1</v>
          </cell>
          <cell r="N27" t="str">
            <v>OK</v>
          </cell>
          <cell r="O27" t="str">
            <v>I-022</v>
          </cell>
        </row>
        <row r="28">
          <cell r="B28" t="str">
            <v>SPARE PART OF MACHINE</v>
          </cell>
          <cell r="C28" t="str">
            <v>New</v>
          </cell>
          <cell r="D28" t="str">
            <v>SET</v>
          </cell>
          <cell r="E28">
            <v>200</v>
          </cell>
          <cell r="F28">
            <v>900</v>
          </cell>
          <cell r="G28">
            <v>180000</v>
          </cell>
          <cell r="H28" t="str">
            <v>N/A</v>
          </cell>
          <cell r="I28">
            <v>0</v>
          </cell>
          <cell r="J28">
            <v>0</v>
          </cell>
          <cell r="K28">
            <v>0</v>
          </cell>
          <cell r="L28">
            <v>200</v>
          </cell>
          <cell r="M28">
            <v>1</v>
          </cell>
          <cell r="N28" t="str">
            <v>OK</v>
          </cell>
          <cell r="O28" t="str">
            <v>I-023</v>
          </cell>
        </row>
        <row r="29">
          <cell r="B29" t="str">
            <v>LABEL ATTACHING MACHINE</v>
          </cell>
          <cell r="C29" t="str">
            <v>New</v>
          </cell>
          <cell r="D29" t="str">
            <v>SET</v>
          </cell>
          <cell r="E29">
            <v>20</v>
          </cell>
          <cell r="F29">
            <v>1000</v>
          </cell>
          <cell r="G29">
            <v>20000</v>
          </cell>
          <cell r="H29" t="str">
            <v>N/A</v>
          </cell>
          <cell r="I29">
            <v>0</v>
          </cell>
          <cell r="J29">
            <v>0</v>
          </cell>
          <cell r="K29">
            <v>0</v>
          </cell>
          <cell r="L29">
            <v>20</v>
          </cell>
          <cell r="M29">
            <v>1</v>
          </cell>
          <cell r="N29" t="str">
            <v>OK</v>
          </cell>
          <cell r="O29" t="str">
            <v>I-024</v>
          </cell>
        </row>
        <row r="30">
          <cell r="B30" t="str">
            <v>BUTTON HOLING MACHINE</v>
          </cell>
          <cell r="C30" t="str">
            <v>New</v>
          </cell>
          <cell r="D30" t="str">
            <v>SET</v>
          </cell>
          <cell r="E30">
            <v>5</v>
          </cell>
          <cell r="F30">
            <v>2000</v>
          </cell>
          <cell r="G30">
            <v>10000</v>
          </cell>
          <cell r="H30" t="str">
            <v>N/A</v>
          </cell>
          <cell r="I30">
            <v>0</v>
          </cell>
          <cell r="J30">
            <v>0</v>
          </cell>
          <cell r="K30">
            <v>0</v>
          </cell>
          <cell r="L30">
            <v>5</v>
          </cell>
          <cell r="M30">
            <v>1</v>
          </cell>
          <cell r="N30" t="str">
            <v>OK</v>
          </cell>
          <cell r="O30" t="str">
            <v>I-025</v>
          </cell>
        </row>
        <row r="31">
          <cell r="B31" t="str">
            <v>BUTTON SEWING MACHINE</v>
          </cell>
          <cell r="C31" t="str">
            <v>New</v>
          </cell>
          <cell r="D31" t="str">
            <v>SET</v>
          </cell>
          <cell r="E31">
            <v>5</v>
          </cell>
          <cell r="F31">
            <v>1500</v>
          </cell>
          <cell r="G31">
            <v>7500</v>
          </cell>
          <cell r="H31" t="str">
            <v>N/A</v>
          </cell>
          <cell r="I31">
            <v>5</v>
          </cell>
          <cell r="J31">
            <v>7500</v>
          </cell>
          <cell r="K31">
            <v>370</v>
          </cell>
          <cell r="L31">
            <v>0</v>
          </cell>
          <cell r="M31">
            <v>0</v>
          </cell>
          <cell r="N31" t="str">
            <v>CHECK</v>
          </cell>
          <cell r="O31" t="str">
            <v>I-026</v>
          </cell>
        </row>
        <row r="32">
          <cell r="B32" t="str">
            <v>SNAP FIXING MACHINE</v>
          </cell>
          <cell r="C32" t="str">
            <v>New</v>
          </cell>
          <cell r="D32" t="str">
            <v>SET</v>
          </cell>
          <cell r="E32">
            <v>10</v>
          </cell>
          <cell r="F32">
            <v>300</v>
          </cell>
          <cell r="G32">
            <v>3000</v>
          </cell>
          <cell r="H32" t="str">
            <v>N/A</v>
          </cell>
          <cell r="I32">
            <v>0</v>
          </cell>
          <cell r="J32">
            <v>0</v>
          </cell>
          <cell r="K32">
            <v>0</v>
          </cell>
          <cell r="L32">
            <v>10</v>
          </cell>
          <cell r="M32">
            <v>1</v>
          </cell>
          <cell r="N32" t="str">
            <v>OK</v>
          </cell>
          <cell r="O32" t="str">
            <v>I-027</v>
          </cell>
        </row>
        <row r="33">
          <cell r="B33" t="str">
            <v>EMBRO MACHINE(7~12 HEAD)</v>
          </cell>
          <cell r="C33" t="str">
            <v>New</v>
          </cell>
          <cell r="D33" t="str">
            <v>SET</v>
          </cell>
          <cell r="E33">
            <v>5</v>
          </cell>
          <cell r="F33">
            <v>2500</v>
          </cell>
          <cell r="G33">
            <v>12500</v>
          </cell>
          <cell r="H33" t="str">
            <v>N/A</v>
          </cell>
          <cell r="I33">
            <v>0</v>
          </cell>
          <cell r="J33">
            <v>0</v>
          </cell>
          <cell r="K33">
            <v>0</v>
          </cell>
          <cell r="L33">
            <v>5</v>
          </cell>
          <cell r="M33">
            <v>1</v>
          </cell>
          <cell r="N33" t="str">
            <v>OK</v>
          </cell>
          <cell r="O33" t="str">
            <v>I-028</v>
          </cell>
        </row>
        <row r="34">
          <cell r="B34" t="str">
            <v>AUTOMATIC STRING THRUSTING MACHINE</v>
          </cell>
          <cell r="C34" t="str">
            <v>New</v>
          </cell>
          <cell r="D34" t="str">
            <v>SET</v>
          </cell>
          <cell r="E34">
            <v>2</v>
          </cell>
          <cell r="F34">
            <v>2000</v>
          </cell>
          <cell r="G34">
            <v>4000</v>
          </cell>
          <cell r="H34" t="str">
            <v>N/A</v>
          </cell>
          <cell r="I34">
            <v>0</v>
          </cell>
          <cell r="J34">
            <v>0</v>
          </cell>
          <cell r="K34">
            <v>0</v>
          </cell>
          <cell r="L34">
            <v>2</v>
          </cell>
          <cell r="M34">
            <v>1</v>
          </cell>
          <cell r="N34" t="str">
            <v>OK</v>
          </cell>
          <cell r="O34" t="str">
            <v>I-029</v>
          </cell>
        </row>
        <row r="35">
          <cell r="B35" t="str">
            <v>AUTO ELASTIC BAND JOINING MACHINE</v>
          </cell>
          <cell r="C35" t="str">
            <v>New</v>
          </cell>
          <cell r="D35" t="str">
            <v>SET</v>
          </cell>
          <cell r="E35">
            <v>5</v>
          </cell>
          <cell r="F35">
            <v>12000</v>
          </cell>
          <cell r="G35">
            <v>60000</v>
          </cell>
          <cell r="H35" t="str">
            <v>N/A</v>
          </cell>
          <cell r="I35">
            <v>0</v>
          </cell>
          <cell r="J35">
            <v>0</v>
          </cell>
          <cell r="K35">
            <v>0</v>
          </cell>
          <cell r="L35">
            <v>5</v>
          </cell>
          <cell r="M35">
            <v>1</v>
          </cell>
          <cell r="N35" t="str">
            <v>OK</v>
          </cell>
          <cell r="O35" t="str">
            <v>I-030</v>
          </cell>
        </row>
        <row r="36">
          <cell r="B36" t="str">
            <v>PATTERN SEWING MACHINE</v>
          </cell>
          <cell r="C36" t="str">
            <v>New</v>
          </cell>
          <cell r="D36" t="str">
            <v>SET</v>
          </cell>
          <cell r="E36">
            <v>4</v>
          </cell>
          <cell r="F36">
            <v>5400</v>
          </cell>
          <cell r="G36">
            <v>21600</v>
          </cell>
          <cell r="H36" t="str">
            <v>N/A</v>
          </cell>
          <cell r="I36">
            <v>0</v>
          </cell>
          <cell r="J36">
            <v>0</v>
          </cell>
          <cell r="K36">
            <v>0</v>
          </cell>
          <cell r="L36">
            <v>4</v>
          </cell>
          <cell r="M36">
            <v>1</v>
          </cell>
          <cell r="N36" t="str">
            <v>OK</v>
          </cell>
          <cell r="O36" t="str">
            <v>I-031</v>
          </cell>
        </row>
        <row r="37">
          <cell r="B37" t="str">
            <v>TANGENT BUNDLE MACHINE</v>
          </cell>
          <cell r="C37" t="str">
            <v>New</v>
          </cell>
          <cell r="D37" t="str">
            <v>SET</v>
          </cell>
          <cell r="E37">
            <v>2</v>
          </cell>
          <cell r="F37">
            <v>3000</v>
          </cell>
          <cell r="G37">
            <v>6000</v>
          </cell>
          <cell r="H37" t="str">
            <v>N/A</v>
          </cell>
          <cell r="I37">
            <v>0</v>
          </cell>
          <cell r="J37">
            <v>0</v>
          </cell>
          <cell r="K37">
            <v>0</v>
          </cell>
          <cell r="L37">
            <v>2</v>
          </cell>
          <cell r="M37">
            <v>1</v>
          </cell>
          <cell r="N37" t="str">
            <v>OK</v>
          </cell>
          <cell r="O37" t="str">
            <v>I-032</v>
          </cell>
        </row>
        <row r="38">
          <cell r="B38" t="str">
            <v>AUTO COLLAR-BAND ATTACHING MACHINE</v>
          </cell>
          <cell r="C38" t="str">
            <v>New</v>
          </cell>
          <cell r="D38" t="str">
            <v>SET</v>
          </cell>
          <cell r="E38">
            <v>2</v>
          </cell>
          <cell r="F38">
            <v>6000</v>
          </cell>
          <cell r="G38">
            <v>12000</v>
          </cell>
          <cell r="H38" t="str">
            <v>N/A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</v>
          </cell>
          <cell r="N38" t="str">
            <v>OK</v>
          </cell>
          <cell r="O38" t="str">
            <v>I-033</v>
          </cell>
        </row>
        <row r="39">
          <cell r="B39" t="str">
            <v>AUXILIARY MACHINE</v>
          </cell>
          <cell r="C39" t="str">
            <v>New</v>
          </cell>
          <cell r="D39" t="str">
            <v>SET</v>
          </cell>
          <cell r="E39">
            <v>5</v>
          </cell>
          <cell r="F39">
            <v>2000</v>
          </cell>
          <cell r="G39">
            <v>10000</v>
          </cell>
          <cell r="H39" t="str">
            <v>N/A</v>
          </cell>
          <cell r="I39">
            <v>0</v>
          </cell>
          <cell r="J39">
            <v>0</v>
          </cell>
          <cell r="K39">
            <v>0</v>
          </cell>
          <cell r="L39">
            <v>5</v>
          </cell>
          <cell r="M39">
            <v>1</v>
          </cell>
          <cell r="N39" t="str">
            <v>OK</v>
          </cell>
          <cell r="O39" t="str">
            <v>I-034</v>
          </cell>
        </row>
        <row r="40">
          <cell r="B40" t="str">
            <v>AUTO CUTTING MACHINE</v>
          </cell>
          <cell r="C40" t="str">
            <v>New</v>
          </cell>
          <cell r="D40" t="str">
            <v>SET</v>
          </cell>
          <cell r="E40">
            <v>2</v>
          </cell>
          <cell r="F40">
            <v>90000</v>
          </cell>
          <cell r="G40">
            <v>180000</v>
          </cell>
          <cell r="H40" t="str">
            <v>N/A</v>
          </cell>
          <cell r="I40">
            <v>0</v>
          </cell>
          <cell r="J40">
            <v>0</v>
          </cell>
          <cell r="K40">
            <v>0</v>
          </cell>
          <cell r="L40">
            <v>2</v>
          </cell>
          <cell r="M40">
            <v>1</v>
          </cell>
          <cell r="N40" t="str">
            <v>OK</v>
          </cell>
          <cell r="O40" t="str">
            <v>I-035</v>
          </cell>
        </row>
        <row r="41">
          <cell r="B41" t="str">
            <v>FABRIC SPREADING MACHINE</v>
          </cell>
          <cell r="C41" t="str">
            <v>New</v>
          </cell>
          <cell r="D41" t="str">
            <v>SET</v>
          </cell>
          <cell r="E41">
            <v>4</v>
          </cell>
          <cell r="F41">
            <v>19000</v>
          </cell>
          <cell r="G41">
            <v>76000</v>
          </cell>
          <cell r="H41" t="str">
            <v>N/A</v>
          </cell>
          <cell r="I41">
            <v>0</v>
          </cell>
          <cell r="J41">
            <v>0</v>
          </cell>
          <cell r="K41">
            <v>0</v>
          </cell>
          <cell r="L41">
            <v>4</v>
          </cell>
          <cell r="M41">
            <v>1</v>
          </cell>
          <cell r="N41" t="str">
            <v>OK</v>
          </cell>
          <cell r="O41" t="str">
            <v>I-036</v>
          </cell>
        </row>
        <row r="42">
          <cell r="B42" t="str">
            <v>CUTTING TABLE</v>
          </cell>
          <cell r="C42" t="str">
            <v>New</v>
          </cell>
          <cell r="D42" t="str">
            <v>SET</v>
          </cell>
          <cell r="E42">
            <v>8</v>
          </cell>
          <cell r="F42">
            <v>4080</v>
          </cell>
          <cell r="G42">
            <v>32640</v>
          </cell>
          <cell r="H42" t="str">
            <v>N/A</v>
          </cell>
          <cell r="I42">
            <v>0</v>
          </cell>
          <cell r="J42">
            <v>0</v>
          </cell>
          <cell r="K42">
            <v>0</v>
          </cell>
          <cell r="L42">
            <v>8</v>
          </cell>
          <cell r="M42">
            <v>1</v>
          </cell>
          <cell r="N42" t="str">
            <v>OK</v>
          </cell>
          <cell r="O42" t="str">
            <v>I-037</v>
          </cell>
        </row>
        <row r="43">
          <cell r="B43" t="str">
            <v>FABRIC RELAXING MACHINE</v>
          </cell>
          <cell r="C43" t="str">
            <v>New</v>
          </cell>
          <cell r="D43" t="str">
            <v>SET</v>
          </cell>
          <cell r="E43">
            <v>6</v>
          </cell>
          <cell r="F43">
            <v>2100</v>
          </cell>
          <cell r="G43">
            <v>12600</v>
          </cell>
          <cell r="H43" t="str">
            <v>N/A</v>
          </cell>
          <cell r="I43">
            <v>1</v>
          </cell>
          <cell r="J43">
            <v>2100</v>
          </cell>
          <cell r="K43">
            <v>230</v>
          </cell>
          <cell r="L43">
            <v>5</v>
          </cell>
          <cell r="M43">
            <v>0.83333333333333337</v>
          </cell>
          <cell r="N43" t="str">
            <v>OK</v>
          </cell>
          <cell r="O43" t="str">
            <v>I-038</v>
          </cell>
        </row>
        <row r="44">
          <cell r="B44" t="str">
            <v>FABRIC CUTTING MACHINE</v>
          </cell>
          <cell r="C44" t="str">
            <v>New</v>
          </cell>
          <cell r="D44" t="str">
            <v>SET</v>
          </cell>
          <cell r="E44">
            <v>20</v>
          </cell>
          <cell r="F44">
            <v>750</v>
          </cell>
          <cell r="G44">
            <v>15000</v>
          </cell>
          <cell r="H44" t="str">
            <v>N/A</v>
          </cell>
          <cell r="I44">
            <v>0</v>
          </cell>
          <cell r="J44">
            <v>0</v>
          </cell>
          <cell r="K44">
            <v>0</v>
          </cell>
          <cell r="L44">
            <v>20</v>
          </cell>
          <cell r="M44">
            <v>1</v>
          </cell>
          <cell r="N44" t="str">
            <v>OK</v>
          </cell>
          <cell r="O44" t="str">
            <v>I-039</v>
          </cell>
        </row>
        <row r="45">
          <cell r="B45" t="str">
            <v>HEAT TRANSFER MACHINE</v>
          </cell>
          <cell r="C45" t="str">
            <v>New</v>
          </cell>
          <cell r="D45" t="str">
            <v>SET</v>
          </cell>
          <cell r="E45">
            <v>20</v>
          </cell>
          <cell r="F45">
            <v>500</v>
          </cell>
          <cell r="G45">
            <v>10000</v>
          </cell>
          <cell r="H45" t="str">
            <v>N/A</v>
          </cell>
          <cell r="I45">
            <v>0</v>
          </cell>
          <cell r="J45">
            <v>0</v>
          </cell>
          <cell r="K45">
            <v>0</v>
          </cell>
          <cell r="L45">
            <v>20</v>
          </cell>
          <cell r="M45">
            <v>1</v>
          </cell>
          <cell r="N45" t="str">
            <v>OK</v>
          </cell>
          <cell r="O45" t="str">
            <v>I-040</v>
          </cell>
        </row>
        <row r="46">
          <cell r="B46" t="str">
            <v>CUTTING SAFETY STEEL HAND GLOVE</v>
          </cell>
          <cell r="C46" t="str">
            <v>New</v>
          </cell>
          <cell r="D46" t="str">
            <v>SET</v>
          </cell>
          <cell r="E46">
            <v>30</v>
          </cell>
          <cell r="F46">
            <v>50</v>
          </cell>
          <cell r="G46">
            <v>1500</v>
          </cell>
          <cell r="H46" t="str">
            <v>N/A</v>
          </cell>
          <cell r="I46">
            <v>0</v>
          </cell>
          <cell r="J46">
            <v>0</v>
          </cell>
          <cell r="K46">
            <v>0</v>
          </cell>
          <cell r="L46">
            <v>30</v>
          </cell>
          <cell r="M46">
            <v>1</v>
          </cell>
          <cell r="N46" t="str">
            <v>OK</v>
          </cell>
          <cell r="O46" t="str">
            <v>I-041</v>
          </cell>
        </row>
        <row r="47">
          <cell r="B47" t="str">
            <v>ELECTRIC KNIFE MACHINE</v>
          </cell>
          <cell r="C47" t="str">
            <v>New</v>
          </cell>
          <cell r="D47" t="str">
            <v>SET</v>
          </cell>
          <cell r="E47">
            <v>20</v>
          </cell>
          <cell r="F47">
            <v>200</v>
          </cell>
          <cell r="G47">
            <v>4000</v>
          </cell>
          <cell r="H47" t="str">
            <v>N/A</v>
          </cell>
          <cell r="I47">
            <v>0</v>
          </cell>
          <cell r="J47">
            <v>0</v>
          </cell>
          <cell r="K47">
            <v>0</v>
          </cell>
          <cell r="L47">
            <v>20</v>
          </cell>
          <cell r="M47">
            <v>1</v>
          </cell>
          <cell r="N47" t="str">
            <v>OK</v>
          </cell>
          <cell r="O47" t="str">
            <v>I-042</v>
          </cell>
        </row>
        <row r="48">
          <cell r="B48" t="str">
            <v>FUSING MACHINE</v>
          </cell>
          <cell r="C48" t="str">
            <v>New</v>
          </cell>
          <cell r="D48" t="str">
            <v>SET</v>
          </cell>
          <cell r="E48">
            <v>5</v>
          </cell>
          <cell r="F48">
            <v>3000</v>
          </cell>
          <cell r="G48">
            <v>15000</v>
          </cell>
          <cell r="H48" t="str">
            <v>N/A</v>
          </cell>
          <cell r="I48">
            <v>2</v>
          </cell>
          <cell r="J48">
            <v>6000</v>
          </cell>
          <cell r="K48">
            <v>1160</v>
          </cell>
          <cell r="L48">
            <v>3</v>
          </cell>
          <cell r="M48">
            <v>0.6</v>
          </cell>
          <cell r="N48" t="str">
            <v>OK</v>
          </cell>
          <cell r="O48" t="str">
            <v>I-043</v>
          </cell>
        </row>
        <row r="49">
          <cell r="B49" t="str">
            <v>PLOTTER</v>
          </cell>
          <cell r="C49" t="str">
            <v>New</v>
          </cell>
          <cell r="D49" t="str">
            <v>SET</v>
          </cell>
          <cell r="E49">
            <v>2</v>
          </cell>
          <cell r="F49">
            <v>8000</v>
          </cell>
          <cell r="G49">
            <v>16000</v>
          </cell>
          <cell r="H49" t="str">
            <v>N/A</v>
          </cell>
          <cell r="I49">
            <v>0</v>
          </cell>
          <cell r="J49">
            <v>0</v>
          </cell>
          <cell r="K49">
            <v>0</v>
          </cell>
          <cell r="L49">
            <v>2</v>
          </cell>
          <cell r="M49">
            <v>1</v>
          </cell>
          <cell r="N49" t="str">
            <v>OK</v>
          </cell>
          <cell r="O49" t="str">
            <v>I-044</v>
          </cell>
        </row>
        <row r="50">
          <cell r="B50" t="str">
            <v>NUMBERING MACHINE</v>
          </cell>
          <cell r="C50" t="str">
            <v>New</v>
          </cell>
          <cell r="D50" t="str">
            <v>SET</v>
          </cell>
          <cell r="E50">
            <v>200</v>
          </cell>
          <cell r="F50">
            <v>10</v>
          </cell>
          <cell r="G50">
            <v>2000</v>
          </cell>
          <cell r="H50" t="str">
            <v>N/A</v>
          </cell>
          <cell r="I50">
            <v>0</v>
          </cell>
          <cell r="J50">
            <v>0</v>
          </cell>
          <cell r="K50">
            <v>0</v>
          </cell>
          <cell r="L50">
            <v>200</v>
          </cell>
          <cell r="M50">
            <v>1</v>
          </cell>
          <cell r="N50" t="str">
            <v>OK</v>
          </cell>
          <cell r="O50" t="str">
            <v>I-045</v>
          </cell>
        </row>
        <row r="51">
          <cell r="B51" t="str">
            <v>AUTO PACKED MACHINE SYSTEM</v>
          </cell>
          <cell r="C51" t="str">
            <v>New</v>
          </cell>
          <cell r="D51" t="str">
            <v>SET</v>
          </cell>
          <cell r="E51">
            <v>2</v>
          </cell>
          <cell r="F51">
            <v>15000</v>
          </cell>
          <cell r="G51">
            <v>30000</v>
          </cell>
          <cell r="H51" t="str">
            <v>N/A</v>
          </cell>
          <cell r="I51">
            <v>0</v>
          </cell>
          <cell r="J51">
            <v>0</v>
          </cell>
          <cell r="K51">
            <v>0</v>
          </cell>
          <cell r="L51">
            <v>2</v>
          </cell>
          <cell r="M51">
            <v>1</v>
          </cell>
          <cell r="N51" t="str">
            <v>OK</v>
          </cell>
          <cell r="O51" t="str">
            <v>I-046</v>
          </cell>
        </row>
        <row r="52">
          <cell r="B52" t="str">
            <v>AUTO FOLDING MACHINE</v>
          </cell>
          <cell r="C52" t="str">
            <v>New</v>
          </cell>
          <cell r="D52" t="str">
            <v>SET</v>
          </cell>
          <cell r="E52">
            <v>2</v>
          </cell>
          <cell r="F52">
            <v>15000</v>
          </cell>
          <cell r="G52">
            <v>30000</v>
          </cell>
          <cell r="H52" t="str">
            <v>N/A</v>
          </cell>
          <cell r="I52">
            <v>0</v>
          </cell>
          <cell r="J52">
            <v>0</v>
          </cell>
          <cell r="K52">
            <v>0</v>
          </cell>
          <cell r="L52">
            <v>2</v>
          </cell>
          <cell r="M52">
            <v>1</v>
          </cell>
          <cell r="N52" t="str">
            <v>OK</v>
          </cell>
          <cell r="O52" t="str">
            <v>I-047</v>
          </cell>
        </row>
        <row r="53">
          <cell r="B53" t="str">
            <v>CONVEYOR SYSTEM</v>
          </cell>
          <cell r="C53" t="str">
            <v>New</v>
          </cell>
          <cell r="D53" t="str">
            <v>SET</v>
          </cell>
          <cell r="E53">
            <v>5</v>
          </cell>
          <cell r="F53">
            <v>5000</v>
          </cell>
          <cell r="G53">
            <v>25000</v>
          </cell>
          <cell r="H53" t="str">
            <v>N/A</v>
          </cell>
          <cell r="I53">
            <v>0</v>
          </cell>
          <cell r="J53">
            <v>0</v>
          </cell>
          <cell r="K53">
            <v>0</v>
          </cell>
          <cell r="L53">
            <v>5</v>
          </cell>
          <cell r="M53">
            <v>1</v>
          </cell>
          <cell r="N53" t="str">
            <v>OK</v>
          </cell>
          <cell r="O53" t="str">
            <v>I-048</v>
          </cell>
        </row>
        <row r="54">
          <cell r="B54" t="str">
            <v>FORKLIFT (3 TON)</v>
          </cell>
          <cell r="C54" t="str">
            <v>New</v>
          </cell>
          <cell r="D54" t="str">
            <v>SET</v>
          </cell>
          <cell r="E54">
            <v>4</v>
          </cell>
          <cell r="F54">
            <v>8000</v>
          </cell>
          <cell r="G54">
            <v>32000</v>
          </cell>
          <cell r="H54" t="str">
            <v>N/A</v>
          </cell>
          <cell r="I54">
            <v>0</v>
          </cell>
          <cell r="J54">
            <v>0</v>
          </cell>
          <cell r="K54">
            <v>0</v>
          </cell>
          <cell r="L54">
            <v>4</v>
          </cell>
          <cell r="M54">
            <v>1</v>
          </cell>
          <cell r="N54" t="str">
            <v>OK</v>
          </cell>
          <cell r="O54" t="str">
            <v>I-049</v>
          </cell>
        </row>
        <row r="55">
          <cell r="B55" t="str">
            <v>VERY NARROW AISLE FORKLIFT (VNA)</v>
          </cell>
          <cell r="C55" t="str">
            <v>New</v>
          </cell>
          <cell r="D55" t="str">
            <v>SET</v>
          </cell>
          <cell r="E55">
            <v>1</v>
          </cell>
          <cell r="F55">
            <v>6000</v>
          </cell>
          <cell r="G55">
            <v>6000</v>
          </cell>
          <cell r="H55" t="str">
            <v>N/A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1</v>
          </cell>
          <cell r="N55" t="str">
            <v>OK</v>
          </cell>
          <cell r="O55" t="str">
            <v>I-050</v>
          </cell>
        </row>
        <row r="56">
          <cell r="B56" t="str">
            <v>STACKER</v>
          </cell>
          <cell r="C56" t="str">
            <v>New</v>
          </cell>
          <cell r="D56" t="str">
            <v>SET</v>
          </cell>
          <cell r="E56">
            <v>5</v>
          </cell>
          <cell r="F56">
            <v>7000</v>
          </cell>
          <cell r="G56">
            <v>35000</v>
          </cell>
          <cell r="H56" t="str">
            <v>N/A</v>
          </cell>
          <cell r="I56">
            <v>0</v>
          </cell>
          <cell r="J56">
            <v>0</v>
          </cell>
          <cell r="K56">
            <v>0</v>
          </cell>
          <cell r="L56">
            <v>5</v>
          </cell>
          <cell r="M56">
            <v>1</v>
          </cell>
          <cell r="N56" t="str">
            <v>OK</v>
          </cell>
          <cell r="O56" t="str">
            <v>I-051</v>
          </cell>
        </row>
        <row r="57">
          <cell r="B57" t="str">
            <v>HYDRAULIC HAND PALLET TRUCK</v>
          </cell>
          <cell r="C57" t="str">
            <v>New</v>
          </cell>
          <cell r="D57" t="str">
            <v>SET</v>
          </cell>
          <cell r="E57">
            <v>10</v>
          </cell>
          <cell r="F57">
            <v>200</v>
          </cell>
          <cell r="G57">
            <v>2000</v>
          </cell>
          <cell r="H57" t="str">
            <v>N/A</v>
          </cell>
          <cell r="I57">
            <v>0</v>
          </cell>
          <cell r="J57">
            <v>0</v>
          </cell>
          <cell r="K57">
            <v>0</v>
          </cell>
          <cell r="L57">
            <v>10</v>
          </cell>
          <cell r="M57">
            <v>1</v>
          </cell>
          <cell r="N57" t="str">
            <v>OK</v>
          </cell>
          <cell r="O57" t="str">
            <v>I-052</v>
          </cell>
        </row>
        <row r="58">
          <cell r="B58" t="str">
            <v>PALLET</v>
          </cell>
          <cell r="C58" t="str">
            <v>New</v>
          </cell>
          <cell r="D58" t="str">
            <v>SET</v>
          </cell>
          <cell r="E58">
            <v>500</v>
          </cell>
          <cell r="F58">
            <v>80</v>
          </cell>
          <cell r="G58">
            <v>40000</v>
          </cell>
          <cell r="H58" t="str">
            <v>N/A</v>
          </cell>
          <cell r="I58">
            <v>0</v>
          </cell>
          <cell r="J58">
            <v>0</v>
          </cell>
          <cell r="K58">
            <v>0</v>
          </cell>
          <cell r="L58">
            <v>500</v>
          </cell>
          <cell r="M58">
            <v>1</v>
          </cell>
          <cell r="N58" t="str">
            <v>OK</v>
          </cell>
          <cell r="O58" t="str">
            <v>I-053</v>
          </cell>
        </row>
        <row r="59">
          <cell r="B59" t="str">
            <v>RACKING</v>
          </cell>
          <cell r="C59" t="str">
            <v>New</v>
          </cell>
          <cell r="D59" t="str">
            <v>SET</v>
          </cell>
          <cell r="E59">
            <v>500</v>
          </cell>
          <cell r="F59">
            <v>200</v>
          </cell>
          <cell r="G59">
            <v>100000</v>
          </cell>
          <cell r="H59" t="str">
            <v>N/A</v>
          </cell>
          <cell r="I59">
            <v>0</v>
          </cell>
          <cell r="J59">
            <v>0</v>
          </cell>
          <cell r="K59">
            <v>0</v>
          </cell>
          <cell r="L59">
            <v>500</v>
          </cell>
          <cell r="M59">
            <v>1</v>
          </cell>
          <cell r="N59" t="str">
            <v>OK</v>
          </cell>
          <cell r="O59" t="str">
            <v>I-054</v>
          </cell>
        </row>
        <row r="60">
          <cell r="B60" t="str">
            <v>HANGING GARMENT RACK</v>
          </cell>
          <cell r="C60" t="str">
            <v>New</v>
          </cell>
          <cell r="D60" t="str">
            <v>SET</v>
          </cell>
          <cell r="E60">
            <v>200</v>
          </cell>
          <cell r="F60">
            <v>15</v>
          </cell>
          <cell r="G60">
            <v>3000</v>
          </cell>
          <cell r="H60" t="str">
            <v>N/A</v>
          </cell>
          <cell r="I60">
            <v>0</v>
          </cell>
          <cell r="J60">
            <v>0</v>
          </cell>
          <cell r="K60">
            <v>0</v>
          </cell>
          <cell r="L60">
            <v>200</v>
          </cell>
          <cell r="M60">
            <v>1</v>
          </cell>
          <cell r="N60" t="str">
            <v>OK</v>
          </cell>
          <cell r="O60" t="str">
            <v>I-055</v>
          </cell>
        </row>
        <row r="61">
          <cell r="B61" t="str">
            <v>SWEEPER &amp; WASHING  MACHINE</v>
          </cell>
          <cell r="C61" t="str">
            <v>New</v>
          </cell>
          <cell r="D61" t="str">
            <v>SET</v>
          </cell>
          <cell r="E61">
            <v>5</v>
          </cell>
          <cell r="F61">
            <v>1000</v>
          </cell>
          <cell r="G61">
            <v>5000</v>
          </cell>
          <cell r="H61" t="str">
            <v>N/A</v>
          </cell>
          <cell r="I61">
            <v>0</v>
          </cell>
          <cell r="J61">
            <v>0</v>
          </cell>
          <cell r="K61">
            <v>0</v>
          </cell>
          <cell r="L61">
            <v>5</v>
          </cell>
          <cell r="M61">
            <v>1</v>
          </cell>
          <cell r="N61" t="str">
            <v>OK</v>
          </cell>
          <cell r="O61" t="str">
            <v>I-056</v>
          </cell>
        </row>
        <row r="62">
          <cell r="B62" t="str">
            <v>PULLING TEST MACHINE</v>
          </cell>
          <cell r="C62" t="str">
            <v>New</v>
          </cell>
          <cell r="D62" t="str">
            <v>SET</v>
          </cell>
          <cell r="E62">
            <v>2</v>
          </cell>
          <cell r="F62">
            <v>450</v>
          </cell>
          <cell r="G62">
            <v>900</v>
          </cell>
          <cell r="H62" t="str">
            <v>N/A</v>
          </cell>
          <cell r="I62">
            <v>0</v>
          </cell>
          <cell r="J62">
            <v>0</v>
          </cell>
          <cell r="K62">
            <v>0</v>
          </cell>
          <cell r="L62">
            <v>2</v>
          </cell>
          <cell r="M62">
            <v>1</v>
          </cell>
          <cell r="N62" t="str">
            <v>OK</v>
          </cell>
          <cell r="O62" t="str">
            <v>I-057</v>
          </cell>
        </row>
        <row r="63">
          <cell r="B63" t="str">
            <v>BUTTON PULL TEST MACHINE</v>
          </cell>
          <cell r="C63" t="str">
            <v>New</v>
          </cell>
          <cell r="D63" t="str">
            <v>SET</v>
          </cell>
          <cell r="E63">
            <v>2</v>
          </cell>
          <cell r="F63">
            <v>600</v>
          </cell>
          <cell r="G63">
            <v>1200</v>
          </cell>
          <cell r="H63" t="str">
            <v>N/A</v>
          </cell>
          <cell r="I63">
            <v>0</v>
          </cell>
          <cell r="J63">
            <v>0</v>
          </cell>
          <cell r="K63">
            <v>0</v>
          </cell>
          <cell r="L63">
            <v>2</v>
          </cell>
          <cell r="M63">
            <v>1</v>
          </cell>
          <cell r="N63" t="str">
            <v>OK</v>
          </cell>
          <cell r="O63" t="str">
            <v>I-058</v>
          </cell>
        </row>
        <row r="64">
          <cell r="B64" t="str">
            <v>TEAR TEST MACHINE</v>
          </cell>
          <cell r="C64" t="str">
            <v>New</v>
          </cell>
          <cell r="D64" t="str">
            <v>SET</v>
          </cell>
          <cell r="E64">
            <v>2</v>
          </cell>
          <cell r="F64">
            <v>900</v>
          </cell>
          <cell r="G64">
            <v>1800</v>
          </cell>
          <cell r="H64" t="str">
            <v>N/A</v>
          </cell>
          <cell r="I64">
            <v>0</v>
          </cell>
          <cell r="J64">
            <v>0</v>
          </cell>
          <cell r="K64">
            <v>0</v>
          </cell>
          <cell r="L64">
            <v>2</v>
          </cell>
          <cell r="M64">
            <v>1</v>
          </cell>
          <cell r="N64" t="str">
            <v>OK</v>
          </cell>
          <cell r="O64" t="str">
            <v>I-059</v>
          </cell>
        </row>
        <row r="65">
          <cell r="B65" t="str">
            <v>CRACKING TEST MACHINE</v>
          </cell>
          <cell r="C65" t="str">
            <v>New</v>
          </cell>
          <cell r="D65" t="str">
            <v>SET</v>
          </cell>
          <cell r="E65">
            <v>2</v>
          </cell>
          <cell r="F65">
            <v>140</v>
          </cell>
          <cell r="G65">
            <v>280</v>
          </cell>
          <cell r="H65" t="str">
            <v>N/A</v>
          </cell>
          <cell r="I65">
            <v>0</v>
          </cell>
          <cell r="J65">
            <v>0</v>
          </cell>
          <cell r="K65">
            <v>0</v>
          </cell>
          <cell r="L65">
            <v>2</v>
          </cell>
          <cell r="M65">
            <v>1</v>
          </cell>
          <cell r="N65" t="str">
            <v>OK</v>
          </cell>
          <cell r="O65" t="str">
            <v>I-060</v>
          </cell>
        </row>
        <row r="66">
          <cell r="B66" t="str">
            <v>FABRIC STRENGTH TESTER</v>
          </cell>
          <cell r="C66" t="str">
            <v>New</v>
          </cell>
          <cell r="D66" t="str">
            <v>SET</v>
          </cell>
          <cell r="E66">
            <v>2</v>
          </cell>
          <cell r="F66">
            <v>2800</v>
          </cell>
          <cell r="G66">
            <v>5600</v>
          </cell>
          <cell r="H66" t="str">
            <v>N/A</v>
          </cell>
          <cell r="I66">
            <v>0</v>
          </cell>
          <cell r="J66">
            <v>0</v>
          </cell>
          <cell r="K66">
            <v>0</v>
          </cell>
          <cell r="L66">
            <v>2</v>
          </cell>
          <cell r="M66">
            <v>1</v>
          </cell>
          <cell r="N66" t="str">
            <v>OK</v>
          </cell>
          <cell r="O66" t="str">
            <v>I-061</v>
          </cell>
        </row>
        <row r="67">
          <cell r="B67" t="str">
            <v>PH TEST MACHINE</v>
          </cell>
          <cell r="C67" t="str">
            <v>New</v>
          </cell>
          <cell r="D67" t="str">
            <v>SET</v>
          </cell>
          <cell r="E67">
            <v>2</v>
          </cell>
          <cell r="F67">
            <v>160</v>
          </cell>
          <cell r="G67">
            <v>320</v>
          </cell>
          <cell r="H67" t="str">
            <v>N/A</v>
          </cell>
          <cell r="I67">
            <v>0</v>
          </cell>
          <cell r="J67">
            <v>0</v>
          </cell>
          <cell r="K67">
            <v>0</v>
          </cell>
          <cell r="L67">
            <v>2</v>
          </cell>
          <cell r="M67">
            <v>1</v>
          </cell>
          <cell r="N67" t="str">
            <v>OK</v>
          </cell>
          <cell r="O67" t="str">
            <v>I-062</v>
          </cell>
        </row>
        <row r="68">
          <cell r="B68" t="str">
            <v>LIGHT BOX</v>
          </cell>
          <cell r="C68" t="str">
            <v>New</v>
          </cell>
          <cell r="D68" t="str">
            <v>SET</v>
          </cell>
          <cell r="E68">
            <v>5</v>
          </cell>
          <cell r="F68">
            <v>700</v>
          </cell>
          <cell r="G68">
            <v>3500</v>
          </cell>
          <cell r="H68" t="str">
            <v>N/A</v>
          </cell>
          <cell r="I68">
            <v>0</v>
          </cell>
          <cell r="J68">
            <v>0</v>
          </cell>
          <cell r="K68">
            <v>0</v>
          </cell>
          <cell r="L68">
            <v>5</v>
          </cell>
          <cell r="M68">
            <v>1</v>
          </cell>
          <cell r="N68" t="str">
            <v>OK</v>
          </cell>
          <cell r="O68" t="str">
            <v>I-063</v>
          </cell>
        </row>
        <row r="69">
          <cell r="B69" t="str">
            <v>AIR COMPRESSOR (30HP)</v>
          </cell>
          <cell r="C69" t="str">
            <v>New</v>
          </cell>
          <cell r="D69" t="str">
            <v>SET</v>
          </cell>
          <cell r="E69">
            <v>6</v>
          </cell>
          <cell r="F69">
            <v>8000</v>
          </cell>
          <cell r="G69">
            <v>48000</v>
          </cell>
          <cell r="H69" t="str">
            <v>N/A</v>
          </cell>
          <cell r="I69">
            <v>0</v>
          </cell>
          <cell r="J69">
            <v>0</v>
          </cell>
          <cell r="K69">
            <v>0</v>
          </cell>
          <cell r="L69">
            <v>6</v>
          </cell>
          <cell r="M69">
            <v>1</v>
          </cell>
          <cell r="N69" t="str">
            <v>OK</v>
          </cell>
          <cell r="O69" t="str">
            <v>I-064</v>
          </cell>
        </row>
        <row r="70">
          <cell r="B70" t="str">
            <v>COLD DRYER</v>
          </cell>
          <cell r="C70" t="str">
            <v>New</v>
          </cell>
          <cell r="D70" t="str">
            <v>SET</v>
          </cell>
          <cell r="E70">
            <v>6</v>
          </cell>
          <cell r="F70">
            <v>1700</v>
          </cell>
          <cell r="G70">
            <v>10200</v>
          </cell>
          <cell r="H70" t="str">
            <v>N/A</v>
          </cell>
          <cell r="I70">
            <v>0</v>
          </cell>
          <cell r="J70">
            <v>0</v>
          </cell>
          <cell r="K70">
            <v>0</v>
          </cell>
          <cell r="L70">
            <v>6</v>
          </cell>
          <cell r="M70">
            <v>1</v>
          </cell>
          <cell r="N70" t="str">
            <v>OK</v>
          </cell>
          <cell r="O70" t="str">
            <v>I-065</v>
          </cell>
        </row>
        <row r="71">
          <cell r="B71" t="str">
            <v>GAS TANK</v>
          </cell>
          <cell r="C71" t="str">
            <v>New</v>
          </cell>
          <cell r="D71" t="str">
            <v>SET</v>
          </cell>
          <cell r="E71">
            <v>6</v>
          </cell>
          <cell r="F71">
            <v>2500</v>
          </cell>
          <cell r="G71">
            <v>15000</v>
          </cell>
          <cell r="H71" t="str">
            <v>N/A</v>
          </cell>
          <cell r="I71">
            <v>0</v>
          </cell>
          <cell r="J71">
            <v>0</v>
          </cell>
          <cell r="K71">
            <v>0</v>
          </cell>
          <cell r="L71">
            <v>6</v>
          </cell>
          <cell r="M71">
            <v>1</v>
          </cell>
          <cell r="N71" t="str">
            <v>OK</v>
          </cell>
          <cell r="O71" t="str">
            <v>I-066</v>
          </cell>
        </row>
        <row r="72">
          <cell r="B72" t="str">
            <v>AIR CONDITIONER SYSTEM</v>
          </cell>
          <cell r="C72" t="str">
            <v>New</v>
          </cell>
          <cell r="D72" t="str">
            <v>SET</v>
          </cell>
          <cell r="E72">
            <v>5</v>
          </cell>
          <cell r="F72">
            <v>22000</v>
          </cell>
          <cell r="G72">
            <v>110000</v>
          </cell>
          <cell r="H72" t="str">
            <v>N/A</v>
          </cell>
          <cell r="I72">
            <v>0</v>
          </cell>
          <cell r="J72">
            <v>0</v>
          </cell>
          <cell r="K72">
            <v>0</v>
          </cell>
          <cell r="L72">
            <v>5</v>
          </cell>
          <cell r="M72">
            <v>1</v>
          </cell>
          <cell r="N72" t="str">
            <v>OK</v>
          </cell>
          <cell r="O72" t="str">
            <v>I-067</v>
          </cell>
        </row>
        <row r="73">
          <cell r="B73" t="str">
            <v>BOILER</v>
          </cell>
          <cell r="C73" t="str">
            <v>New</v>
          </cell>
          <cell r="D73" t="str">
            <v>SET</v>
          </cell>
          <cell r="E73">
            <v>2</v>
          </cell>
          <cell r="F73">
            <v>8000</v>
          </cell>
          <cell r="G73">
            <v>16000</v>
          </cell>
          <cell r="H73" t="str">
            <v>N/A</v>
          </cell>
          <cell r="I73">
            <v>0</v>
          </cell>
          <cell r="J73">
            <v>0</v>
          </cell>
          <cell r="K73">
            <v>0</v>
          </cell>
          <cell r="L73">
            <v>2</v>
          </cell>
          <cell r="M73">
            <v>1</v>
          </cell>
          <cell r="N73" t="str">
            <v>OK</v>
          </cell>
          <cell r="O73" t="str">
            <v>I-068</v>
          </cell>
        </row>
        <row r="74">
          <cell r="B74" t="str">
            <v>STEAM IRON</v>
          </cell>
          <cell r="C74" t="str">
            <v>New</v>
          </cell>
          <cell r="D74" t="str">
            <v>SET</v>
          </cell>
          <cell r="E74">
            <v>70</v>
          </cell>
          <cell r="F74">
            <v>80</v>
          </cell>
          <cell r="G74">
            <v>5600</v>
          </cell>
          <cell r="H74" t="str">
            <v>N/A</v>
          </cell>
          <cell r="I74">
            <v>0</v>
          </cell>
          <cell r="J74">
            <v>0</v>
          </cell>
          <cell r="K74">
            <v>0</v>
          </cell>
          <cell r="L74">
            <v>70</v>
          </cell>
          <cell r="M74">
            <v>1</v>
          </cell>
          <cell r="N74" t="str">
            <v>OK</v>
          </cell>
          <cell r="O74" t="str">
            <v>I-069</v>
          </cell>
        </row>
        <row r="75">
          <cell r="B75" t="str">
            <v>IRON TABLE</v>
          </cell>
          <cell r="C75" t="str">
            <v>New</v>
          </cell>
          <cell r="D75" t="str">
            <v>SET</v>
          </cell>
          <cell r="E75">
            <v>70</v>
          </cell>
          <cell r="F75">
            <v>200</v>
          </cell>
          <cell r="G75">
            <v>14000</v>
          </cell>
          <cell r="H75" t="str">
            <v>N/A</v>
          </cell>
          <cell r="I75">
            <v>20</v>
          </cell>
          <cell r="J75">
            <v>4000</v>
          </cell>
          <cell r="K75">
            <v>1180</v>
          </cell>
          <cell r="L75">
            <v>50</v>
          </cell>
          <cell r="M75">
            <v>0.7142857142857143</v>
          </cell>
          <cell r="N75" t="str">
            <v>OK</v>
          </cell>
          <cell r="O75" t="str">
            <v>I-070</v>
          </cell>
        </row>
        <row r="76">
          <cell r="B76" t="str">
            <v>ELECTRIC BOILER</v>
          </cell>
          <cell r="C76" t="str">
            <v>New</v>
          </cell>
          <cell r="D76" t="str">
            <v>SET</v>
          </cell>
          <cell r="E76">
            <v>30</v>
          </cell>
          <cell r="F76">
            <v>1000</v>
          </cell>
          <cell r="G76">
            <v>30000</v>
          </cell>
          <cell r="H76" t="str">
            <v>N/A</v>
          </cell>
          <cell r="I76">
            <v>0</v>
          </cell>
          <cell r="J76">
            <v>0</v>
          </cell>
          <cell r="K76">
            <v>0</v>
          </cell>
          <cell r="L76">
            <v>30</v>
          </cell>
          <cell r="M76">
            <v>1</v>
          </cell>
          <cell r="N76" t="str">
            <v>OK</v>
          </cell>
          <cell r="O76" t="str">
            <v>I-071</v>
          </cell>
        </row>
        <row r="77">
          <cell r="B77" t="str">
            <v>GENERATOR (DIESEL) (350KVA)</v>
          </cell>
          <cell r="C77" t="str">
            <v>New</v>
          </cell>
          <cell r="D77" t="str">
            <v>SET</v>
          </cell>
          <cell r="E77">
            <v>1</v>
          </cell>
          <cell r="F77">
            <v>60000</v>
          </cell>
          <cell r="G77">
            <v>60000</v>
          </cell>
          <cell r="H77" t="str">
            <v>N/A</v>
          </cell>
          <cell r="I77">
            <v>0</v>
          </cell>
          <cell r="J77">
            <v>0</v>
          </cell>
          <cell r="K77">
            <v>0</v>
          </cell>
          <cell r="L77">
            <v>1</v>
          </cell>
          <cell r="M77">
            <v>1</v>
          </cell>
          <cell r="N77" t="str">
            <v>OK</v>
          </cell>
          <cell r="O77" t="str">
            <v>I-072</v>
          </cell>
        </row>
        <row r="78">
          <cell r="B78" t="str">
            <v>DEHUMIDIFIER MACHINE</v>
          </cell>
          <cell r="C78" t="str">
            <v>New</v>
          </cell>
          <cell r="D78" t="str">
            <v>SET</v>
          </cell>
          <cell r="E78">
            <v>5</v>
          </cell>
          <cell r="F78">
            <v>3500</v>
          </cell>
          <cell r="G78">
            <v>17500</v>
          </cell>
          <cell r="H78" t="str">
            <v>N/A</v>
          </cell>
          <cell r="I78">
            <v>0</v>
          </cell>
          <cell r="J78">
            <v>0</v>
          </cell>
          <cell r="K78">
            <v>0</v>
          </cell>
          <cell r="L78">
            <v>5</v>
          </cell>
          <cell r="M78">
            <v>1</v>
          </cell>
          <cell r="N78" t="str">
            <v>OK</v>
          </cell>
          <cell r="O78" t="str">
            <v>I-073</v>
          </cell>
        </row>
        <row r="79">
          <cell r="B79" t="str">
            <v>LAMP (USE IN WORKSHOP)</v>
          </cell>
          <cell r="C79" t="str">
            <v>New</v>
          </cell>
          <cell r="D79" t="str">
            <v>SET</v>
          </cell>
          <cell r="E79">
            <v>0</v>
          </cell>
          <cell r="F79">
            <v>10</v>
          </cell>
          <cell r="G79">
            <v>0</v>
          </cell>
          <cell r="H79" t="str">
            <v>N/A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e">
            <v>#DIV/0!</v>
          </cell>
          <cell r="N79" t="e">
            <v>#DIV/0!</v>
          </cell>
          <cell r="O79" t="str">
            <v>I-074</v>
          </cell>
        </row>
        <row r="80">
          <cell r="B80" t="str">
            <v>EXPLOSION-PROOF  LAMP</v>
          </cell>
          <cell r="C80" t="str">
            <v>New</v>
          </cell>
          <cell r="D80" t="str">
            <v>SET</v>
          </cell>
          <cell r="E80">
            <v>0</v>
          </cell>
          <cell r="F80">
            <v>35</v>
          </cell>
          <cell r="G80">
            <v>0</v>
          </cell>
          <cell r="H80" t="str">
            <v>N/A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e">
            <v>#DIV/0!</v>
          </cell>
          <cell r="N80" t="e">
            <v>#DIV/0!</v>
          </cell>
          <cell r="O80" t="str">
            <v>I-075</v>
          </cell>
        </row>
        <row r="81">
          <cell r="B81" t="str">
            <v>ELECTRIC WIRE (10-25MM) * 100M/ROLL</v>
          </cell>
          <cell r="C81" t="str">
            <v>New</v>
          </cell>
          <cell r="D81" t="str">
            <v>NRL</v>
          </cell>
          <cell r="E81">
            <v>0</v>
          </cell>
          <cell r="F81">
            <v>180</v>
          </cell>
          <cell r="G81">
            <v>0</v>
          </cell>
          <cell r="H81" t="str">
            <v>N/A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 t="e">
            <v>#DIV/0!</v>
          </cell>
          <cell r="N81" t="e">
            <v>#DIV/0!</v>
          </cell>
          <cell r="O81" t="str">
            <v>I-076</v>
          </cell>
        </row>
        <row r="82">
          <cell r="B82" t="str">
            <v>ELECTRIC WIRE (1.5-6MM)  * 100M / ROLL</v>
          </cell>
          <cell r="C82" t="str">
            <v>New</v>
          </cell>
          <cell r="D82" t="str">
            <v>NRL</v>
          </cell>
          <cell r="E82">
            <v>0</v>
          </cell>
          <cell r="F82">
            <v>60</v>
          </cell>
          <cell r="G82">
            <v>0</v>
          </cell>
          <cell r="H82" t="str">
            <v>N/A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 t="e">
            <v>#DIV/0!</v>
          </cell>
          <cell r="N82" t="e">
            <v>#DIV/0!</v>
          </cell>
          <cell r="O82" t="str">
            <v>I-077</v>
          </cell>
        </row>
        <row r="83">
          <cell r="B83" t="str">
            <v>CABLE (30 - 70MM)</v>
          </cell>
          <cell r="C83" t="str">
            <v>New</v>
          </cell>
          <cell r="D83" t="str">
            <v>MTR</v>
          </cell>
          <cell r="E83">
            <v>0</v>
          </cell>
          <cell r="F83">
            <v>20</v>
          </cell>
          <cell r="G83">
            <v>0</v>
          </cell>
          <cell r="H83" t="str">
            <v>N/A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e">
            <v>#DIV/0!</v>
          </cell>
          <cell r="N83" t="e">
            <v>#DIV/0!</v>
          </cell>
          <cell r="O83" t="str">
            <v>I-078</v>
          </cell>
        </row>
        <row r="84">
          <cell r="B84" t="str">
            <v>CABLE (120-300MM)</v>
          </cell>
          <cell r="C84" t="str">
            <v>New</v>
          </cell>
          <cell r="D84" t="str">
            <v>MTR</v>
          </cell>
          <cell r="E84">
            <v>0</v>
          </cell>
          <cell r="F84">
            <v>65</v>
          </cell>
          <cell r="G84">
            <v>0</v>
          </cell>
          <cell r="H84" t="str">
            <v>N/A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e">
            <v>#DIV/0!</v>
          </cell>
          <cell r="N84" t="e">
            <v>#DIV/0!</v>
          </cell>
          <cell r="O84" t="str">
            <v>I-079</v>
          </cell>
        </row>
        <row r="85">
          <cell r="B85" t="str">
            <v>BREAKERS</v>
          </cell>
          <cell r="C85" t="str">
            <v>New</v>
          </cell>
          <cell r="D85" t="str">
            <v>SET</v>
          </cell>
          <cell r="E85">
            <v>0</v>
          </cell>
          <cell r="F85">
            <v>3</v>
          </cell>
          <cell r="G85">
            <v>0</v>
          </cell>
          <cell r="H85" t="str">
            <v>N/A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e">
            <v>#DIV/0!</v>
          </cell>
          <cell r="N85" t="e">
            <v>#DIV/0!</v>
          </cell>
          <cell r="O85" t="str">
            <v>I-080</v>
          </cell>
        </row>
        <row r="86">
          <cell r="B86" t="str">
            <v>FAN</v>
          </cell>
          <cell r="C86" t="str">
            <v>New</v>
          </cell>
          <cell r="D86" t="str">
            <v>SET</v>
          </cell>
          <cell r="E86">
            <v>0</v>
          </cell>
          <cell r="F86">
            <v>200</v>
          </cell>
          <cell r="G86">
            <v>0</v>
          </cell>
          <cell r="H86" t="str">
            <v>N/A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e">
            <v>#DIV/0!</v>
          </cell>
          <cell r="N86" t="e">
            <v>#DIV/0!</v>
          </cell>
          <cell r="O86" t="str">
            <v>I-081</v>
          </cell>
        </row>
        <row r="87">
          <cell r="B87" t="str">
            <v>WATER DRINKING MACHINE</v>
          </cell>
          <cell r="C87" t="str">
            <v>New</v>
          </cell>
          <cell r="D87" t="str">
            <v>SET</v>
          </cell>
          <cell r="E87">
            <v>10</v>
          </cell>
          <cell r="F87">
            <v>800</v>
          </cell>
          <cell r="G87">
            <v>8000</v>
          </cell>
          <cell r="H87" t="str">
            <v>N/A</v>
          </cell>
          <cell r="I87">
            <v>0</v>
          </cell>
          <cell r="J87">
            <v>0</v>
          </cell>
          <cell r="K87">
            <v>0</v>
          </cell>
          <cell r="L87">
            <v>10</v>
          </cell>
          <cell r="M87">
            <v>1</v>
          </cell>
          <cell r="N87" t="str">
            <v>OK</v>
          </cell>
          <cell r="O87" t="str">
            <v>I-082</v>
          </cell>
        </row>
        <row r="88">
          <cell r="B88" t="str">
            <v>WATER SOFTENER SYSTEM (RO)</v>
          </cell>
          <cell r="C88" t="str">
            <v>New</v>
          </cell>
          <cell r="D88" t="str">
            <v>SET</v>
          </cell>
          <cell r="E88">
            <v>5</v>
          </cell>
          <cell r="F88">
            <v>8000</v>
          </cell>
          <cell r="G88">
            <v>40000</v>
          </cell>
          <cell r="H88" t="str">
            <v>N/A</v>
          </cell>
          <cell r="I88">
            <v>0</v>
          </cell>
          <cell r="J88">
            <v>0</v>
          </cell>
          <cell r="K88">
            <v>0</v>
          </cell>
          <cell r="L88">
            <v>5</v>
          </cell>
          <cell r="M88">
            <v>1</v>
          </cell>
          <cell r="N88" t="str">
            <v>OK</v>
          </cell>
          <cell r="O88" t="str">
            <v>I-083</v>
          </cell>
        </row>
        <row r="89">
          <cell r="B89" t="str">
            <v>BARCODE PRINTER</v>
          </cell>
          <cell r="C89" t="str">
            <v>New</v>
          </cell>
          <cell r="D89" t="str">
            <v>SET</v>
          </cell>
          <cell r="E89">
            <v>10</v>
          </cell>
          <cell r="F89">
            <v>1400</v>
          </cell>
          <cell r="G89">
            <v>14000</v>
          </cell>
          <cell r="H89" t="str">
            <v>N/A</v>
          </cell>
          <cell r="I89">
            <v>0</v>
          </cell>
          <cell r="J89">
            <v>0</v>
          </cell>
          <cell r="K89">
            <v>0</v>
          </cell>
          <cell r="L89">
            <v>10</v>
          </cell>
          <cell r="M89">
            <v>1</v>
          </cell>
          <cell r="N89" t="str">
            <v>OK</v>
          </cell>
          <cell r="O89" t="str">
            <v>I-084</v>
          </cell>
        </row>
        <row r="90">
          <cell r="B90" t="str">
            <v>INFRARED THERMOMETER</v>
          </cell>
          <cell r="C90" t="str">
            <v>New</v>
          </cell>
          <cell r="D90" t="str">
            <v>SET</v>
          </cell>
          <cell r="E90">
            <v>10</v>
          </cell>
          <cell r="F90">
            <v>300</v>
          </cell>
          <cell r="G90">
            <v>3000</v>
          </cell>
          <cell r="H90" t="str">
            <v>N/A</v>
          </cell>
          <cell r="I90">
            <v>0</v>
          </cell>
          <cell r="J90">
            <v>0</v>
          </cell>
          <cell r="K90">
            <v>0</v>
          </cell>
          <cell r="L90">
            <v>10</v>
          </cell>
          <cell r="M90">
            <v>1</v>
          </cell>
          <cell r="N90" t="str">
            <v>OK</v>
          </cell>
          <cell r="O90" t="str">
            <v>I-085</v>
          </cell>
        </row>
        <row r="91">
          <cell r="B91" t="str">
            <v>TEMPERATURE MEASURING DEVICE</v>
          </cell>
          <cell r="C91" t="str">
            <v>New</v>
          </cell>
          <cell r="D91" t="str">
            <v>SET</v>
          </cell>
          <cell r="E91">
            <v>35</v>
          </cell>
          <cell r="F91">
            <v>60</v>
          </cell>
          <cell r="G91">
            <v>2100</v>
          </cell>
          <cell r="H91" t="str">
            <v>N/A</v>
          </cell>
          <cell r="I91">
            <v>0</v>
          </cell>
          <cell r="J91">
            <v>0</v>
          </cell>
          <cell r="K91">
            <v>0</v>
          </cell>
          <cell r="L91">
            <v>35</v>
          </cell>
          <cell r="M91">
            <v>1</v>
          </cell>
          <cell r="N91" t="str">
            <v>OK</v>
          </cell>
          <cell r="O91" t="str">
            <v>I-086</v>
          </cell>
        </row>
        <row r="92">
          <cell r="B92" t="str">
            <v>PUSH BAR</v>
          </cell>
          <cell r="C92" t="str">
            <v>New</v>
          </cell>
          <cell r="D92" t="str">
            <v>SET</v>
          </cell>
          <cell r="E92">
            <v>0</v>
          </cell>
          <cell r="F92">
            <v>50</v>
          </cell>
          <cell r="G92">
            <v>0</v>
          </cell>
          <cell r="H92" t="str">
            <v>N/A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e">
            <v>#DIV/0!</v>
          </cell>
          <cell r="N92" t="e">
            <v>#DIV/0!</v>
          </cell>
          <cell r="O92" t="str">
            <v>I-087</v>
          </cell>
        </row>
        <row r="93">
          <cell r="B93" t="str">
            <v>PUSH BAR LOCK</v>
          </cell>
          <cell r="C93" t="str">
            <v>New</v>
          </cell>
          <cell r="D93" t="str">
            <v>SET</v>
          </cell>
          <cell r="E93">
            <v>0</v>
          </cell>
          <cell r="F93">
            <v>40</v>
          </cell>
          <cell r="G93">
            <v>0</v>
          </cell>
          <cell r="H93" t="str">
            <v>N/A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e">
            <v>#DIV/0!</v>
          </cell>
          <cell r="N93" t="e">
            <v>#DIV/0!</v>
          </cell>
          <cell r="O93" t="str">
            <v>I-088</v>
          </cell>
        </row>
        <row r="94">
          <cell r="B94" t="str">
            <v>DOOR CLOSURE</v>
          </cell>
          <cell r="C94" t="str">
            <v>New</v>
          </cell>
          <cell r="D94" t="str">
            <v>SET</v>
          </cell>
          <cell r="E94">
            <v>0</v>
          </cell>
          <cell r="F94">
            <v>15</v>
          </cell>
          <cell r="G94">
            <v>0</v>
          </cell>
          <cell r="H94" t="str">
            <v>N/A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e">
            <v>#DIV/0!</v>
          </cell>
          <cell r="N94" t="e">
            <v>#DIV/0!</v>
          </cell>
          <cell r="O94" t="str">
            <v>I-089</v>
          </cell>
        </row>
        <row r="95">
          <cell r="B95" t="str">
            <v>MOSQUITO KILLER TUBE</v>
          </cell>
          <cell r="C95" t="str">
            <v>New</v>
          </cell>
          <cell r="D95" t="str">
            <v>SET</v>
          </cell>
          <cell r="E95">
            <v>70</v>
          </cell>
          <cell r="F95">
            <v>3</v>
          </cell>
          <cell r="G95">
            <v>210</v>
          </cell>
          <cell r="H95" t="str">
            <v>N/A</v>
          </cell>
          <cell r="I95">
            <v>0</v>
          </cell>
          <cell r="J95">
            <v>0</v>
          </cell>
          <cell r="K95">
            <v>0</v>
          </cell>
          <cell r="L95">
            <v>70</v>
          </cell>
          <cell r="M95">
            <v>1</v>
          </cell>
          <cell r="N95" t="str">
            <v>OK</v>
          </cell>
          <cell r="O95" t="str">
            <v>I-090</v>
          </cell>
        </row>
        <row r="96">
          <cell r="B96" t="str">
            <v>MOSQUITO KILLER LAMP STARTER</v>
          </cell>
          <cell r="C96" t="str">
            <v>New</v>
          </cell>
          <cell r="D96" t="str">
            <v>SET</v>
          </cell>
          <cell r="E96">
            <v>50</v>
          </cell>
          <cell r="F96">
            <v>1</v>
          </cell>
          <cell r="G96">
            <v>50</v>
          </cell>
          <cell r="H96" t="str">
            <v>N/A</v>
          </cell>
          <cell r="I96">
            <v>0</v>
          </cell>
          <cell r="J96">
            <v>0</v>
          </cell>
          <cell r="K96">
            <v>0</v>
          </cell>
          <cell r="L96">
            <v>50</v>
          </cell>
          <cell r="M96">
            <v>1</v>
          </cell>
          <cell r="N96" t="str">
            <v>OK</v>
          </cell>
          <cell r="O96" t="str">
            <v>I-091</v>
          </cell>
        </row>
        <row r="97">
          <cell r="B97" t="str">
            <v>FAUCET</v>
          </cell>
          <cell r="C97" t="str">
            <v>New</v>
          </cell>
          <cell r="D97" t="str">
            <v>SET</v>
          </cell>
          <cell r="E97">
            <v>0</v>
          </cell>
          <cell r="F97">
            <v>5</v>
          </cell>
          <cell r="G97">
            <v>0</v>
          </cell>
          <cell r="H97" t="str">
            <v>N/A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 t="e">
            <v>#DIV/0!</v>
          </cell>
          <cell r="N97" t="e">
            <v>#DIV/0!</v>
          </cell>
          <cell r="O97" t="str">
            <v>I-092</v>
          </cell>
        </row>
        <row r="98">
          <cell r="B98" t="str">
            <v>ELECTRICAL TAPE</v>
          </cell>
          <cell r="C98" t="str">
            <v>New</v>
          </cell>
          <cell r="D98" t="str">
            <v>SET</v>
          </cell>
          <cell r="E98">
            <v>0</v>
          </cell>
          <cell r="F98">
            <v>0.5</v>
          </cell>
          <cell r="G98">
            <v>0</v>
          </cell>
          <cell r="H98" t="str">
            <v>N/A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e">
            <v>#DIV/0!</v>
          </cell>
          <cell r="N98" t="e">
            <v>#DIV/0!</v>
          </cell>
          <cell r="O98" t="str">
            <v>I-093</v>
          </cell>
        </row>
        <row r="99">
          <cell r="B99" t="str">
            <v>CABLE TIE</v>
          </cell>
          <cell r="C99" t="str">
            <v>New</v>
          </cell>
          <cell r="D99" t="str">
            <v>SET</v>
          </cell>
          <cell r="E99">
            <v>0</v>
          </cell>
          <cell r="F99">
            <v>1</v>
          </cell>
          <cell r="G99">
            <v>0</v>
          </cell>
          <cell r="H99" t="str">
            <v>N/A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e">
            <v>#DIV/0!</v>
          </cell>
          <cell r="N99" t="e">
            <v>#DIV/0!</v>
          </cell>
          <cell r="O99" t="str">
            <v>I-094</v>
          </cell>
        </row>
        <row r="100">
          <cell r="B100" t="str">
            <v>DUMMY</v>
          </cell>
          <cell r="C100" t="str">
            <v>New</v>
          </cell>
          <cell r="D100" t="str">
            <v>SET</v>
          </cell>
          <cell r="E100">
            <v>5</v>
          </cell>
          <cell r="F100">
            <v>2000</v>
          </cell>
          <cell r="G100">
            <v>10000</v>
          </cell>
          <cell r="H100" t="str">
            <v>N/A</v>
          </cell>
          <cell r="I100">
            <v>0</v>
          </cell>
          <cell r="J100">
            <v>0</v>
          </cell>
          <cell r="K100">
            <v>0</v>
          </cell>
          <cell r="L100">
            <v>5</v>
          </cell>
          <cell r="M100">
            <v>1</v>
          </cell>
          <cell r="N100" t="str">
            <v>OK</v>
          </cell>
          <cell r="O100" t="str">
            <v>I-095</v>
          </cell>
        </row>
        <row r="101">
          <cell r="B101" t="str">
            <v>INSPECTION TABLE</v>
          </cell>
          <cell r="C101" t="str">
            <v>New</v>
          </cell>
          <cell r="D101" t="str">
            <v>SET</v>
          </cell>
          <cell r="E101">
            <v>60</v>
          </cell>
          <cell r="F101">
            <v>80</v>
          </cell>
          <cell r="G101">
            <v>4800</v>
          </cell>
          <cell r="H101" t="str">
            <v>N/A</v>
          </cell>
          <cell r="I101">
            <v>0</v>
          </cell>
          <cell r="J101">
            <v>0</v>
          </cell>
          <cell r="K101">
            <v>0</v>
          </cell>
          <cell r="L101">
            <v>60</v>
          </cell>
          <cell r="M101">
            <v>1</v>
          </cell>
          <cell r="N101" t="str">
            <v>OK</v>
          </cell>
          <cell r="O101" t="str">
            <v>I-096</v>
          </cell>
        </row>
        <row r="102">
          <cell r="B102" t="str">
            <v>PACKING TABLE</v>
          </cell>
          <cell r="C102" t="str">
            <v>New</v>
          </cell>
          <cell r="D102" t="str">
            <v>SET</v>
          </cell>
          <cell r="E102">
            <v>60</v>
          </cell>
          <cell r="F102">
            <v>85</v>
          </cell>
          <cell r="G102">
            <v>5100</v>
          </cell>
          <cell r="H102" t="str">
            <v>N/A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1</v>
          </cell>
          <cell r="N102" t="str">
            <v>OK</v>
          </cell>
          <cell r="O102" t="str">
            <v>I-097</v>
          </cell>
        </row>
        <row r="103">
          <cell r="B103" t="str">
            <v>TROLLEY</v>
          </cell>
          <cell r="C103" t="str">
            <v>New</v>
          </cell>
          <cell r="D103" t="str">
            <v>SET</v>
          </cell>
          <cell r="E103">
            <v>200</v>
          </cell>
          <cell r="F103">
            <v>110</v>
          </cell>
          <cell r="G103">
            <v>22000</v>
          </cell>
          <cell r="H103" t="str">
            <v>N/A</v>
          </cell>
          <cell r="I103">
            <v>0</v>
          </cell>
          <cell r="J103">
            <v>0</v>
          </cell>
          <cell r="K103">
            <v>0</v>
          </cell>
          <cell r="L103">
            <v>200</v>
          </cell>
          <cell r="M103">
            <v>1</v>
          </cell>
          <cell r="N103" t="str">
            <v>OK</v>
          </cell>
          <cell r="O103" t="str">
            <v>I-098</v>
          </cell>
        </row>
        <row r="104">
          <cell r="B104" t="str">
            <v>PRODUCTION WATER TROUGH</v>
          </cell>
          <cell r="C104" t="str">
            <v>New</v>
          </cell>
          <cell r="D104" t="str">
            <v>SET</v>
          </cell>
          <cell r="E104">
            <v>6</v>
          </cell>
          <cell r="F104">
            <v>3000</v>
          </cell>
          <cell r="G104">
            <v>18000</v>
          </cell>
          <cell r="H104" t="str">
            <v>N/A</v>
          </cell>
          <cell r="I104">
            <v>0</v>
          </cell>
          <cell r="J104">
            <v>0</v>
          </cell>
          <cell r="K104">
            <v>0</v>
          </cell>
          <cell r="L104">
            <v>6</v>
          </cell>
          <cell r="M104">
            <v>1</v>
          </cell>
          <cell r="N104" t="str">
            <v>OK</v>
          </cell>
          <cell r="O104" t="str">
            <v>I-099</v>
          </cell>
        </row>
        <row r="105">
          <cell r="B105" t="str">
            <v>LOOSE CLOTH RACK</v>
          </cell>
          <cell r="C105" t="str">
            <v>New</v>
          </cell>
          <cell r="D105" t="str">
            <v>SET</v>
          </cell>
          <cell r="E105">
            <v>50</v>
          </cell>
          <cell r="F105">
            <v>240</v>
          </cell>
          <cell r="G105">
            <v>12000</v>
          </cell>
          <cell r="H105" t="str">
            <v>N/A</v>
          </cell>
          <cell r="I105">
            <v>0</v>
          </cell>
          <cell r="J105">
            <v>0</v>
          </cell>
          <cell r="K105">
            <v>0</v>
          </cell>
          <cell r="L105">
            <v>50</v>
          </cell>
          <cell r="M105">
            <v>1</v>
          </cell>
          <cell r="N105" t="str">
            <v>OK</v>
          </cell>
          <cell r="O105" t="str">
            <v>I-100</v>
          </cell>
        </row>
        <row r="106">
          <cell r="B106" t="str">
            <v>DEHUMIDIFICATION RACK</v>
          </cell>
          <cell r="C106" t="str">
            <v>New</v>
          </cell>
          <cell r="D106" t="str">
            <v>SET</v>
          </cell>
          <cell r="E106">
            <v>100</v>
          </cell>
          <cell r="F106">
            <v>110</v>
          </cell>
          <cell r="G106">
            <v>11000</v>
          </cell>
          <cell r="H106" t="str">
            <v>N/A</v>
          </cell>
          <cell r="I106">
            <v>0</v>
          </cell>
          <cell r="J106">
            <v>0</v>
          </cell>
          <cell r="K106">
            <v>0</v>
          </cell>
          <cell r="L106">
            <v>100</v>
          </cell>
          <cell r="M106">
            <v>1</v>
          </cell>
          <cell r="N106" t="str">
            <v>OK</v>
          </cell>
          <cell r="O106" t="str">
            <v>I-101</v>
          </cell>
        </row>
        <row r="107">
          <cell r="B107" t="str">
            <v>PVC TEMPLATE</v>
          </cell>
          <cell r="C107" t="str">
            <v>New</v>
          </cell>
          <cell r="D107" t="str">
            <v>MTK</v>
          </cell>
          <cell r="E107" t="str">
            <v>2,000.00</v>
          </cell>
          <cell r="F107">
            <v>8</v>
          </cell>
          <cell r="G107">
            <v>16000</v>
          </cell>
          <cell r="H107" t="str">
            <v>N/A</v>
          </cell>
          <cell r="I107">
            <v>0</v>
          </cell>
          <cell r="J107">
            <v>0</v>
          </cell>
          <cell r="K107">
            <v>0</v>
          </cell>
          <cell r="L107">
            <v>2000</v>
          </cell>
          <cell r="M107">
            <v>1</v>
          </cell>
          <cell r="N107" t="str">
            <v>OK</v>
          </cell>
          <cell r="O107" t="str">
            <v>I-102</v>
          </cell>
        </row>
        <row r="108">
          <cell r="B108" t="str">
            <v>SEWING SITTING CHAIRS</v>
          </cell>
          <cell r="C108" t="str">
            <v>New</v>
          </cell>
          <cell r="D108" t="str">
            <v>SET</v>
          </cell>
          <cell r="E108">
            <v>500</v>
          </cell>
          <cell r="F108">
            <v>10</v>
          </cell>
          <cell r="G108">
            <v>5000</v>
          </cell>
          <cell r="H108" t="str">
            <v>N/A</v>
          </cell>
          <cell r="I108">
            <v>0</v>
          </cell>
          <cell r="J108">
            <v>0</v>
          </cell>
          <cell r="K108">
            <v>0</v>
          </cell>
          <cell r="L108">
            <v>500</v>
          </cell>
          <cell r="M108">
            <v>1</v>
          </cell>
          <cell r="N108" t="str">
            <v>OK</v>
          </cell>
          <cell r="O108" t="str">
            <v>I-103</v>
          </cell>
        </row>
        <row r="109">
          <cell r="B109" t="str">
            <v>THREAD SUCKING MACHINE</v>
          </cell>
          <cell r="C109" t="str">
            <v>New</v>
          </cell>
          <cell r="D109" t="str">
            <v>SET</v>
          </cell>
          <cell r="E109">
            <v>5</v>
          </cell>
          <cell r="F109">
            <v>800</v>
          </cell>
          <cell r="G109">
            <v>4000</v>
          </cell>
          <cell r="H109" t="str">
            <v>N/A</v>
          </cell>
          <cell r="I109">
            <v>0</v>
          </cell>
          <cell r="J109">
            <v>0</v>
          </cell>
          <cell r="K109">
            <v>0</v>
          </cell>
          <cell r="L109">
            <v>5</v>
          </cell>
          <cell r="M109">
            <v>1</v>
          </cell>
          <cell r="N109" t="str">
            <v>OK</v>
          </cell>
          <cell r="O109" t="str">
            <v>I-104</v>
          </cell>
        </row>
        <row r="110">
          <cell r="B110" t="str">
            <v>ASSEMBLED ISOLATION NET</v>
          </cell>
          <cell r="C110" t="str">
            <v>New</v>
          </cell>
          <cell r="D110" t="str">
            <v>MTR</v>
          </cell>
          <cell r="E110">
            <v>500</v>
          </cell>
          <cell r="F110">
            <v>12</v>
          </cell>
          <cell r="G110">
            <v>6000</v>
          </cell>
          <cell r="H110" t="str">
            <v>N/A</v>
          </cell>
          <cell r="I110">
            <v>0</v>
          </cell>
          <cell r="J110">
            <v>0</v>
          </cell>
          <cell r="K110">
            <v>0</v>
          </cell>
          <cell r="L110">
            <v>500</v>
          </cell>
          <cell r="M110">
            <v>1</v>
          </cell>
          <cell r="N110" t="str">
            <v>OK</v>
          </cell>
          <cell r="O110" t="str">
            <v>I-105</v>
          </cell>
        </row>
        <row r="111">
          <cell r="B111" t="str">
            <v>STACKING RACK</v>
          </cell>
          <cell r="C111" t="str">
            <v>New</v>
          </cell>
          <cell r="D111" t="str">
            <v>SET</v>
          </cell>
          <cell r="E111">
            <v>200</v>
          </cell>
          <cell r="F111">
            <v>120</v>
          </cell>
          <cell r="G111">
            <v>24000</v>
          </cell>
          <cell r="H111" t="str">
            <v>N/A</v>
          </cell>
          <cell r="I111">
            <v>0</v>
          </cell>
          <cell r="J111">
            <v>0</v>
          </cell>
          <cell r="K111">
            <v>0</v>
          </cell>
          <cell r="L111">
            <v>200</v>
          </cell>
          <cell r="M111">
            <v>1</v>
          </cell>
          <cell r="N111" t="str">
            <v>OK</v>
          </cell>
          <cell r="O111" t="str">
            <v>I-106</v>
          </cell>
        </row>
        <row r="112">
          <cell r="B112" t="str">
            <v>WATER COOLING SYSTEM</v>
          </cell>
          <cell r="C112" t="str">
            <v>New</v>
          </cell>
          <cell r="D112" t="str">
            <v>SET</v>
          </cell>
          <cell r="E112">
            <v>20</v>
          </cell>
          <cell r="F112">
            <v>800</v>
          </cell>
          <cell r="G112">
            <v>16000</v>
          </cell>
          <cell r="H112" t="str">
            <v>N/A</v>
          </cell>
          <cell r="I112">
            <v>0</v>
          </cell>
          <cell r="J112">
            <v>0</v>
          </cell>
          <cell r="K112">
            <v>0</v>
          </cell>
          <cell r="L112">
            <v>20</v>
          </cell>
          <cell r="M112">
            <v>1</v>
          </cell>
          <cell r="N112" t="str">
            <v>OK</v>
          </cell>
          <cell r="O112" t="str">
            <v>I-107</v>
          </cell>
        </row>
        <row r="113">
          <cell r="B113" t="str">
            <v>SWITCH BOX</v>
          </cell>
          <cell r="C113" t="str">
            <v>New</v>
          </cell>
          <cell r="D113" t="str">
            <v>SET</v>
          </cell>
          <cell r="E113">
            <v>200</v>
          </cell>
          <cell r="F113">
            <v>8</v>
          </cell>
          <cell r="G113">
            <v>1600</v>
          </cell>
          <cell r="H113" t="str">
            <v>N/A</v>
          </cell>
          <cell r="I113">
            <v>0</v>
          </cell>
          <cell r="J113">
            <v>0</v>
          </cell>
          <cell r="K113">
            <v>0</v>
          </cell>
          <cell r="L113">
            <v>200</v>
          </cell>
          <cell r="M113">
            <v>1</v>
          </cell>
          <cell r="N113" t="str">
            <v>OK</v>
          </cell>
          <cell r="O113" t="str">
            <v>I-108</v>
          </cell>
        </row>
        <row r="114">
          <cell r="B114" t="str">
            <v>GALVANIZED PIPE</v>
          </cell>
          <cell r="C114" t="str">
            <v>New</v>
          </cell>
          <cell r="D114" t="str">
            <v>MTR</v>
          </cell>
          <cell r="E114">
            <v>0</v>
          </cell>
          <cell r="F114">
            <v>12</v>
          </cell>
          <cell r="G114">
            <v>0</v>
          </cell>
          <cell r="H114" t="str">
            <v>N/A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e">
            <v>#DIV/0!</v>
          </cell>
          <cell r="N114" t="e">
            <v>#DIV/0!</v>
          </cell>
          <cell r="O114" t="str">
            <v>I-109</v>
          </cell>
        </row>
        <row r="115">
          <cell r="B115" t="str">
            <v>PLASTIC PIPE</v>
          </cell>
          <cell r="C115" t="str">
            <v>New</v>
          </cell>
          <cell r="D115" t="str">
            <v>MTR</v>
          </cell>
          <cell r="E115">
            <v>0</v>
          </cell>
          <cell r="F115">
            <v>5</v>
          </cell>
          <cell r="G115">
            <v>0</v>
          </cell>
          <cell r="H115" t="str">
            <v>N/A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 t="e">
            <v>#DIV/0!</v>
          </cell>
          <cell r="N115" t="e">
            <v>#DIV/0!</v>
          </cell>
          <cell r="O115" t="str">
            <v>I-110</v>
          </cell>
        </row>
        <row r="116">
          <cell r="B116" t="str">
            <v>WATER TANK</v>
          </cell>
          <cell r="C116" t="str">
            <v>New</v>
          </cell>
          <cell r="D116" t="str">
            <v>SET</v>
          </cell>
          <cell r="E116">
            <v>5</v>
          </cell>
          <cell r="F116">
            <v>500</v>
          </cell>
          <cell r="G116">
            <v>2500</v>
          </cell>
          <cell r="H116" t="str">
            <v>N/A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  <cell r="M116">
            <v>1</v>
          </cell>
          <cell r="N116" t="str">
            <v>OK</v>
          </cell>
          <cell r="O116" t="str">
            <v>I-111</v>
          </cell>
        </row>
        <row r="117">
          <cell r="B117" t="str">
            <v>GALVANIZED BRIDGE FRAME</v>
          </cell>
          <cell r="C117" t="str">
            <v>New</v>
          </cell>
          <cell r="D117" t="str">
            <v>MTR</v>
          </cell>
          <cell r="E117">
            <v>0</v>
          </cell>
          <cell r="F117">
            <v>8</v>
          </cell>
          <cell r="G117">
            <v>0</v>
          </cell>
          <cell r="H117" t="str">
            <v>N/A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e">
            <v>#DIV/0!</v>
          </cell>
          <cell r="N117" t="e">
            <v>#DIV/0!</v>
          </cell>
          <cell r="O117" t="str">
            <v>I-112</v>
          </cell>
        </row>
        <row r="118">
          <cell r="B118" t="str">
            <v>PLASTIC WIRE TROUGH</v>
          </cell>
          <cell r="C118" t="str">
            <v>New</v>
          </cell>
          <cell r="D118" t="str">
            <v>MTR</v>
          </cell>
          <cell r="E118">
            <v>0</v>
          </cell>
          <cell r="F118">
            <v>1</v>
          </cell>
          <cell r="G118">
            <v>0</v>
          </cell>
          <cell r="H118" t="str">
            <v>N/A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 t="e">
            <v>#DIV/0!</v>
          </cell>
          <cell r="N118" t="e">
            <v>#DIV/0!</v>
          </cell>
          <cell r="O118" t="str">
            <v>I-113</v>
          </cell>
        </row>
        <row r="119">
          <cell r="B119" t="str">
            <v>GALVANIZED SQUARE PIPE</v>
          </cell>
          <cell r="C119" t="str">
            <v>New</v>
          </cell>
          <cell r="D119" t="str">
            <v>MTR</v>
          </cell>
          <cell r="E119">
            <v>0</v>
          </cell>
          <cell r="F119">
            <v>5</v>
          </cell>
          <cell r="G119">
            <v>0</v>
          </cell>
          <cell r="H119" t="str">
            <v>N/A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e">
            <v>#DIV/0!</v>
          </cell>
          <cell r="N119" t="e">
            <v>#DIV/0!</v>
          </cell>
          <cell r="O119" t="str">
            <v>I-114</v>
          </cell>
        </row>
        <row r="120">
          <cell r="B120" t="str">
            <v>FLAT LIGHTING</v>
          </cell>
          <cell r="C120" t="str">
            <v>New</v>
          </cell>
          <cell r="D120" t="str">
            <v>SET</v>
          </cell>
          <cell r="E120">
            <v>0</v>
          </cell>
          <cell r="F120">
            <v>13</v>
          </cell>
          <cell r="G120">
            <v>0</v>
          </cell>
          <cell r="H120" t="str">
            <v>N/A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e">
            <v>#DIV/0!</v>
          </cell>
          <cell r="N120" t="e">
            <v>#DIV/0!</v>
          </cell>
          <cell r="O120" t="str">
            <v>I-115</v>
          </cell>
        </row>
        <row r="121">
          <cell r="B121" t="str">
            <v>STEEL BAR</v>
          </cell>
          <cell r="C121" t="str">
            <v>New</v>
          </cell>
          <cell r="D121" t="str">
            <v>MTR</v>
          </cell>
          <cell r="E121">
            <v>0</v>
          </cell>
          <cell r="F121">
            <v>3</v>
          </cell>
          <cell r="G121">
            <v>0</v>
          </cell>
          <cell r="H121" t="str">
            <v>N/A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e">
            <v>#DIV/0!</v>
          </cell>
          <cell r="N121" t="e">
            <v>#DIV/0!</v>
          </cell>
          <cell r="O121" t="str">
            <v>I-116</v>
          </cell>
        </row>
        <row r="122">
          <cell r="B122" t="str">
            <v>GLASS DOOR</v>
          </cell>
          <cell r="C122" t="str">
            <v>New</v>
          </cell>
          <cell r="D122" t="str">
            <v>SET</v>
          </cell>
          <cell r="E122">
            <v>0</v>
          </cell>
          <cell r="F122">
            <v>350</v>
          </cell>
          <cell r="G122">
            <v>0</v>
          </cell>
          <cell r="H122" t="str">
            <v>N/A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 t="e">
            <v>#DIV/0!</v>
          </cell>
          <cell r="N122" t="e">
            <v>#DIV/0!</v>
          </cell>
          <cell r="O122" t="str">
            <v>I-117</v>
          </cell>
        </row>
        <row r="123">
          <cell r="B123" t="str">
            <v>GLASS WINDOW</v>
          </cell>
          <cell r="C123" t="str">
            <v>New</v>
          </cell>
          <cell r="D123" t="str">
            <v>SET</v>
          </cell>
          <cell r="E123">
            <v>0</v>
          </cell>
          <cell r="F123">
            <v>120</v>
          </cell>
          <cell r="G123">
            <v>0</v>
          </cell>
          <cell r="H123" t="str">
            <v>N/A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 t="e">
            <v>#DIV/0!</v>
          </cell>
          <cell r="N123" t="e">
            <v>#DIV/0!</v>
          </cell>
          <cell r="O123" t="str">
            <v>I-118</v>
          </cell>
        </row>
        <row r="124">
          <cell r="B124" t="str">
            <v>ALUMINUM TUBE</v>
          </cell>
          <cell r="C124" t="str">
            <v>New</v>
          </cell>
          <cell r="D124" t="str">
            <v>MTR</v>
          </cell>
          <cell r="E124">
            <v>0</v>
          </cell>
          <cell r="F124">
            <v>12</v>
          </cell>
          <cell r="G124">
            <v>0</v>
          </cell>
          <cell r="H124" t="str">
            <v>N/A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 t="e">
            <v>#DIV/0!</v>
          </cell>
          <cell r="N124" t="e">
            <v>#DIV/0!</v>
          </cell>
          <cell r="O124" t="str">
            <v>I-119</v>
          </cell>
        </row>
        <row r="125">
          <cell r="B125" t="str">
            <v>TEMPERED GLASS</v>
          </cell>
          <cell r="C125" t="str">
            <v>New</v>
          </cell>
          <cell r="D125" t="str">
            <v>MTK</v>
          </cell>
          <cell r="E125">
            <v>0</v>
          </cell>
          <cell r="F125">
            <v>35</v>
          </cell>
          <cell r="G125">
            <v>0</v>
          </cell>
          <cell r="H125" t="str">
            <v>N/A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e">
            <v>#DIV/0!</v>
          </cell>
          <cell r="N125" t="e">
            <v>#DIV/0!</v>
          </cell>
          <cell r="O125" t="str">
            <v>I-120</v>
          </cell>
        </row>
        <row r="126">
          <cell r="B126" t="str">
            <v>GYPSUM BOARD</v>
          </cell>
          <cell r="C126" t="str">
            <v>New</v>
          </cell>
          <cell r="D126" t="str">
            <v>MTK</v>
          </cell>
          <cell r="E126">
            <v>0</v>
          </cell>
          <cell r="F126">
            <v>5</v>
          </cell>
          <cell r="G126">
            <v>0</v>
          </cell>
          <cell r="H126" t="str">
            <v>N/A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e">
            <v>#DIV/0!</v>
          </cell>
          <cell r="N126" t="e">
            <v>#DIV/0!</v>
          </cell>
          <cell r="O126" t="str">
            <v>I-121</v>
          </cell>
        </row>
        <row r="127">
          <cell r="B127" t="str">
            <v>PLASTIC FRAME</v>
          </cell>
          <cell r="C127" t="str">
            <v>New</v>
          </cell>
          <cell r="D127" t="str">
            <v>SET</v>
          </cell>
          <cell r="E127">
            <v>100</v>
          </cell>
          <cell r="F127">
            <v>20</v>
          </cell>
          <cell r="G127">
            <v>2000</v>
          </cell>
          <cell r="H127" t="str">
            <v>N/A</v>
          </cell>
          <cell r="I127">
            <v>0</v>
          </cell>
          <cell r="J127">
            <v>0</v>
          </cell>
          <cell r="K127">
            <v>0</v>
          </cell>
          <cell r="L127">
            <v>100</v>
          </cell>
          <cell r="M127">
            <v>1</v>
          </cell>
          <cell r="N127" t="str">
            <v>OK</v>
          </cell>
          <cell r="O127" t="str">
            <v>I-122</v>
          </cell>
        </row>
        <row r="128">
          <cell r="B128" t="str">
            <v>BARCODE PRINTER MACHINE</v>
          </cell>
          <cell r="C128" t="str">
            <v>New</v>
          </cell>
          <cell r="D128" t="str">
            <v>SET</v>
          </cell>
          <cell r="E128">
            <v>3</v>
          </cell>
          <cell r="F128">
            <v>1000</v>
          </cell>
          <cell r="G128">
            <v>3000</v>
          </cell>
          <cell r="H128" t="str">
            <v>N/A</v>
          </cell>
          <cell r="I128">
            <v>0</v>
          </cell>
          <cell r="J128">
            <v>0</v>
          </cell>
          <cell r="K128">
            <v>0</v>
          </cell>
          <cell r="L128">
            <v>3</v>
          </cell>
          <cell r="M128">
            <v>1</v>
          </cell>
          <cell r="N128" t="str">
            <v>OK</v>
          </cell>
          <cell r="O128" t="str">
            <v>I-123</v>
          </cell>
        </row>
        <row r="129"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e">
            <v>#DIV/0!</v>
          </cell>
          <cell r="N129" t="e">
            <v>#DIV/0!</v>
          </cell>
        </row>
        <row r="130">
          <cell r="B130" t="str">
            <v>WOVEN FABRIC</v>
          </cell>
          <cell r="D130" t="str">
            <v>MTR</v>
          </cell>
          <cell r="E130">
            <v>900000</v>
          </cell>
          <cell r="F130">
            <v>1.8</v>
          </cell>
          <cell r="G130">
            <v>1620000</v>
          </cell>
          <cell r="H130" t="str">
            <v>N/A</v>
          </cell>
          <cell r="I130">
            <v>0</v>
          </cell>
          <cell r="J130">
            <v>0</v>
          </cell>
          <cell r="K130">
            <v>0</v>
          </cell>
          <cell r="L130">
            <v>900000</v>
          </cell>
          <cell r="M130">
            <v>1</v>
          </cell>
          <cell r="N130" t="str">
            <v>OK</v>
          </cell>
          <cell r="O130" t="str">
            <v>II-124</v>
          </cell>
        </row>
        <row r="131">
          <cell r="B131" t="str">
            <v>KNITTED FABRIC</v>
          </cell>
          <cell r="D131" t="str">
            <v>MTR</v>
          </cell>
          <cell r="E131">
            <v>900000</v>
          </cell>
          <cell r="F131">
            <v>1</v>
          </cell>
          <cell r="G131">
            <v>900000</v>
          </cell>
          <cell r="H131" t="str">
            <v>N/A</v>
          </cell>
          <cell r="I131">
            <v>0</v>
          </cell>
          <cell r="J131">
            <v>0</v>
          </cell>
          <cell r="K131">
            <v>0</v>
          </cell>
          <cell r="L131">
            <v>900000</v>
          </cell>
          <cell r="M131">
            <v>1</v>
          </cell>
          <cell r="N131" t="str">
            <v>OK</v>
          </cell>
          <cell r="O131" t="str">
            <v>II-125</v>
          </cell>
        </row>
        <row r="132"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e">
            <v>#DIV/0!</v>
          </cell>
          <cell r="N132" t="e">
            <v>#DIV/0!</v>
          </cell>
        </row>
        <row r="133">
          <cell r="B133" t="str">
            <v>NON-WOVEN FABRIC</v>
          </cell>
          <cell r="D133" t="str">
            <v>KGM</v>
          </cell>
          <cell r="E133">
            <v>1500000</v>
          </cell>
          <cell r="F133">
            <v>4</v>
          </cell>
          <cell r="G133">
            <v>6000000</v>
          </cell>
          <cell r="H133" t="str">
            <v>N/A</v>
          </cell>
          <cell r="I133">
            <v>0</v>
          </cell>
          <cell r="J133">
            <v>0</v>
          </cell>
          <cell r="K133">
            <v>0</v>
          </cell>
          <cell r="L133">
            <v>1500000</v>
          </cell>
          <cell r="M133">
            <v>1</v>
          </cell>
          <cell r="N133" t="str">
            <v>OK</v>
          </cell>
          <cell r="O133" t="str">
            <v>III-126</v>
          </cell>
        </row>
        <row r="134">
          <cell r="B134" t="str">
            <v>KNITTED RIB</v>
          </cell>
          <cell r="D134" t="str">
            <v>KGM</v>
          </cell>
          <cell r="E134">
            <v>374000</v>
          </cell>
          <cell r="F134">
            <v>2</v>
          </cell>
          <cell r="G134">
            <v>748000</v>
          </cell>
          <cell r="H134" t="str">
            <v>N/A</v>
          </cell>
          <cell r="I134">
            <v>0</v>
          </cell>
          <cell r="J134">
            <v>0</v>
          </cell>
          <cell r="K134">
            <v>0</v>
          </cell>
          <cell r="L134">
            <v>374000</v>
          </cell>
          <cell r="M134">
            <v>1</v>
          </cell>
          <cell r="N134" t="str">
            <v>OK</v>
          </cell>
          <cell r="O134" t="str">
            <v>III-127</v>
          </cell>
        </row>
        <row r="135">
          <cell r="B135" t="str">
            <v>LINING FABRIC</v>
          </cell>
          <cell r="D135" t="str">
            <v>KGM</v>
          </cell>
          <cell r="E135">
            <v>234000</v>
          </cell>
          <cell r="F135">
            <v>3</v>
          </cell>
          <cell r="G135">
            <v>702000</v>
          </cell>
          <cell r="H135" t="str">
            <v>N/A</v>
          </cell>
          <cell r="I135">
            <v>0</v>
          </cell>
          <cell r="J135">
            <v>0</v>
          </cell>
          <cell r="K135">
            <v>0</v>
          </cell>
          <cell r="L135">
            <v>234000</v>
          </cell>
          <cell r="M135">
            <v>1</v>
          </cell>
          <cell r="N135" t="str">
            <v>OK</v>
          </cell>
          <cell r="O135" t="str">
            <v>III-128</v>
          </cell>
        </row>
        <row r="136">
          <cell r="B136" t="str">
            <v>YOKE</v>
          </cell>
          <cell r="D136" t="str">
            <v>DZN</v>
          </cell>
          <cell r="E136">
            <v>334000</v>
          </cell>
          <cell r="F136">
            <v>2</v>
          </cell>
          <cell r="G136">
            <v>668000</v>
          </cell>
          <cell r="H136" t="str">
            <v>N/A</v>
          </cell>
          <cell r="I136">
            <v>0</v>
          </cell>
          <cell r="J136">
            <v>0</v>
          </cell>
          <cell r="K136">
            <v>0</v>
          </cell>
          <cell r="L136">
            <v>334000</v>
          </cell>
          <cell r="M136">
            <v>1</v>
          </cell>
          <cell r="N136" t="str">
            <v>OK</v>
          </cell>
          <cell r="O136" t="str">
            <v>III-129</v>
          </cell>
        </row>
        <row r="137">
          <cell r="B137" t="str">
            <v>INTERLINING</v>
          </cell>
          <cell r="D137" t="str">
            <v>MTR</v>
          </cell>
          <cell r="E137">
            <v>1000000</v>
          </cell>
          <cell r="F137">
            <v>0.2</v>
          </cell>
          <cell r="G137">
            <v>200000</v>
          </cell>
          <cell r="H137" t="str">
            <v>N/A</v>
          </cell>
          <cell r="I137">
            <v>0</v>
          </cell>
          <cell r="J137">
            <v>0</v>
          </cell>
          <cell r="K137">
            <v>0</v>
          </cell>
          <cell r="L137">
            <v>1000000</v>
          </cell>
          <cell r="M137">
            <v>1</v>
          </cell>
          <cell r="N137" t="str">
            <v>OK</v>
          </cell>
          <cell r="O137" t="str">
            <v>III-130</v>
          </cell>
        </row>
        <row r="138">
          <cell r="B138" t="str">
            <v>PU FABRIC</v>
          </cell>
          <cell r="D138" t="str">
            <v>MTR</v>
          </cell>
          <cell r="E138">
            <v>14000</v>
          </cell>
          <cell r="F138">
            <v>3</v>
          </cell>
          <cell r="G138">
            <v>42000</v>
          </cell>
          <cell r="H138" t="str">
            <v>N/A</v>
          </cell>
          <cell r="I138">
            <v>0</v>
          </cell>
          <cell r="J138">
            <v>0</v>
          </cell>
          <cell r="K138">
            <v>0</v>
          </cell>
          <cell r="L138">
            <v>14000</v>
          </cell>
          <cell r="M138">
            <v>1</v>
          </cell>
          <cell r="N138" t="str">
            <v>OK</v>
          </cell>
          <cell r="O138" t="str">
            <v>III-131</v>
          </cell>
        </row>
        <row r="139">
          <cell r="B139" t="str">
            <v>NYLON THREAD</v>
          </cell>
          <cell r="D139" t="str">
            <v>UNT</v>
          </cell>
          <cell r="E139">
            <v>300000</v>
          </cell>
          <cell r="F139">
            <v>0.45</v>
          </cell>
          <cell r="G139">
            <v>135000</v>
          </cell>
          <cell r="H139" t="str">
            <v>1UNIT=100~10000 M</v>
          </cell>
          <cell r="I139">
            <v>0</v>
          </cell>
          <cell r="J139">
            <v>0</v>
          </cell>
          <cell r="K139">
            <v>0</v>
          </cell>
          <cell r="L139">
            <v>300000</v>
          </cell>
          <cell r="M139">
            <v>1</v>
          </cell>
          <cell r="N139" t="str">
            <v>OK</v>
          </cell>
          <cell r="O139" t="str">
            <v>III-132</v>
          </cell>
        </row>
        <row r="140">
          <cell r="B140" t="str">
            <v>COTTON THREAD</v>
          </cell>
          <cell r="D140" t="str">
            <v>UNT</v>
          </cell>
          <cell r="E140">
            <v>134000</v>
          </cell>
          <cell r="F140">
            <v>0.45</v>
          </cell>
          <cell r="G140">
            <v>60300</v>
          </cell>
          <cell r="H140" t="str">
            <v>1UNIT=100~10000 M</v>
          </cell>
          <cell r="I140">
            <v>0</v>
          </cell>
          <cell r="J140">
            <v>0</v>
          </cell>
          <cell r="K140">
            <v>0</v>
          </cell>
          <cell r="L140">
            <v>134000</v>
          </cell>
          <cell r="M140">
            <v>1</v>
          </cell>
          <cell r="N140" t="str">
            <v>OK</v>
          </cell>
          <cell r="O140" t="str">
            <v>III-133</v>
          </cell>
        </row>
        <row r="141">
          <cell r="B141" t="str">
            <v>POLYESTER THREAD</v>
          </cell>
          <cell r="D141" t="str">
            <v>UNT</v>
          </cell>
          <cell r="E141">
            <v>300000</v>
          </cell>
          <cell r="F141">
            <v>0.45</v>
          </cell>
          <cell r="G141">
            <v>135000</v>
          </cell>
          <cell r="H141" t="str">
            <v>1UNIT=100~10000 M</v>
          </cell>
          <cell r="I141">
            <v>0</v>
          </cell>
          <cell r="J141">
            <v>0</v>
          </cell>
          <cell r="K141">
            <v>0</v>
          </cell>
          <cell r="L141">
            <v>300000</v>
          </cell>
          <cell r="M141">
            <v>1</v>
          </cell>
          <cell r="N141" t="str">
            <v>OK</v>
          </cell>
          <cell r="O141" t="str">
            <v>III-134</v>
          </cell>
        </row>
        <row r="142">
          <cell r="B142" t="str">
            <v>ELASTIC THREAD</v>
          </cell>
          <cell r="D142" t="str">
            <v>UNT</v>
          </cell>
          <cell r="E142">
            <v>50000</v>
          </cell>
          <cell r="F142">
            <v>0.4</v>
          </cell>
          <cell r="G142">
            <v>20000</v>
          </cell>
          <cell r="H142" t="str">
            <v>1UNIT=100~10000 M</v>
          </cell>
          <cell r="I142">
            <v>0</v>
          </cell>
          <cell r="J142">
            <v>0</v>
          </cell>
          <cell r="K142">
            <v>0</v>
          </cell>
          <cell r="L142">
            <v>50000</v>
          </cell>
          <cell r="M142">
            <v>1</v>
          </cell>
          <cell r="N142" t="str">
            <v>OK</v>
          </cell>
          <cell r="O142" t="str">
            <v>III-135</v>
          </cell>
        </row>
        <row r="143">
          <cell r="B143" t="str">
            <v>EMBROIDERY THREAD</v>
          </cell>
          <cell r="D143" t="str">
            <v>UNT</v>
          </cell>
          <cell r="E143">
            <v>9000</v>
          </cell>
          <cell r="F143">
            <v>0.5</v>
          </cell>
          <cell r="G143">
            <v>4500</v>
          </cell>
          <cell r="H143" t="str">
            <v>1UNIT=100~10000 M</v>
          </cell>
          <cell r="I143">
            <v>0</v>
          </cell>
          <cell r="J143">
            <v>0</v>
          </cell>
          <cell r="K143">
            <v>0</v>
          </cell>
          <cell r="L143">
            <v>9000</v>
          </cell>
          <cell r="M143">
            <v>1</v>
          </cell>
          <cell r="N143" t="str">
            <v>OK</v>
          </cell>
          <cell r="O143" t="str">
            <v>III-136</v>
          </cell>
        </row>
        <row r="144">
          <cell r="B144" t="str">
            <v>NYLON ZIPPER</v>
          </cell>
          <cell r="D144" t="str">
            <v>DZN</v>
          </cell>
          <cell r="E144">
            <v>400000</v>
          </cell>
          <cell r="F144">
            <v>1.8</v>
          </cell>
          <cell r="G144">
            <v>720000</v>
          </cell>
          <cell r="H144" t="str">
            <v>N/A</v>
          </cell>
          <cell r="I144">
            <v>0</v>
          </cell>
          <cell r="J144">
            <v>0</v>
          </cell>
          <cell r="K144">
            <v>0</v>
          </cell>
          <cell r="L144">
            <v>400000</v>
          </cell>
          <cell r="M144">
            <v>1</v>
          </cell>
          <cell r="N144" t="str">
            <v>OK</v>
          </cell>
          <cell r="O144" t="str">
            <v>III-137</v>
          </cell>
        </row>
        <row r="145">
          <cell r="B145" t="str">
            <v>METAL ZIPPER</v>
          </cell>
          <cell r="D145" t="str">
            <v>DZN</v>
          </cell>
          <cell r="E145">
            <v>200000</v>
          </cell>
          <cell r="F145">
            <v>1.5</v>
          </cell>
          <cell r="G145">
            <v>300000</v>
          </cell>
          <cell r="H145" t="str">
            <v>N/A</v>
          </cell>
          <cell r="I145">
            <v>0</v>
          </cell>
          <cell r="J145">
            <v>0</v>
          </cell>
          <cell r="K145">
            <v>0</v>
          </cell>
          <cell r="L145">
            <v>200000</v>
          </cell>
          <cell r="M145">
            <v>1</v>
          </cell>
          <cell r="N145" t="str">
            <v>OK</v>
          </cell>
          <cell r="O145" t="str">
            <v>III-138</v>
          </cell>
        </row>
        <row r="146">
          <cell r="B146" t="str">
            <v>PLASTIC ZIPPER</v>
          </cell>
          <cell r="D146" t="str">
            <v>DZN</v>
          </cell>
          <cell r="E146">
            <v>400000</v>
          </cell>
          <cell r="F146">
            <v>1.2</v>
          </cell>
          <cell r="G146">
            <v>480000</v>
          </cell>
          <cell r="H146" t="str">
            <v>N/A</v>
          </cell>
          <cell r="I146">
            <v>0</v>
          </cell>
          <cell r="J146">
            <v>0</v>
          </cell>
          <cell r="K146">
            <v>0</v>
          </cell>
          <cell r="L146">
            <v>400000</v>
          </cell>
          <cell r="M146">
            <v>1</v>
          </cell>
          <cell r="N146" t="str">
            <v>OK</v>
          </cell>
          <cell r="O146" t="str">
            <v>III-139</v>
          </cell>
        </row>
        <row r="147">
          <cell r="B147" t="str">
            <v>MAIN LABEL</v>
          </cell>
          <cell r="D147" t="str">
            <v>DZN</v>
          </cell>
          <cell r="E147">
            <v>400000</v>
          </cell>
          <cell r="F147">
            <v>0.05</v>
          </cell>
          <cell r="G147">
            <v>20000</v>
          </cell>
          <cell r="H147" t="str">
            <v>N/A</v>
          </cell>
          <cell r="I147">
            <v>0</v>
          </cell>
          <cell r="J147">
            <v>0</v>
          </cell>
          <cell r="K147">
            <v>0</v>
          </cell>
          <cell r="L147">
            <v>400000</v>
          </cell>
          <cell r="M147">
            <v>1</v>
          </cell>
          <cell r="N147" t="str">
            <v>OK</v>
          </cell>
          <cell r="O147" t="str">
            <v>III-140</v>
          </cell>
        </row>
        <row r="148">
          <cell r="B148" t="str">
            <v>SIZE LABEL</v>
          </cell>
          <cell r="D148" t="str">
            <v>DZN</v>
          </cell>
          <cell r="E148">
            <v>400000</v>
          </cell>
          <cell r="F148">
            <v>0.05</v>
          </cell>
          <cell r="G148">
            <v>20000</v>
          </cell>
          <cell r="H148" t="str">
            <v>N/A</v>
          </cell>
          <cell r="I148">
            <v>0</v>
          </cell>
          <cell r="J148">
            <v>0</v>
          </cell>
          <cell r="K148">
            <v>0</v>
          </cell>
          <cell r="L148">
            <v>400000</v>
          </cell>
          <cell r="M148">
            <v>1</v>
          </cell>
          <cell r="N148" t="str">
            <v>OK</v>
          </cell>
          <cell r="O148" t="str">
            <v>III-141</v>
          </cell>
        </row>
        <row r="149">
          <cell r="B149" t="str">
            <v>LEATHER PATCH</v>
          </cell>
          <cell r="D149" t="str">
            <v>DZN</v>
          </cell>
          <cell r="E149">
            <v>250000</v>
          </cell>
          <cell r="F149">
            <v>0.15</v>
          </cell>
          <cell r="G149">
            <v>37500</v>
          </cell>
          <cell r="H149" t="str">
            <v>N/A</v>
          </cell>
          <cell r="I149">
            <v>0</v>
          </cell>
          <cell r="J149">
            <v>0</v>
          </cell>
          <cell r="K149">
            <v>0</v>
          </cell>
          <cell r="L149">
            <v>250000</v>
          </cell>
          <cell r="M149">
            <v>1</v>
          </cell>
          <cell r="N149" t="str">
            <v>OK</v>
          </cell>
          <cell r="O149" t="str">
            <v>III-142</v>
          </cell>
        </row>
        <row r="150">
          <cell r="B150" t="str">
            <v>PRINTED LABEL</v>
          </cell>
          <cell r="D150" t="str">
            <v>DZN</v>
          </cell>
          <cell r="E150">
            <v>300000</v>
          </cell>
          <cell r="F150">
            <v>0.05</v>
          </cell>
          <cell r="G150">
            <v>15000</v>
          </cell>
          <cell r="H150" t="str">
            <v>N/A</v>
          </cell>
          <cell r="I150">
            <v>0</v>
          </cell>
          <cell r="J150">
            <v>0</v>
          </cell>
          <cell r="K150">
            <v>0</v>
          </cell>
          <cell r="L150">
            <v>300000</v>
          </cell>
          <cell r="M150">
            <v>1</v>
          </cell>
          <cell r="N150" t="str">
            <v>OK</v>
          </cell>
          <cell r="O150" t="str">
            <v>III-143</v>
          </cell>
        </row>
        <row r="151">
          <cell r="B151" t="str">
            <v>CARE LABEL</v>
          </cell>
          <cell r="D151" t="str">
            <v>DZN</v>
          </cell>
          <cell r="E151">
            <v>300000</v>
          </cell>
          <cell r="F151">
            <v>0.05</v>
          </cell>
          <cell r="G151">
            <v>15000</v>
          </cell>
          <cell r="H151" t="str">
            <v>N/A</v>
          </cell>
          <cell r="I151">
            <v>0</v>
          </cell>
          <cell r="J151">
            <v>0</v>
          </cell>
          <cell r="K151">
            <v>0</v>
          </cell>
          <cell r="L151">
            <v>300000</v>
          </cell>
          <cell r="M151">
            <v>1</v>
          </cell>
          <cell r="N151" t="str">
            <v>OK</v>
          </cell>
          <cell r="O151" t="str">
            <v>III-144</v>
          </cell>
        </row>
        <row r="152">
          <cell r="B152" t="str">
            <v>BADGE</v>
          </cell>
          <cell r="D152" t="str">
            <v>DZN</v>
          </cell>
          <cell r="E152">
            <v>250000</v>
          </cell>
          <cell r="F152">
            <v>0.2</v>
          </cell>
          <cell r="G152">
            <v>50000</v>
          </cell>
          <cell r="H152" t="str">
            <v>N/A</v>
          </cell>
          <cell r="I152">
            <v>0</v>
          </cell>
          <cell r="J152">
            <v>0</v>
          </cell>
          <cell r="K152">
            <v>0</v>
          </cell>
          <cell r="L152">
            <v>250000</v>
          </cell>
          <cell r="M152">
            <v>1</v>
          </cell>
          <cell r="N152" t="str">
            <v>OK</v>
          </cell>
          <cell r="O152" t="str">
            <v>III-145</v>
          </cell>
        </row>
        <row r="153">
          <cell r="B153" t="str">
            <v>WOVEN LABEL</v>
          </cell>
          <cell r="D153" t="str">
            <v>DZN</v>
          </cell>
          <cell r="E153">
            <v>300000</v>
          </cell>
          <cell r="F153">
            <v>0.05</v>
          </cell>
          <cell r="G153">
            <v>15000</v>
          </cell>
          <cell r="H153" t="str">
            <v>N/A</v>
          </cell>
          <cell r="I153">
            <v>0</v>
          </cell>
          <cell r="J153">
            <v>0</v>
          </cell>
          <cell r="K153">
            <v>0</v>
          </cell>
          <cell r="L153">
            <v>300000</v>
          </cell>
          <cell r="M153">
            <v>1</v>
          </cell>
          <cell r="N153" t="str">
            <v>OK</v>
          </cell>
          <cell r="O153" t="str">
            <v>III-146</v>
          </cell>
        </row>
        <row r="154">
          <cell r="B154" t="str">
            <v>EMBROIDERY PATCH</v>
          </cell>
          <cell r="D154" t="str">
            <v>DZN</v>
          </cell>
          <cell r="E154">
            <v>250000</v>
          </cell>
          <cell r="F154">
            <v>0.8</v>
          </cell>
          <cell r="G154">
            <v>200000</v>
          </cell>
          <cell r="H154" t="str">
            <v>N/A</v>
          </cell>
          <cell r="I154">
            <v>0</v>
          </cell>
          <cell r="J154">
            <v>0</v>
          </cell>
          <cell r="K154">
            <v>0</v>
          </cell>
          <cell r="L154">
            <v>250000</v>
          </cell>
          <cell r="M154">
            <v>1</v>
          </cell>
          <cell r="N154" t="str">
            <v>OK</v>
          </cell>
          <cell r="O154" t="str">
            <v>III-147</v>
          </cell>
        </row>
        <row r="155">
          <cell r="B155" t="str">
            <v>HEAT TRANSFER LABEL</v>
          </cell>
          <cell r="D155" t="str">
            <v>DZN</v>
          </cell>
          <cell r="E155">
            <v>300000</v>
          </cell>
          <cell r="F155">
            <v>0.05</v>
          </cell>
          <cell r="G155">
            <v>15000</v>
          </cell>
          <cell r="H155" t="str">
            <v>N/A</v>
          </cell>
          <cell r="I155">
            <v>0</v>
          </cell>
          <cell r="J155">
            <v>0</v>
          </cell>
          <cell r="K155">
            <v>0</v>
          </cell>
          <cell r="L155">
            <v>300000</v>
          </cell>
          <cell r="M155">
            <v>1</v>
          </cell>
          <cell r="N155" t="str">
            <v>OK</v>
          </cell>
          <cell r="O155" t="str">
            <v>III-148</v>
          </cell>
        </row>
        <row r="156">
          <cell r="B156" t="str">
            <v>PO LABEL</v>
          </cell>
          <cell r="D156" t="str">
            <v>DZN</v>
          </cell>
          <cell r="E156">
            <v>300000</v>
          </cell>
          <cell r="F156">
            <v>0.05</v>
          </cell>
          <cell r="G156">
            <v>15000</v>
          </cell>
          <cell r="H156" t="str">
            <v>N/A</v>
          </cell>
          <cell r="I156">
            <v>0</v>
          </cell>
          <cell r="J156">
            <v>0</v>
          </cell>
          <cell r="K156">
            <v>0</v>
          </cell>
          <cell r="L156">
            <v>300000</v>
          </cell>
          <cell r="M156">
            <v>1</v>
          </cell>
          <cell r="N156" t="str">
            <v>OK</v>
          </cell>
          <cell r="O156" t="str">
            <v>III-149</v>
          </cell>
        </row>
        <row r="157">
          <cell r="B157" t="str">
            <v>SHOULDER TAPE</v>
          </cell>
          <cell r="D157" t="str">
            <v>MTR</v>
          </cell>
          <cell r="E157">
            <v>1000000</v>
          </cell>
          <cell r="F157">
            <v>0.01</v>
          </cell>
          <cell r="G157">
            <v>10000</v>
          </cell>
          <cell r="H157" t="str">
            <v>N/A</v>
          </cell>
          <cell r="I157">
            <v>0</v>
          </cell>
          <cell r="J157">
            <v>0</v>
          </cell>
          <cell r="K157">
            <v>0</v>
          </cell>
          <cell r="L157">
            <v>1000000</v>
          </cell>
          <cell r="M157">
            <v>1</v>
          </cell>
          <cell r="N157" t="str">
            <v>OK</v>
          </cell>
          <cell r="O157" t="str">
            <v>III-150</v>
          </cell>
        </row>
        <row r="158">
          <cell r="B158" t="str">
            <v>HERRINGBONE TAPE</v>
          </cell>
          <cell r="D158" t="str">
            <v>MTR</v>
          </cell>
          <cell r="E158">
            <v>1000000</v>
          </cell>
          <cell r="F158">
            <v>0.02</v>
          </cell>
          <cell r="G158">
            <v>20000</v>
          </cell>
          <cell r="H158" t="str">
            <v>N/A</v>
          </cell>
          <cell r="I158">
            <v>0</v>
          </cell>
          <cell r="J158">
            <v>0</v>
          </cell>
          <cell r="K158">
            <v>0</v>
          </cell>
          <cell r="L158">
            <v>1000000</v>
          </cell>
          <cell r="M158">
            <v>1</v>
          </cell>
          <cell r="N158" t="str">
            <v>OK</v>
          </cell>
          <cell r="O158" t="str">
            <v>III-151</v>
          </cell>
        </row>
        <row r="159">
          <cell r="B159" t="str">
            <v>WOVEN TAPE</v>
          </cell>
          <cell r="D159" t="str">
            <v>MTR</v>
          </cell>
          <cell r="E159">
            <v>1000000</v>
          </cell>
          <cell r="F159">
            <v>0.02</v>
          </cell>
          <cell r="G159">
            <v>20000</v>
          </cell>
          <cell r="H159" t="str">
            <v>N/A</v>
          </cell>
          <cell r="I159">
            <v>0</v>
          </cell>
          <cell r="J159">
            <v>0</v>
          </cell>
          <cell r="K159">
            <v>0</v>
          </cell>
          <cell r="L159">
            <v>1000000</v>
          </cell>
          <cell r="M159">
            <v>1</v>
          </cell>
          <cell r="N159" t="str">
            <v>OK</v>
          </cell>
          <cell r="O159" t="str">
            <v>III-152</v>
          </cell>
        </row>
        <row r="160">
          <cell r="B160" t="str">
            <v>COTTON TAPE</v>
          </cell>
          <cell r="D160" t="str">
            <v>MTR</v>
          </cell>
          <cell r="E160">
            <v>1500000</v>
          </cell>
          <cell r="F160">
            <v>0.02</v>
          </cell>
          <cell r="G160">
            <v>30000</v>
          </cell>
          <cell r="H160" t="str">
            <v>N/A</v>
          </cell>
          <cell r="I160">
            <v>0</v>
          </cell>
          <cell r="J160">
            <v>0</v>
          </cell>
          <cell r="K160">
            <v>0</v>
          </cell>
          <cell r="L160">
            <v>1500000</v>
          </cell>
          <cell r="M160">
            <v>1</v>
          </cell>
          <cell r="N160" t="str">
            <v>OK</v>
          </cell>
          <cell r="O160" t="str">
            <v>III-153</v>
          </cell>
        </row>
        <row r="161">
          <cell r="B161" t="str">
            <v>ELASTIC TAPE</v>
          </cell>
          <cell r="D161" t="str">
            <v>MTR</v>
          </cell>
          <cell r="E161">
            <v>1500000</v>
          </cell>
          <cell r="F161">
            <v>0.03</v>
          </cell>
          <cell r="G161">
            <v>45000</v>
          </cell>
          <cell r="H161" t="str">
            <v>N/A</v>
          </cell>
          <cell r="I161">
            <v>0</v>
          </cell>
          <cell r="J161">
            <v>0</v>
          </cell>
          <cell r="K161">
            <v>0</v>
          </cell>
          <cell r="L161">
            <v>1500000</v>
          </cell>
          <cell r="M161">
            <v>1</v>
          </cell>
          <cell r="N161" t="str">
            <v>OK</v>
          </cell>
          <cell r="O161" t="str">
            <v>III-154</v>
          </cell>
        </row>
        <row r="162">
          <cell r="B162" t="str">
            <v>DRAWSTRING (DOZ)</v>
          </cell>
          <cell r="D162" t="str">
            <v>DZN</v>
          </cell>
          <cell r="E162">
            <v>300000</v>
          </cell>
          <cell r="F162">
            <v>0.1</v>
          </cell>
          <cell r="G162">
            <v>30000</v>
          </cell>
          <cell r="H162" t="str">
            <v>N/A</v>
          </cell>
          <cell r="I162">
            <v>0</v>
          </cell>
          <cell r="J162">
            <v>0</v>
          </cell>
          <cell r="K162">
            <v>0</v>
          </cell>
          <cell r="L162">
            <v>300000</v>
          </cell>
          <cell r="M162">
            <v>1</v>
          </cell>
          <cell r="N162" t="str">
            <v>OK</v>
          </cell>
          <cell r="O162" t="str">
            <v>III-155</v>
          </cell>
        </row>
        <row r="163">
          <cell r="B163" t="str">
            <v>DRAWSTRING (M)</v>
          </cell>
          <cell r="D163" t="str">
            <v>MTR</v>
          </cell>
          <cell r="E163">
            <v>300000</v>
          </cell>
          <cell r="F163">
            <v>0.01</v>
          </cell>
          <cell r="G163">
            <v>3000</v>
          </cell>
          <cell r="H163" t="str">
            <v>N/A</v>
          </cell>
          <cell r="I163">
            <v>0</v>
          </cell>
          <cell r="J163">
            <v>0</v>
          </cell>
          <cell r="K163">
            <v>0</v>
          </cell>
          <cell r="L163">
            <v>300000</v>
          </cell>
          <cell r="M163">
            <v>1</v>
          </cell>
          <cell r="N163" t="str">
            <v>OK</v>
          </cell>
          <cell r="O163" t="str">
            <v>III-156</v>
          </cell>
        </row>
        <row r="164">
          <cell r="B164" t="str">
            <v>ELASTIC STRING</v>
          </cell>
          <cell r="D164" t="str">
            <v>MTR</v>
          </cell>
          <cell r="E164">
            <v>1000000</v>
          </cell>
          <cell r="F164">
            <v>0.01</v>
          </cell>
          <cell r="G164">
            <v>10000</v>
          </cell>
          <cell r="H164" t="str">
            <v>N/A</v>
          </cell>
          <cell r="I164">
            <v>0</v>
          </cell>
          <cell r="J164">
            <v>0</v>
          </cell>
          <cell r="K164">
            <v>0</v>
          </cell>
          <cell r="L164">
            <v>1000000</v>
          </cell>
          <cell r="M164">
            <v>1</v>
          </cell>
          <cell r="N164" t="str">
            <v>OK</v>
          </cell>
          <cell r="O164" t="str">
            <v>III-157</v>
          </cell>
        </row>
        <row r="165">
          <cell r="B165" t="str">
            <v>ELASTIC BAND</v>
          </cell>
          <cell r="D165" t="str">
            <v>MTR</v>
          </cell>
          <cell r="E165">
            <v>800000</v>
          </cell>
          <cell r="F165">
            <v>0.04</v>
          </cell>
          <cell r="G165">
            <v>32000</v>
          </cell>
          <cell r="H165" t="str">
            <v>N/A</v>
          </cell>
          <cell r="I165">
            <v>0</v>
          </cell>
          <cell r="J165">
            <v>0</v>
          </cell>
          <cell r="K165">
            <v>0</v>
          </cell>
          <cell r="L165">
            <v>800000</v>
          </cell>
          <cell r="M165">
            <v>1</v>
          </cell>
          <cell r="N165" t="str">
            <v>OK</v>
          </cell>
          <cell r="O165" t="str">
            <v>III-158</v>
          </cell>
        </row>
        <row r="166">
          <cell r="B166" t="str">
            <v>PIPING</v>
          </cell>
          <cell r="D166" t="str">
            <v>MTR</v>
          </cell>
          <cell r="E166">
            <v>1000000</v>
          </cell>
          <cell r="F166">
            <v>0.01</v>
          </cell>
          <cell r="G166">
            <v>10000</v>
          </cell>
          <cell r="H166" t="str">
            <v>N/A</v>
          </cell>
          <cell r="I166">
            <v>0</v>
          </cell>
          <cell r="J166">
            <v>0</v>
          </cell>
          <cell r="K166">
            <v>0</v>
          </cell>
          <cell r="L166">
            <v>1000000</v>
          </cell>
          <cell r="M166">
            <v>1</v>
          </cell>
          <cell r="N166" t="str">
            <v>OK</v>
          </cell>
          <cell r="O166" t="str">
            <v>III-159</v>
          </cell>
        </row>
        <row r="167">
          <cell r="B167" t="str">
            <v>VELCRO</v>
          </cell>
          <cell r="D167" t="str">
            <v>MTR</v>
          </cell>
          <cell r="E167">
            <v>50000</v>
          </cell>
          <cell r="F167">
            <v>7.0000000000000007E-2</v>
          </cell>
          <cell r="G167">
            <v>3500.0000000000005</v>
          </cell>
          <cell r="H167" t="str">
            <v>N/A</v>
          </cell>
          <cell r="I167">
            <v>0</v>
          </cell>
          <cell r="J167">
            <v>0</v>
          </cell>
          <cell r="K167">
            <v>0</v>
          </cell>
          <cell r="L167">
            <v>50000</v>
          </cell>
          <cell r="M167">
            <v>1</v>
          </cell>
          <cell r="N167" t="str">
            <v>OK</v>
          </cell>
          <cell r="O167" t="str">
            <v>III-160</v>
          </cell>
        </row>
        <row r="168">
          <cell r="B168" t="str">
            <v>STICKER</v>
          </cell>
          <cell r="D168" t="str">
            <v>DZN</v>
          </cell>
          <cell r="E168">
            <v>200000</v>
          </cell>
          <cell r="F168">
            <v>0.1</v>
          </cell>
          <cell r="G168">
            <v>20000</v>
          </cell>
          <cell r="H168" t="str">
            <v>N/A</v>
          </cell>
          <cell r="I168">
            <v>0</v>
          </cell>
          <cell r="J168">
            <v>0</v>
          </cell>
          <cell r="K168">
            <v>0</v>
          </cell>
          <cell r="L168">
            <v>200000</v>
          </cell>
          <cell r="M168">
            <v>1</v>
          </cell>
          <cell r="N168" t="str">
            <v>OK</v>
          </cell>
          <cell r="O168" t="str">
            <v>III-161</v>
          </cell>
        </row>
        <row r="169">
          <cell r="B169" t="str">
            <v>SIZE STICKER</v>
          </cell>
          <cell r="D169" t="str">
            <v>DZN</v>
          </cell>
          <cell r="E169">
            <v>200000</v>
          </cell>
          <cell r="F169">
            <v>0.1</v>
          </cell>
          <cell r="G169">
            <v>20000</v>
          </cell>
          <cell r="H169" t="str">
            <v>N/A</v>
          </cell>
          <cell r="I169">
            <v>0</v>
          </cell>
          <cell r="J169">
            <v>0</v>
          </cell>
          <cell r="K169">
            <v>0</v>
          </cell>
          <cell r="L169">
            <v>200000</v>
          </cell>
          <cell r="M169">
            <v>1</v>
          </cell>
          <cell r="N169" t="str">
            <v>OK</v>
          </cell>
          <cell r="O169" t="str">
            <v>III-162</v>
          </cell>
        </row>
        <row r="170">
          <cell r="B170" t="str">
            <v>PRICE STICKER</v>
          </cell>
          <cell r="D170" t="str">
            <v>DZN</v>
          </cell>
          <cell r="E170">
            <v>200000</v>
          </cell>
          <cell r="F170">
            <v>0.1</v>
          </cell>
          <cell r="G170">
            <v>20000</v>
          </cell>
          <cell r="H170" t="str">
            <v>N/A</v>
          </cell>
          <cell r="I170">
            <v>0</v>
          </cell>
          <cell r="J170">
            <v>0</v>
          </cell>
          <cell r="K170">
            <v>0</v>
          </cell>
          <cell r="L170">
            <v>200000</v>
          </cell>
          <cell r="M170">
            <v>1</v>
          </cell>
          <cell r="N170" t="str">
            <v>OK</v>
          </cell>
          <cell r="O170" t="str">
            <v>III-163</v>
          </cell>
        </row>
        <row r="171">
          <cell r="B171" t="str">
            <v>HANGER STICKER</v>
          </cell>
          <cell r="D171" t="str">
            <v>DZN</v>
          </cell>
          <cell r="E171">
            <v>200000</v>
          </cell>
          <cell r="F171">
            <v>0.1</v>
          </cell>
          <cell r="G171">
            <v>20000</v>
          </cell>
          <cell r="H171" t="str">
            <v>N/A</v>
          </cell>
          <cell r="I171">
            <v>0</v>
          </cell>
          <cell r="J171">
            <v>0</v>
          </cell>
          <cell r="K171">
            <v>0</v>
          </cell>
          <cell r="L171">
            <v>200000</v>
          </cell>
          <cell r="M171">
            <v>1</v>
          </cell>
          <cell r="N171" t="str">
            <v>OK</v>
          </cell>
          <cell r="O171" t="str">
            <v>III-164</v>
          </cell>
        </row>
        <row r="172">
          <cell r="B172" t="str">
            <v>BARCODE STICKER</v>
          </cell>
          <cell r="D172" t="str">
            <v>DZN</v>
          </cell>
          <cell r="E172">
            <v>200000</v>
          </cell>
          <cell r="F172">
            <v>0.1</v>
          </cell>
          <cell r="G172">
            <v>20000</v>
          </cell>
          <cell r="H172" t="str">
            <v>N/A</v>
          </cell>
          <cell r="I172">
            <v>0</v>
          </cell>
          <cell r="J172">
            <v>0</v>
          </cell>
          <cell r="K172">
            <v>0</v>
          </cell>
          <cell r="L172">
            <v>200000</v>
          </cell>
          <cell r="M172">
            <v>1</v>
          </cell>
          <cell r="N172" t="str">
            <v>OK</v>
          </cell>
          <cell r="O172" t="str">
            <v>III-165</v>
          </cell>
        </row>
        <row r="173">
          <cell r="B173" t="str">
            <v>POLYBAG STICKER</v>
          </cell>
          <cell r="D173" t="str">
            <v>DZN</v>
          </cell>
          <cell r="E173">
            <v>200000</v>
          </cell>
          <cell r="F173">
            <v>0.15</v>
          </cell>
          <cell r="G173">
            <v>30000</v>
          </cell>
          <cell r="H173" t="str">
            <v>N/A</v>
          </cell>
          <cell r="I173">
            <v>0</v>
          </cell>
          <cell r="J173">
            <v>0</v>
          </cell>
          <cell r="K173">
            <v>0</v>
          </cell>
          <cell r="L173">
            <v>200000</v>
          </cell>
          <cell r="M173">
            <v>1</v>
          </cell>
          <cell r="N173" t="str">
            <v>OK</v>
          </cell>
          <cell r="O173" t="str">
            <v>III-166</v>
          </cell>
        </row>
        <row r="174">
          <cell r="B174" t="str">
            <v>CARTON STICKER</v>
          </cell>
          <cell r="D174" t="str">
            <v>DZN</v>
          </cell>
          <cell r="E174">
            <v>60000</v>
          </cell>
          <cell r="F174">
            <v>0.15</v>
          </cell>
          <cell r="G174">
            <v>9000</v>
          </cell>
          <cell r="H174" t="str">
            <v>N/A</v>
          </cell>
          <cell r="I174">
            <v>0</v>
          </cell>
          <cell r="J174">
            <v>0</v>
          </cell>
          <cell r="K174">
            <v>0</v>
          </cell>
          <cell r="L174">
            <v>60000</v>
          </cell>
          <cell r="M174">
            <v>1</v>
          </cell>
          <cell r="N174" t="str">
            <v>OK</v>
          </cell>
          <cell r="O174" t="str">
            <v>III-167</v>
          </cell>
        </row>
        <row r="175">
          <cell r="B175" t="str">
            <v>SNAP</v>
          </cell>
          <cell r="D175" t="str">
            <v>GRO</v>
          </cell>
          <cell r="E175">
            <v>40000</v>
          </cell>
          <cell r="F175">
            <v>4</v>
          </cell>
          <cell r="G175">
            <v>160000</v>
          </cell>
          <cell r="H175" t="str">
            <v>N/A</v>
          </cell>
          <cell r="I175">
            <v>0</v>
          </cell>
          <cell r="J175">
            <v>0</v>
          </cell>
          <cell r="K175">
            <v>0</v>
          </cell>
          <cell r="L175">
            <v>40000</v>
          </cell>
          <cell r="M175">
            <v>1</v>
          </cell>
          <cell r="N175" t="str">
            <v>OK</v>
          </cell>
          <cell r="O175" t="str">
            <v>III-168</v>
          </cell>
        </row>
        <row r="176">
          <cell r="B176" t="str">
            <v>METAL BUTTON</v>
          </cell>
          <cell r="D176" t="str">
            <v>GRO</v>
          </cell>
          <cell r="E176">
            <v>40000</v>
          </cell>
          <cell r="F176">
            <v>4</v>
          </cell>
          <cell r="G176">
            <v>160000</v>
          </cell>
          <cell r="H176" t="str">
            <v>N/A</v>
          </cell>
          <cell r="I176">
            <v>0</v>
          </cell>
          <cell r="J176">
            <v>0</v>
          </cell>
          <cell r="K176">
            <v>0</v>
          </cell>
          <cell r="L176">
            <v>40000</v>
          </cell>
          <cell r="M176">
            <v>1</v>
          </cell>
          <cell r="N176" t="str">
            <v>OK</v>
          </cell>
          <cell r="O176" t="str">
            <v>III-169</v>
          </cell>
        </row>
        <row r="177">
          <cell r="B177" t="str">
            <v>PLASTIC BUTTON</v>
          </cell>
          <cell r="D177" t="str">
            <v>GRO</v>
          </cell>
          <cell r="E177">
            <v>40000</v>
          </cell>
          <cell r="F177">
            <v>1.5</v>
          </cell>
          <cell r="G177">
            <v>60000</v>
          </cell>
          <cell r="H177" t="str">
            <v>N/A</v>
          </cell>
          <cell r="I177">
            <v>0</v>
          </cell>
          <cell r="J177">
            <v>0</v>
          </cell>
          <cell r="K177">
            <v>0</v>
          </cell>
          <cell r="L177">
            <v>40000</v>
          </cell>
          <cell r="M177">
            <v>1</v>
          </cell>
          <cell r="N177" t="str">
            <v>OK</v>
          </cell>
          <cell r="O177" t="str">
            <v>III-170</v>
          </cell>
        </row>
        <row r="178">
          <cell r="B178" t="str">
            <v>STOPPER</v>
          </cell>
          <cell r="D178" t="str">
            <v>DZN</v>
          </cell>
          <cell r="E178">
            <v>40000</v>
          </cell>
          <cell r="F178">
            <v>0.25</v>
          </cell>
          <cell r="G178">
            <v>10000</v>
          </cell>
          <cell r="H178" t="str">
            <v>N/A</v>
          </cell>
          <cell r="I178">
            <v>0</v>
          </cell>
          <cell r="J178">
            <v>0</v>
          </cell>
          <cell r="K178">
            <v>0</v>
          </cell>
          <cell r="L178">
            <v>40000</v>
          </cell>
          <cell r="M178">
            <v>1</v>
          </cell>
          <cell r="N178" t="str">
            <v>OK</v>
          </cell>
          <cell r="O178" t="str">
            <v>III-171</v>
          </cell>
        </row>
        <row r="179">
          <cell r="B179" t="str">
            <v>TOGGLE</v>
          </cell>
          <cell r="D179" t="str">
            <v>DZN</v>
          </cell>
          <cell r="E179">
            <v>40000</v>
          </cell>
          <cell r="F179">
            <v>0.25</v>
          </cell>
          <cell r="G179">
            <v>10000</v>
          </cell>
          <cell r="H179" t="str">
            <v>N/A</v>
          </cell>
          <cell r="I179">
            <v>0</v>
          </cell>
          <cell r="J179">
            <v>0</v>
          </cell>
          <cell r="K179">
            <v>0</v>
          </cell>
          <cell r="L179">
            <v>40000</v>
          </cell>
          <cell r="M179">
            <v>1</v>
          </cell>
          <cell r="N179" t="str">
            <v>OK</v>
          </cell>
          <cell r="O179" t="str">
            <v>III-172</v>
          </cell>
        </row>
        <row r="180">
          <cell r="B180" t="str">
            <v>EYELET</v>
          </cell>
          <cell r="D180" t="str">
            <v>GRO</v>
          </cell>
          <cell r="E180">
            <v>80000</v>
          </cell>
          <cell r="F180">
            <v>1.2</v>
          </cell>
          <cell r="G180">
            <v>96000</v>
          </cell>
          <cell r="H180" t="str">
            <v>N/A</v>
          </cell>
          <cell r="I180">
            <v>0</v>
          </cell>
          <cell r="J180">
            <v>0</v>
          </cell>
          <cell r="K180">
            <v>0</v>
          </cell>
          <cell r="L180">
            <v>80000</v>
          </cell>
          <cell r="M180">
            <v>1</v>
          </cell>
          <cell r="N180" t="str">
            <v>OK</v>
          </cell>
          <cell r="O180" t="str">
            <v>III-173</v>
          </cell>
        </row>
        <row r="181">
          <cell r="B181" t="str">
            <v>RIVET</v>
          </cell>
          <cell r="D181" t="str">
            <v>GRO</v>
          </cell>
          <cell r="E181">
            <v>80000</v>
          </cell>
          <cell r="F181">
            <v>1.2</v>
          </cell>
          <cell r="G181">
            <v>96000</v>
          </cell>
          <cell r="H181" t="str">
            <v>N/A</v>
          </cell>
          <cell r="I181">
            <v>0</v>
          </cell>
          <cell r="J181">
            <v>0</v>
          </cell>
          <cell r="K181">
            <v>0</v>
          </cell>
          <cell r="L181">
            <v>80000</v>
          </cell>
          <cell r="M181">
            <v>1</v>
          </cell>
          <cell r="N181" t="str">
            <v>OK</v>
          </cell>
          <cell r="O181" t="str">
            <v>III-174</v>
          </cell>
        </row>
        <row r="182">
          <cell r="B182" t="str">
            <v>BUCKLE</v>
          </cell>
          <cell r="D182" t="str">
            <v>GRO</v>
          </cell>
          <cell r="E182">
            <v>9000</v>
          </cell>
          <cell r="F182">
            <v>1.8</v>
          </cell>
          <cell r="G182">
            <v>16200</v>
          </cell>
          <cell r="H182" t="str">
            <v>N/A</v>
          </cell>
          <cell r="I182">
            <v>0</v>
          </cell>
          <cell r="J182">
            <v>0</v>
          </cell>
          <cell r="K182">
            <v>0</v>
          </cell>
          <cell r="L182">
            <v>9000</v>
          </cell>
          <cell r="M182">
            <v>1</v>
          </cell>
          <cell r="N182" t="str">
            <v>OK</v>
          </cell>
          <cell r="O182" t="str">
            <v>III-175</v>
          </cell>
        </row>
        <row r="183">
          <cell r="B183" t="str">
            <v>HANG TAG</v>
          </cell>
          <cell r="D183" t="str">
            <v>DZN</v>
          </cell>
          <cell r="E183">
            <v>200000</v>
          </cell>
          <cell r="F183">
            <v>0.12</v>
          </cell>
          <cell r="G183">
            <v>24000</v>
          </cell>
          <cell r="H183" t="str">
            <v>N/A</v>
          </cell>
          <cell r="I183">
            <v>0</v>
          </cell>
          <cell r="J183">
            <v>0</v>
          </cell>
          <cell r="K183">
            <v>0</v>
          </cell>
          <cell r="L183">
            <v>200000</v>
          </cell>
          <cell r="M183">
            <v>1</v>
          </cell>
          <cell r="N183" t="str">
            <v>OK</v>
          </cell>
          <cell r="O183" t="str">
            <v>III-176</v>
          </cell>
        </row>
        <row r="184">
          <cell r="B184" t="str">
            <v>SIZE TAG</v>
          </cell>
          <cell r="D184" t="str">
            <v>DZN</v>
          </cell>
          <cell r="E184">
            <v>200000</v>
          </cell>
          <cell r="F184">
            <v>0.1</v>
          </cell>
          <cell r="G184">
            <v>20000</v>
          </cell>
          <cell r="H184" t="str">
            <v>N/A</v>
          </cell>
          <cell r="I184">
            <v>0</v>
          </cell>
          <cell r="J184">
            <v>0</v>
          </cell>
          <cell r="K184">
            <v>0</v>
          </cell>
          <cell r="L184">
            <v>200000</v>
          </cell>
          <cell r="M184">
            <v>1</v>
          </cell>
          <cell r="N184" t="str">
            <v>OK</v>
          </cell>
          <cell r="O184" t="str">
            <v>III-177</v>
          </cell>
        </row>
        <row r="185">
          <cell r="B185" t="str">
            <v>PAPER HANGTAG</v>
          </cell>
          <cell r="D185" t="str">
            <v>DZN</v>
          </cell>
          <cell r="E185">
            <v>200000</v>
          </cell>
          <cell r="F185">
            <v>0.1</v>
          </cell>
          <cell r="G185">
            <v>20000</v>
          </cell>
          <cell r="H185" t="str">
            <v>N/A</v>
          </cell>
          <cell r="I185">
            <v>0</v>
          </cell>
          <cell r="J185">
            <v>0</v>
          </cell>
          <cell r="K185">
            <v>0</v>
          </cell>
          <cell r="L185">
            <v>200000</v>
          </cell>
          <cell r="M185">
            <v>1</v>
          </cell>
          <cell r="N185" t="str">
            <v>OK</v>
          </cell>
          <cell r="O185" t="str">
            <v>III-178</v>
          </cell>
        </row>
        <row r="186">
          <cell r="B186" t="str">
            <v>PLASTIC HANGTAG</v>
          </cell>
          <cell r="D186" t="str">
            <v>DZN</v>
          </cell>
          <cell r="E186">
            <v>200000</v>
          </cell>
          <cell r="F186">
            <v>0.15</v>
          </cell>
          <cell r="G186">
            <v>30000</v>
          </cell>
          <cell r="H186" t="str">
            <v>N/A</v>
          </cell>
          <cell r="I186">
            <v>0</v>
          </cell>
          <cell r="J186">
            <v>0</v>
          </cell>
          <cell r="K186">
            <v>0</v>
          </cell>
          <cell r="L186">
            <v>200000</v>
          </cell>
          <cell r="M186">
            <v>1</v>
          </cell>
          <cell r="N186" t="str">
            <v>OK</v>
          </cell>
          <cell r="O186" t="str">
            <v>III-179</v>
          </cell>
        </row>
        <row r="187">
          <cell r="B187" t="str">
            <v>WAIST TAG</v>
          </cell>
          <cell r="D187" t="str">
            <v>DZN</v>
          </cell>
          <cell r="E187">
            <v>200000</v>
          </cell>
          <cell r="F187">
            <v>0.1</v>
          </cell>
          <cell r="G187">
            <v>20000</v>
          </cell>
          <cell r="H187" t="str">
            <v>N/A</v>
          </cell>
          <cell r="I187">
            <v>0</v>
          </cell>
          <cell r="J187">
            <v>0</v>
          </cell>
          <cell r="K187">
            <v>0</v>
          </cell>
          <cell r="L187">
            <v>200000</v>
          </cell>
          <cell r="M187">
            <v>1</v>
          </cell>
          <cell r="N187" t="str">
            <v>OK</v>
          </cell>
          <cell r="O187" t="str">
            <v>III-180</v>
          </cell>
        </row>
        <row r="188">
          <cell r="B188" t="str">
            <v>PRICE TAG</v>
          </cell>
          <cell r="D188" t="str">
            <v>DZN</v>
          </cell>
          <cell r="E188">
            <v>200000</v>
          </cell>
          <cell r="F188">
            <v>0.2</v>
          </cell>
          <cell r="G188">
            <v>40000</v>
          </cell>
          <cell r="H188" t="str">
            <v>N/A</v>
          </cell>
          <cell r="I188">
            <v>0</v>
          </cell>
          <cell r="J188">
            <v>0</v>
          </cell>
          <cell r="K188">
            <v>0</v>
          </cell>
          <cell r="L188">
            <v>200000</v>
          </cell>
          <cell r="M188">
            <v>1</v>
          </cell>
          <cell r="N188" t="str">
            <v>OK</v>
          </cell>
          <cell r="O188" t="str">
            <v>III-181</v>
          </cell>
        </row>
        <row r="189">
          <cell r="B189" t="str">
            <v>HANGER</v>
          </cell>
          <cell r="D189" t="str">
            <v>DZN</v>
          </cell>
          <cell r="E189">
            <v>200000</v>
          </cell>
          <cell r="F189">
            <v>1</v>
          </cell>
          <cell r="G189">
            <v>200000</v>
          </cell>
          <cell r="H189" t="str">
            <v>N/A</v>
          </cell>
          <cell r="I189">
            <v>0</v>
          </cell>
          <cell r="J189">
            <v>0</v>
          </cell>
          <cell r="K189">
            <v>0</v>
          </cell>
          <cell r="L189">
            <v>200000</v>
          </cell>
          <cell r="M189">
            <v>1</v>
          </cell>
          <cell r="N189" t="str">
            <v>OK</v>
          </cell>
          <cell r="O189" t="str">
            <v>III-182</v>
          </cell>
        </row>
        <row r="190">
          <cell r="B190" t="str">
            <v>SIZER CLIP</v>
          </cell>
          <cell r="D190" t="str">
            <v>DZN</v>
          </cell>
          <cell r="E190">
            <v>200000</v>
          </cell>
          <cell r="F190">
            <v>0.15</v>
          </cell>
          <cell r="G190">
            <v>30000</v>
          </cell>
          <cell r="H190" t="str">
            <v>N/A</v>
          </cell>
          <cell r="I190">
            <v>0</v>
          </cell>
          <cell r="J190">
            <v>0</v>
          </cell>
          <cell r="K190">
            <v>0</v>
          </cell>
          <cell r="L190">
            <v>200000</v>
          </cell>
          <cell r="M190">
            <v>1</v>
          </cell>
          <cell r="N190" t="str">
            <v>OK</v>
          </cell>
          <cell r="O190" t="str">
            <v>III-183</v>
          </cell>
        </row>
        <row r="191">
          <cell r="B191" t="str">
            <v>HANGER CLIP</v>
          </cell>
          <cell r="D191" t="str">
            <v>DZN</v>
          </cell>
          <cell r="E191">
            <v>200000</v>
          </cell>
          <cell r="F191">
            <v>0.5</v>
          </cell>
          <cell r="G191">
            <v>100000</v>
          </cell>
          <cell r="H191" t="str">
            <v>N/A</v>
          </cell>
          <cell r="I191">
            <v>0</v>
          </cell>
          <cell r="J191">
            <v>0</v>
          </cell>
          <cell r="K191">
            <v>0</v>
          </cell>
          <cell r="L191">
            <v>200000</v>
          </cell>
          <cell r="M191">
            <v>1</v>
          </cell>
          <cell r="N191" t="str">
            <v>OK</v>
          </cell>
          <cell r="O191" t="str">
            <v>III-184</v>
          </cell>
        </row>
        <row r="192">
          <cell r="B192" t="str">
            <v>TISSUE PAPER</v>
          </cell>
          <cell r="D192" t="str">
            <v>DZN</v>
          </cell>
          <cell r="E192">
            <v>150000</v>
          </cell>
          <cell r="F192">
            <v>0.1</v>
          </cell>
          <cell r="G192">
            <v>15000</v>
          </cell>
          <cell r="H192" t="str">
            <v>N/A</v>
          </cell>
          <cell r="I192">
            <v>0</v>
          </cell>
          <cell r="J192">
            <v>0</v>
          </cell>
          <cell r="K192">
            <v>0</v>
          </cell>
          <cell r="L192">
            <v>150000</v>
          </cell>
          <cell r="M192">
            <v>1</v>
          </cell>
          <cell r="N192" t="str">
            <v>OK</v>
          </cell>
          <cell r="O192" t="str">
            <v>III-185</v>
          </cell>
        </row>
        <row r="193">
          <cell r="B193" t="str">
            <v>CARDBOARD PAPER</v>
          </cell>
          <cell r="D193" t="str">
            <v>DZN</v>
          </cell>
          <cell r="E193">
            <v>150000</v>
          </cell>
          <cell r="F193">
            <v>0.3</v>
          </cell>
          <cell r="G193">
            <v>45000</v>
          </cell>
          <cell r="H193" t="str">
            <v>N/A</v>
          </cell>
          <cell r="I193">
            <v>0</v>
          </cell>
          <cell r="J193">
            <v>0</v>
          </cell>
          <cell r="K193">
            <v>0</v>
          </cell>
          <cell r="L193">
            <v>150000</v>
          </cell>
          <cell r="M193">
            <v>1</v>
          </cell>
          <cell r="N193" t="str">
            <v>OK</v>
          </cell>
          <cell r="O193" t="str">
            <v>III-186</v>
          </cell>
        </row>
        <row r="194">
          <cell r="B194" t="str">
            <v>SPARE POLYBAG</v>
          </cell>
          <cell r="D194" t="str">
            <v>DZN</v>
          </cell>
          <cell r="E194">
            <v>150000</v>
          </cell>
          <cell r="F194">
            <v>0.1</v>
          </cell>
          <cell r="G194">
            <v>15000</v>
          </cell>
          <cell r="H194" t="str">
            <v>N/A</v>
          </cell>
          <cell r="I194">
            <v>0</v>
          </cell>
          <cell r="J194">
            <v>0</v>
          </cell>
          <cell r="K194">
            <v>0</v>
          </cell>
          <cell r="L194">
            <v>150000</v>
          </cell>
          <cell r="M194">
            <v>1</v>
          </cell>
          <cell r="N194" t="str">
            <v>OK</v>
          </cell>
          <cell r="O194" t="str">
            <v>III-187</v>
          </cell>
        </row>
        <row r="195">
          <cell r="B195" t="str">
            <v>POLYBAG</v>
          </cell>
          <cell r="D195" t="str">
            <v>DZN</v>
          </cell>
          <cell r="E195">
            <v>100000</v>
          </cell>
          <cell r="F195">
            <v>0.5</v>
          </cell>
          <cell r="G195">
            <v>50000</v>
          </cell>
          <cell r="H195" t="str">
            <v>N/A</v>
          </cell>
          <cell r="I195">
            <v>0</v>
          </cell>
          <cell r="J195">
            <v>0</v>
          </cell>
          <cell r="K195">
            <v>0</v>
          </cell>
          <cell r="L195">
            <v>100000</v>
          </cell>
          <cell r="M195">
            <v>1</v>
          </cell>
          <cell r="N195" t="str">
            <v>OK</v>
          </cell>
          <cell r="O195" t="str">
            <v>III-188</v>
          </cell>
        </row>
        <row r="196">
          <cell r="B196" t="str">
            <v>PLASTIC POLYBAG</v>
          </cell>
          <cell r="D196" t="str">
            <v>DZN</v>
          </cell>
          <cell r="E196">
            <v>45000</v>
          </cell>
          <cell r="F196">
            <v>1</v>
          </cell>
          <cell r="G196">
            <v>45000</v>
          </cell>
          <cell r="H196" t="str">
            <v>N/A</v>
          </cell>
          <cell r="I196">
            <v>0</v>
          </cell>
          <cell r="J196">
            <v>0</v>
          </cell>
          <cell r="K196">
            <v>0</v>
          </cell>
          <cell r="L196">
            <v>45000</v>
          </cell>
          <cell r="M196">
            <v>1</v>
          </cell>
          <cell r="N196" t="str">
            <v>OK</v>
          </cell>
          <cell r="O196" t="str">
            <v>III-189</v>
          </cell>
        </row>
        <row r="197">
          <cell r="B197" t="str">
            <v>ANTI-MOLD STICKERS</v>
          </cell>
          <cell r="D197" t="str">
            <v>DZN</v>
          </cell>
          <cell r="E197">
            <v>9000</v>
          </cell>
          <cell r="F197">
            <v>0.4</v>
          </cell>
          <cell r="G197">
            <v>3600</v>
          </cell>
          <cell r="H197" t="str">
            <v>N/A</v>
          </cell>
          <cell r="I197">
            <v>0</v>
          </cell>
          <cell r="J197">
            <v>0</v>
          </cell>
          <cell r="K197">
            <v>0</v>
          </cell>
          <cell r="L197">
            <v>9000</v>
          </cell>
          <cell r="M197">
            <v>1</v>
          </cell>
          <cell r="N197" t="str">
            <v>OK</v>
          </cell>
          <cell r="O197" t="str">
            <v>III-190</v>
          </cell>
        </row>
        <row r="198">
          <cell r="B198" t="str">
            <v>SEAL TAPE</v>
          </cell>
          <cell r="D198" t="str">
            <v>DZN</v>
          </cell>
          <cell r="E198">
            <v>9000</v>
          </cell>
          <cell r="F198">
            <v>7</v>
          </cell>
          <cell r="G198">
            <v>63000</v>
          </cell>
          <cell r="H198" t="str">
            <v>N/A</v>
          </cell>
          <cell r="I198">
            <v>0</v>
          </cell>
          <cell r="J198">
            <v>0</v>
          </cell>
          <cell r="K198">
            <v>0</v>
          </cell>
          <cell r="L198">
            <v>9000</v>
          </cell>
          <cell r="M198">
            <v>1</v>
          </cell>
          <cell r="N198" t="str">
            <v>OK</v>
          </cell>
          <cell r="O198" t="str">
            <v>III-191</v>
          </cell>
        </row>
        <row r="199">
          <cell r="B199" t="str">
            <v>PLASTIC BOX</v>
          </cell>
          <cell r="D199" t="str">
            <v>DZN</v>
          </cell>
          <cell r="E199">
            <v>28000</v>
          </cell>
          <cell r="F199">
            <v>0.1</v>
          </cell>
          <cell r="G199">
            <v>2800</v>
          </cell>
          <cell r="H199" t="str">
            <v>N/A</v>
          </cell>
          <cell r="I199">
            <v>0</v>
          </cell>
          <cell r="J199">
            <v>0</v>
          </cell>
          <cell r="K199">
            <v>0</v>
          </cell>
          <cell r="L199">
            <v>28000</v>
          </cell>
          <cell r="M199">
            <v>1</v>
          </cell>
          <cell r="N199" t="str">
            <v>OK</v>
          </cell>
          <cell r="O199" t="str">
            <v>III-192</v>
          </cell>
        </row>
        <row r="200">
          <cell r="B200" t="str">
            <v>PLASTIC PIN</v>
          </cell>
          <cell r="D200" t="str">
            <v>BX</v>
          </cell>
          <cell r="E200">
            <v>3000</v>
          </cell>
          <cell r="F200">
            <v>0.3</v>
          </cell>
          <cell r="G200">
            <v>900</v>
          </cell>
          <cell r="H200" t="str">
            <v>1Box=100~5000pcs</v>
          </cell>
          <cell r="I200">
            <v>0</v>
          </cell>
          <cell r="J200">
            <v>0</v>
          </cell>
          <cell r="K200">
            <v>0</v>
          </cell>
          <cell r="L200">
            <v>3000</v>
          </cell>
          <cell r="M200">
            <v>1</v>
          </cell>
          <cell r="N200" t="str">
            <v>OK</v>
          </cell>
          <cell r="O200" t="str">
            <v>III-193</v>
          </cell>
        </row>
        <row r="201">
          <cell r="B201" t="str">
            <v>DESICCANT</v>
          </cell>
          <cell r="D201" t="str">
            <v>DZN</v>
          </cell>
          <cell r="E201">
            <v>14000</v>
          </cell>
          <cell r="F201">
            <v>0.5</v>
          </cell>
          <cell r="G201">
            <v>7000</v>
          </cell>
          <cell r="H201" t="str">
            <v>N/A</v>
          </cell>
          <cell r="I201">
            <v>0</v>
          </cell>
          <cell r="J201">
            <v>0</v>
          </cell>
          <cell r="K201">
            <v>0</v>
          </cell>
          <cell r="L201">
            <v>14000</v>
          </cell>
          <cell r="M201">
            <v>1</v>
          </cell>
          <cell r="N201" t="str">
            <v>OK</v>
          </cell>
          <cell r="O201" t="str">
            <v>III-194</v>
          </cell>
        </row>
        <row r="202">
          <cell r="B202" t="str">
            <v>BARCODE PRINTER RIBBON</v>
          </cell>
          <cell r="D202" t="str">
            <v>DZN</v>
          </cell>
          <cell r="E202">
            <v>8000</v>
          </cell>
          <cell r="F202">
            <v>10</v>
          </cell>
          <cell r="G202">
            <v>80000</v>
          </cell>
          <cell r="H202" t="str">
            <v>N/A</v>
          </cell>
          <cell r="I202">
            <v>0</v>
          </cell>
          <cell r="J202">
            <v>0</v>
          </cell>
          <cell r="K202">
            <v>0</v>
          </cell>
          <cell r="L202">
            <v>8000</v>
          </cell>
          <cell r="M202">
            <v>1</v>
          </cell>
          <cell r="N202" t="str">
            <v>OK</v>
          </cell>
          <cell r="O202" t="str">
            <v>III-195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OICE"/>
      <sheetName val="Cover"/>
      <sheetName val="AUTHOR "/>
      <sheetName val="ID"/>
    </sheetNames>
    <sheetDataSet>
      <sheetData sheetId="0">
        <row r="7">
          <cell r="B7" t="str">
            <v>CNQ26013</v>
          </cell>
        </row>
        <row r="45">
          <cell r="B45" t="str">
            <v>កំពង់ផែក្រុងព្រះសីហនុ (បញ្ចេញទំនិញនៅមាត់ច្រក​ កំពង់ផែក្រុងព្រះសីហនុ)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view="pageBreakPreview" zoomScaleNormal="100" zoomScaleSheetLayoutView="100" workbookViewId="0">
      <selection activeCell="D5" sqref="D5"/>
    </sheetView>
  </sheetViews>
  <sheetFormatPr defaultRowHeight="12.75" x14ac:dyDescent="0.2"/>
  <cols>
    <col min="1" max="1" width="9.28515625" style="13" customWidth="1"/>
    <col min="2" max="2" width="42" style="13" customWidth="1"/>
    <col min="3" max="3" width="7.7109375" style="12" customWidth="1"/>
    <col min="4" max="4" width="13.42578125" style="13" customWidth="1"/>
    <col min="5" max="5" width="8.5703125" style="13" customWidth="1"/>
    <col min="6" max="6" width="15" style="14" customWidth="1"/>
    <col min="7" max="7" width="15.5703125" style="13" customWidth="1"/>
    <col min="8" max="8" width="9.85546875" style="13" customWidth="1"/>
    <col min="9" max="9" width="10.7109375" style="15" customWidth="1"/>
    <col min="10" max="10" width="49.140625" style="13" customWidth="1"/>
    <col min="11" max="11" width="25.28515625" style="13" customWidth="1"/>
    <col min="12" max="12" width="27" style="13" customWidth="1"/>
    <col min="13" max="13" width="9.140625" style="13" hidden="1" customWidth="1"/>
    <col min="14" max="14" width="13.140625" style="13" hidden="1" customWidth="1"/>
    <col min="15" max="15" width="9.140625" style="13" hidden="1" customWidth="1"/>
    <col min="16" max="20" width="9.140625" style="13" customWidth="1"/>
    <col min="21" max="233" width="9.140625" style="13"/>
    <col min="234" max="234" width="8.7109375" style="13" customWidth="1"/>
    <col min="235" max="235" width="28.42578125" style="13" customWidth="1"/>
    <col min="236" max="236" width="6.7109375" style="13" customWidth="1"/>
    <col min="237" max="237" width="12.5703125" style="13" bestFit="1" customWidth="1"/>
    <col min="238" max="238" width="6.7109375" style="13" customWidth="1"/>
    <col min="239" max="239" width="16.28515625" style="13" customWidth="1"/>
    <col min="240" max="240" width="14.140625" style="13" customWidth="1"/>
    <col min="241" max="241" width="9.85546875" style="13" customWidth="1"/>
    <col min="242" max="242" width="13.42578125" style="13" customWidth="1"/>
    <col min="243" max="243" width="14.42578125" style="13" customWidth="1"/>
    <col min="244" max="244" width="6.42578125" style="13" customWidth="1"/>
    <col min="245" max="245" width="7.7109375" style="13" customWidth="1"/>
    <col min="246" max="246" width="16.28515625" style="13" customWidth="1"/>
    <col min="247" max="247" width="17.140625" style="13" customWidth="1"/>
    <col min="248" max="248" width="18.5703125" style="13" customWidth="1"/>
    <col min="249" max="255" width="0" style="13" hidden="1" customWidth="1"/>
    <col min="256" max="261" width="9.140625" style="13"/>
    <col min="262" max="262" width="0" style="13" hidden="1" customWidth="1"/>
    <col min="263" max="489" width="9.140625" style="13"/>
    <col min="490" max="490" width="8.7109375" style="13" customWidth="1"/>
    <col min="491" max="491" width="28.42578125" style="13" customWidth="1"/>
    <col min="492" max="492" width="6.7109375" style="13" customWidth="1"/>
    <col min="493" max="493" width="12.5703125" style="13" bestFit="1" customWidth="1"/>
    <col min="494" max="494" width="6.7109375" style="13" customWidth="1"/>
    <col min="495" max="495" width="16.28515625" style="13" customWidth="1"/>
    <col min="496" max="496" width="14.140625" style="13" customWidth="1"/>
    <col min="497" max="497" width="9.85546875" style="13" customWidth="1"/>
    <col min="498" max="498" width="13.42578125" style="13" customWidth="1"/>
    <col min="499" max="499" width="14.42578125" style="13" customWidth="1"/>
    <col min="500" max="500" width="6.42578125" style="13" customWidth="1"/>
    <col min="501" max="501" width="7.7109375" style="13" customWidth="1"/>
    <col min="502" max="502" width="16.28515625" style="13" customWidth="1"/>
    <col min="503" max="503" width="17.140625" style="13" customWidth="1"/>
    <col min="504" max="504" width="18.5703125" style="13" customWidth="1"/>
    <col min="505" max="511" width="0" style="13" hidden="1" customWidth="1"/>
    <col min="512" max="517" width="9.140625" style="13"/>
    <col min="518" max="518" width="0" style="13" hidden="1" customWidth="1"/>
    <col min="519" max="745" width="9.140625" style="13"/>
    <col min="746" max="746" width="8.7109375" style="13" customWidth="1"/>
    <col min="747" max="747" width="28.42578125" style="13" customWidth="1"/>
    <col min="748" max="748" width="6.7109375" style="13" customWidth="1"/>
    <col min="749" max="749" width="12.5703125" style="13" bestFit="1" customWidth="1"/>
    <col min="750" max="750" width="6.7109375" style="13" customWidth="1"/>
    <col min="751" max="751" width="16.28515625" style="13" customWidth="1"/>
    <col min="752" max="752" width="14.140625" style="13" customWidth="1"/>
    <col min="753" max="753" width="9.85546875" style="13" customWidth="1"/>
    <col min="754" max="754" width="13.42578125" style="13" customWidth="1"/>
    <col min="755" max="755" width="14.42578125" style="13" customWidth="1"/>
    <col min="756" max="756" width="6.42578125" style="13" customWidth="1"/>
    <col min="757" max="757" width="7.7109375" style="13" customWidth="1"/>
    <col min="758" max="758" width="16.28515625" style="13" customWidth="1"/>
    <col min="759" max="759" width="17.140625" style="13" customWidth="1"/>
    <col min="760" max="760" width="18.5703125" style="13" customWidth="1"/>
    <col min="761" max="767" width="0" style="13" hidden="1" customWidth="1"/>
    <col min="768" max="773" width="9.140625" style="13"/>
    <col min="774" max="774" width="0" style="13" hidden="1" customWidth="1"/>
    <col min="775" max="1001" width="9.140625" style="13"/>
    <col min="1002" max="1002" width="8.7109375" style="13" customWidth="1"/>
    <col min="1003" max="1003" width="28.42578125" style="13" customWidth="1"/>
    <col min="1004" max="1004" width="6.7109375" style="13" customWidth="1"/>
    <col min="1005" max="1005" width="12.5703125" style="13" bestFit="1" customWidth="1"/>
    <col min="1006" max="1006" width="6.7109375" style="13" customWidth="1"/>
    <col min="1007" max="1007" width="16.28515625" style="13" customWidth="1"/>
    <col min="1008" max="1008" width="14.140625" style="13" customWidth="1"/>
    <col min="1009" max="1009" width="9.85546875" style="13" customWidth="1"/>
    <col min="1010" max="1010" width="13.42578125" style="13" customWidth="1"/>
    <col min="1011" max="1011" width="14.42578125" style="13" customWidth="1"/>
    <col min="1012" max="1012" width="6.42578125" style="13" customWidth="1"/>
    <col min="1013" max="1013" width="7.7109375" style="13" customWidth="1"/>
    <col min="1014" max="1014" width="16.28515625" style="13" customWidth="1"/>
    <col min="1015" max="1015" width="17.140625" style="13" customWidth="1"/>
    <col min="1016" max="1016" width="18.5703125" style="13" customWidth="1"/>
    <col min="1017" max="1023" width="0" style="13" hidden="1" customWidth="1"/>
    <col min="1024" max="1029" width="9.140625" style="13"/>
    <col min="1030" max="1030" width="0" style="13" hidden="1" customWidth="1"/>
    <col min="1031" max="1257" width="9.140625" style="13"/>
    <col min="1258" max="1258" width="8.7109375" style="13" customWidth="1"/>
    <col min="1259" max="1259" width="28.42578125" style="13" customWidth="1"/>
    <col min="1260" max="1260" width="6.7109375" style="13" customWidth="1"/>
    <col min="1261" max="1261" width="12.5703125" style="13" bestFit="1" customWidth="1"/>
    <col min="1262" max="1262" width="6.7109375" style="13" customWidth="1"/>
    <col min="1263" max="1263" width="16.28515625" style="13" customWidth="1"/>
    <col min="1264" max="1264" width="14.140625" style="13" customWidth="1"/>
    <col min="1265" max="1265" width="9.85546875" style="13" customWidth="1"/>
    <col min="1266" max="1266" width="13.42578125" style="13" customWidth="1"/>
    <col min="1267" max="1267" width="14.42578125" style="13" customWidth="1"/>
    <col min="1268" max="1268" width="6.42578125" style="13" customWidth="1"/>
    <col min="1269" max="1269" width="7.7109375" style="13" customWidth="1"/>
    <col min="1270" max="1270" width="16.28515625" style="13" customWidth="1"/>
    <col min="1271" max="1271" width="17.140625" style="13" customWidth="1"/>
    <col min="1272" max="1272" width="18.5703125" style="13" customWidth="1"/>
    <col min="1273" max="1279" width="0" style="13" hidden="1" customWidth="1"/>
    <col min="1280" max="1285" width="9.140625" style="13"/>
    <col min="1286" max="1286" width="0" style="13" hidden="1" customWidth="1"/>
    <col min="1287" max="1513" width="9.140625" style="13"/>
    <col min="1514" max="1514" width="8.7109375" style="13" customWidth="1"/>
    <col min="1515" max="1515" width="28.42578125" style="13" customWidth="1"/>
    <col min="1516" max="1516" width="6.7109375" style="13" customWidth="1"/>
    <col min="1517" max="1517" width="12.5703125" style="13" bestFit="1" customWidth="1"/>
    <col min="1518" max="1518" width="6.7109375" style="13" customWidth="1"/>
    <col min="1519" max="1519" width="16.28515625" style="13" customWidth="1"/>
    <col min="1520" max="1520" width="14.140625" style="13" customWidth="1"/>
    <col min="1521" max="1521" width="9.85546875" style="13" customWidth="1"/>
    <col min="1522" max="1522" width="13.42578125" style="13" customWidth="1"/>
    <col min="1523" max="1523" width="14.42578125" style="13" customWidth="1"/>
    <col min="1524" max="1524" width="6.42578125" style="13" customWidth="1"/>
    <col min="1525" max="1525" width="7.7109375" style="13" customWidth="1"/>
    <col min="1526" max="1526" width="16.28515625" style="13" customWidth="1"/>
    <col min="1527" max="1527" width="17.140625" style="13" customWidth="1"/>
    <col min="1528" max="1528" width="18.5703125" style="13" customWidth="1"/>
    <col min="1529" max="1535" width="0" style="13" hidden="1" customWidth="1"/>
    <col min="1536" max="1541" width="9.140625" style="13"/>
    <col min="1542" max="1542" width="0" style="13" hidden="1" customWidth="1"/>
    <col min="1543" max="1769" width="9.140625" style="13"/>
    <col min="1770" max="1770" width="8.7109375" style="13" customWidth="1"/>
    <col min="1771" max="1771" width="28.42578125" style="13" customWidth="1"/>
    <col min="1772" max="1772" width="6.7109375" style="13" customWidth="1"/>
    <col min="1773" max="1773" width="12.5703125" style="13" bestFit="1" customWidth="1"/>
    <col min="1774" max="1774" width="6.7109375" style="13" customWidth="1"/>
    <col min="1775" max="1775" width="16.28515625" style="13" customWidth="1"/>
    <col min="1776" max="1776" width="14.140625" style="13" customWidth="1"/>
    <col min="1777" max="1777" width="9.85546875" style="13" customWidth="1"/>
    <col min="1778" max="1778" width="13.42578125" style="13" customWidth="1"/>
    <col min="1779" max="1779" width="14.42578125" style="13" customWidth="1"/>
    <col min="1780" max="1780" width="6.42578125" style="13" customWidth="1"/>
    <col min="1781" max="1781" width="7.7109375" style="13" customWidth="1"/>
    <col min="1782" max="1782" width="16.28515625" style="13" customWidth="1"/>
    <col min="1783" max="1783" width="17.140625" style="13" customWidth="1"/>
    <col min="1784" max="1784" width="18.5703125" style="13" customWidth="1"/>
    <col min="1785" max="1791" width="0" style="13" hidden="1" customWidth="1"/>
    <col min="1792" max="1797" width="9.140625" style="13"/>
    <col min="1798" max="1798" width="0" style="13" hidden="1" customWidth="1"/>
    <col min="1799" max="2025" width="9.140625" style="13"/>
    <col min="2026" max="2026" width="8.7109375" style="13" customWidth="1"/>
    <col min="2027" max="2027" width="28.42578125" style="13" customWidth="1"/>
    <col min="2028" max="2028" width="6.7109375" style="13" customWidth="1"/>
    <col min="2029" max="2029" width="12.5703125" style="13" bestFit="1" customWidth="1"/>
    <col min="2030" max="2030" width="6.7109375" style="13" customWidth="1"/>
    <col min="2031" max="2031" width="16.28515625" style="13" customWidth="1"/>
    <col min="2032" max="2032" width="14.140625" style="13" customWidth="1"/>
    <col min="2033" max="2033" width="9.85546875" style="13" customWidth="1"/>
    <col min="2034" max="2034" width="13.42578125" style="13" customWidth="1"/>
    <col min="2035" max="2035" width="14.42578125" style="13" customWidth="1"/>
    <col min="2036" max="2036" width="6.42578125" style="13" customWidth="1"/>
    <col min="2037" max="2037" width="7.7109375" style="13" customWidth="1"/>
    <col min="2038" max="2038" width="16.28515625" style="13" customWidth="1"/>
    <col min="2039" max="2039" width="17.140625" style="13" customWidth="1"/>
    <col min="2040" max="2040" width="18.5703125" style="13" customWidth="1"/>
    <col min="2041" max="2047" width="0" style="13" hidden="1" customWidth="1"/>
    <col min="2048" max="2053" width="9.140625" style="13"/>
    <col min="2054" max="2054" width="0" style="13" hidden="1" customWidth="1"/>
    <col min="2055" max="2281" width="9.140625" style="13"/>
    <col min="2282" max="2282" width="8.7109375" style="13" customWidth="1"/>
    <col min="2283" max="2283" width="28.42578125" style="13" customWidth="1"/>
    <col min="2284" max="2284" width="6.7109375" style="13" customWidth="1"/>
    <col min="2285" max="2285" width="12.5703125" style="13" bestFit="1" customWidth="1"/>
    <col min="2286" max="2286" width="6.7109375" style="13" customWidth="1"/>
    <col min="2287" max="2287" width="16.28515625" style="13" customWidth="1"/>
    <col min="2288" max="2288" width="14.140625" style="13" customWidth="1"/>
    <col min="2289" max="2289" width="9.85546875" style="13" customWidth="1"/>
    <col min="2290" max="2290" width="13.42578125" style="13" customWidth="1"/>
    <col min="2291" max="2291" width="14.42578125" style="13" customWidth="1"/>
    <col min="2292" max="2292" width="6.42578125" style="13" customWidth="1"/>
    <col min="2293" max="2293" width="7.7109375" style="13" customWidth="1"/>
    <col min="2294" max="2294" width="16.28515625" style="13" customWidth="1"/>
    <col min="2295" max="2295" width="17.140625" style="13" customWidth="1"/>
    <col min="2296" max="2296" width="18.5703125" style="13" customWidth="1"/>
    <col min="2297" max="2303" width="0" style="13" hidden="1" customWidth="1"/>
    <col min="2304" max="2309" width="9.140625" style="13"/>
    <col min="2310" max="2310" width="0" style="13" hidden="1" customWidth="1"/>
    <col min="2311" max="2537" width="9.140625" style="13"/>
    <col min="2538" max="2538" width="8.7109375" style="13" customWidth="1"/>
    <col min="2539" max="2539" width="28.42578125" style="13" customWidth="1"/>
    <col min="2540" max="2540" width="6.7109375" style="13" customWidth="1"/>
    <col min="2541" max="2541" width="12.5703125" style="13" bestFit="1" customWidth="1"/>
    <col min="2542" max="2542" width="6.7109375" style="13" customWidth="1"/>
    <col min="2543" max="2543" width="16.28515625" style="13" customWidth="1"/>
    <col min="2544" max="2544" width="14.140625" style="13" customWidth="1"/>
    <col min="2545" max="2545" width="9.85546875" style="13" customWidth="1"/>
    <col min="2546" max="2546" width="13.42578125" style="13" customWidth="1"/>
    <col min="2547" max="2547" width="14.42578125" style="13" customWidth="1"/>
    <col min="2548" max="2548" width="6.42578125" style="13" customWidth="1"/>
    <col min="2549" max="2549" width="7.7109375" style="13" customWidth="1"/>
    <col min="2550" max="2550" width="16.28515625" style="13" customWidth="1"/>
    <col min="2551" max="2551" width="17.140625" style="13" customWidth="1"/>
    <col min="2552" max="2552" width="18.5703125" style="13" customWidth="1"/>
    <col min="2553" max="2559" width="0" style="13" hidden="1" customWidth="1"/>
    <col min="2560" max="2565" width="9.140625" style="13"/>
    <col min="2566" max="2566" width="0" style="13" hidden="1" customWidth="1"/>
    <col min="2567" max="2793" width="9.140625" style="13"/>
    <col min="2794" max="2794" width="8.7109375" style="13" customWidth="1"/>
    <col min="2795" max="2795" width="28.42578125" style="13" customWidth="1"/>
    <col min="2796" max="2796" width="6.7109375" style="13" customWidth="1"/>
    <col min="2797" max="2797" width="12.5703125" style="13" bestFit="1" customWidth="1"/>
    <col min="2798" max="2798" width="6.7109375" style="13" customWidth="1"/>
    <col min="2799" max="2799" width="16.28515625" style="13" customWidth="1"/>
    <col min="2800" max="2800" width="14.140625" style="13" customWidth="1"/>
    <col min="2801" max="2801" width="9.85546875" style="13" customWidth="1"/>
    <col min="2802" max="2802" width="13.42578125" style="13" customWidth="1"/>
    <col min="2803" max="2803" width="14.42578125" style="13" customWidth="1"/>
    <col min="2804" max="2804" width="6.42578125" style="13" customWidth="1"/>
    <col min="2805" max="2805" width="7.7109375" style="13" customWidth="1"/>
    <col min="2806" max="2806" width="16.28515625" style="13" customWidth="1"/>
    <col min="2807" max="2807" width="17.140625" style="13" customWidth="1"/>
    <col min="2808" max="2808" width="18.5703125" style="13" customWidth="1"/>
    <col min="2809" max="2815" width="0" style="13" hidden="1" customWidth="1"/>
    <col min="2816" max="2821" width="9.140625" style="13"/>
    <col min="2822" max="2822" width="0" style="13" hidden="1" customWidth="1"/>
    <col min="2823" max="3049" width="9.140625" style="13"/>
    <col min="3050" max="3050" width="8.7109375" style="13" customWidth="1"/>
    <col min="3051" max="3051" width="28.42578125" style="13" customWidth="1"/>
    <col min="3052" max="3052" width="6.7109375" style="13" customWidth="1"/>
    <col min="3053" max="3053" width="12.5703125" style="13" bestFit="1" customWidth="1"/>
    <col min="3054" max="3054" width="6.7109375" style="13" customWidth="1"/>
    <col min="3055" max="3055" width="16.28515625" style="13" customWidth="1"/>
    <col min="3056" max="3056" width="14.140625" style="13" customWidth="1"/>
    <col min="3057" max="3057" width="9.85546875" style="13" customWidth="1"/>
    <col min="3058" max="3058" width="13.42578125" style="13" customWidth="1"/>
    <col min="3059" max="3059" width="14.42578125" style="13" customWidth="1"/>
    <col min="3060" max="3060" width="6.42578125" style="13" customWidth="1"/>
    <col min="3061" max="3061" width="7.7109375" style="13" customWidth="1"/>
    <col min="3062" max="3062" width="16.28515625" style="13" customWidth="1"/>
    <col min="3063" max="3063" width="17.140625" style="13" customWidth="1"/>
    <col min="3064" max="3064" width="18.5703125" style="13" customWidth="1"/>
    <col min="3065" max="3071" width="0" style="13" hidden="1" customWidth="1"/>
    <col min="3072" max="3077" width="9.140625" style="13"/>
    <col min="3078" max="3078" width="0" style="13" hidden="1" customWidth="1"/>
    <col min="3079" max="3305" width="9.140625" style="13"/>
    <col min="3306" max="3306" width="8.7109375" style="13" customWidth="1"/>
    <col min="3307" max="3307" width="28.42578125" style="13" customWidth="1"/>
    <col min="3308" max="3308" width="6.7109375" style="13" customWidth="1"/>
    <col min="3309" max="3309" width="12.5703125" style="13" bestFit="1" customWidth="1"/>
    <col min="3310" max="3310" width="6.7109375" style="13" customWidth="1"/>
    <col min="3311" max="3311" width="16.28515625" style="13" customWidth="1"/>
    <col min="3312" max="3312" width="14.140625" style="13" customWidth="1"/>
    <col min="3313" max="3313" width="9.85546875" style="13" customWidth="1"/>
    <col min="3314" max="3314" width="13.42578125" style="13" customWidth="1"/>
    <col min="3315" max="3315" width="14.42578125" style="13" customWidth="1"/>
    <col min="3316" max="3316" width="6.42578125" style="13" customWidth="1"/>
    <col min="3317" max="3317" width="7.7109375" style="13" customWidth="1"/>
    <col min="3318" max="3318" width="16.28515625" style="13" customWidth="1"/>
    <col min="3319" max="3319" width="17.140625" style="13" customWidth="1"/>
    <col min="3320" max="3320" width="18.5703125" style="13" customWidth="1"/>
    <col min="3321" max="3327" width="0" style="13" hidden="1" customWidth="1"/>
    <col min="3328" max="3333" width="9.140625" style="13"/>
    <col min="3334" max="3334" width="0" style="13" hidden="1" customWidth="1"/>
    <col min="3335" max="3561" width="9.140625" style="13"/>
    <col min="3562" max="3562" width="8.7109375" style="13" customWidth="1"/>
    <col min="3563" max="3563" width="28.42578125" style="13" customWidth="1"/>
    <col min="3564" max="3564" width="6.7109375" style="13" customWidth="1"/>
    <col min="3565" max="3565" width="12.5703125" style="13" bestFit="1" customWidth="1"/>
    <col min="3566" max="3566" width="6.7109375" style="13" customWidth="1"/>
    <col min="3567" max="3567" width="16.28515625" style="13" customWidth="1"/>
    <col min="3568" max="3568" width="14.140625" style="13" customWidth="1"/>
    <col min="3569" max="3569" width="9.85546875" style="13" customWidth="1"/>
    <col min="3570" max="3570" width="13.42578125" style="13" customWidth="1"/>
    <col min="3571" max="3571" width="14.42578125" style="13" customWidth="1"/>
    <col min="3572" max="3572" width="6.42578125" style="13" customWidth="1"/>
    <col min="3573" max="3573" width="7.7109375" style="13" customWidth="1"/>
    <col min="3574" max="3574" width="16.28515625" style="13" customWidth="1"/>
    <col min="3575" max="3575" width="17.140625" style="13" customWidth="1"/>
    <col min="3576" max="3576" width="18.5703125" style="13" customWidth="1"/>
    <col min="3577" max="3583" width="0" style="13" hidden="1" customWidth="1"/>
    <col min="3584" max="3589" width="9.140625" style="13"/>
    <col min="3590" max="3590" width="0" style="13" hidden="1" customWidth="1"/>
    <col min="3591" max="3817" width="9.140625" style="13"/>
    <col min="3818" max="3818" width="8.7109375" style="13" customWidth="1"/>
    <col min="3819" max="3819" width="28.42578125" style="13" customWidth="1"/>
    <col min="3820" max="3820" width="6.7109375" style="13" customWidth="1"/>
    <col min="3821" max="3821" width="12.5703125" style="13" bestFit="1" customWidth="1"/>
    <col min="3822" max="3822" width="6.7109375" style="13" customWidth="1"/>
    <col min="3823" max="3823" width="16.28515625" style="13" customWidth="1"/>
    <col min="3824" max="3824" width="14.140625" style="13" customWidth="1"/>
    <col min="3825" max="3825" width="9.85546875" style="13" customWidth="1"/>
    <col min="3826" max="3826" width="13.42578125" style="13" customWidth="1"/>
    <col min="3827" max="3827" width="14.42578125" style="13" customWidth="1"/>
    <col min="3828" max="3828" width="6.42578125" style="13" customWidth="1"/>
    <col min="3829" max="3829" width="7.7109375" style="13" customWidth="1"/>
    <col min="3830" max="3830" width="16.28515625" style="13" customWidth="1"/>
    <col min="3831" max="3831" width="17.140625" style="13" customWidth="1"/>
    <col min="3832" max="3832" width="18.5703125" style="13" customWidth="1"/>
    <col min="3833" max="3839" width="0" style="13" hidden="1" customWidth="1"/>
    <col min="3840" max="3845" width="9.140625" style="13"/>
    <col min="3846" max="3846" width="0" style="13" hidden="1" customWidth="1"/>
    <col min="3847" max="4073" width="9.140625" style="13"/>
    <col min="4074" max="4074" width="8.7109375" style="13" customWidth="1"/>
    <col min="4075" max="4075" width="28.42578125" style="13" customWidth="1"/>
    <col min="4076" max="4076" width="6.7109375" style="13" customWidth="1"/>
    <col min="4077" max="4077" width="12.5703125" style="13" bestFit="1" customWidth="1"/>
    <col min="4078" max="4078" width="6.7109375" style="13" customWidth="1"/>
    <col min="4079" max="4079" width="16.28515625" style="13" customWidth="1"/>
    <col min="4080" max="4080" width="14.140625" style="13" customWidth="1"/>
    <col min="4081" max="4081" width="9.85546875" style="13" customWidth="1"/>
    <col min="4082" max="4082" width="13.42578125" style="13" customWidth="1"/>
    <col min="4083" max="4083" width="14.42578125" style="13" customWidth="1"/>
    <col min="4084" max="4084" width="6.42578125" style="13" customWidth="1"/>
    <col min="4085" max="4085" width="7.7109375" style="13" customWidth="1"/>
    <col min="4086" max="4086" width="16.28515625" style="13" customWidth="1"/>
    <col min="4087" max="4087" width="17.140625" style="13" customWidth="1"/>
    <col min="4088" max="4088" width="18.5703125" style="13" customWidth="1"/>
    <col min="4089" max="4095" width="0" style="13" hidden="1" customWidth="1"/>
    <col min="4096" max="4101" width="9.140625" style="13"/>
    <col min="4102" max="4102" width="0" style="13" hidden="1" customWidth="1"/>
    <col min="4103" max="4329" width="9.140625" style="13"/>
    <col min="4330" max="4330" width="8.7109375" style="13" customWidth="1"/>
    <col min="4331" max="4331" width="28.42578125" style="13" customWidth="1"/>
    <col min="4332" max="4332" width="6.7109375" style="13" customWidth="1"/>
    <col min="4333" max="4333" width="12.5703125" style="13" bestFit="1" customWidth="1"/>
    <col min="4334" max="4334" width="6.7109375" style="13" customWidth="1"/>
    <col min="4335" max="4335" width="16.28515625" style="13" customWidth="1"/>
    <col min="4336" max="4336" width="14.140625" style="13" customWidth="1"/>
    <col min="4337" max="4337" width="9.85546875" style="13" customWidth="1"/>
    <col min="4338" max="4338" width="13.42578125" style="13" customWidth="1"/>
    <col min="4339" max="4339" width="14.42578125" style="13" customWidth="1"/>
    <col min="4340" max="4340" width="6.42578125" style="13" customWidth="1"/>
    <col min="4341" max="4341" width="7.7109375" style="13" customWidth="1"/>
    <col min="4342" max="4342" width="16.28515625" style="13" customWidth="1"/>
    <col min="4343" max="4343" width="17.140625" style="13" customWidth="1"/>
    <col min="4344" max="4344" width="18.5703125" style="13" customWidth="1"/>
    <col min="4345" max="4351" width="0" style="13" hidden="1" customWidth="1"/>
    <col min="4352" max="4357" width="9.140625" style="13"/>
    <col min="4358" max="4358" width="0" style="13" hidden="1" customWidth="1"/>
    <col min="4359" max="4585" width="9.140625" style="13"/>
    <col min="4586" max="4586" width="8.7109375" style="13" customWidth="1"/>
    <col min="4587" max="4587" width="28.42578125" style="13" customWidth="1"/>
    <col min="4588" max="4588" width="6.7109375" style="13" customWidth="1"/>
    <col min="4589" max="4589" width="12.5703125" style="13" bestFit="1" customWidth="1"/>
    <col min="4590" max="4590" width="6.7109375" style="13" customWidth="1"/>
    <col min="4591" max="4591" width="16.28515625" style="13" customWidth="1"/>
    <col min="4592" max="4592" width="14.140625" style="13" customWidth="1"/>
    <col min="4593" max="4593" width="9.85546875" style="13" customWidth="1"/>
    <col min="4594" max="4594" width="13.42578125" style="13" customWidth="1"/>
    <col min="4595" max="4595" width="14.42578125" style="13" customWidth="1"/>
    <col min="4596" max="4596" width="6.42578125" style="13" customWidth="1"/>
    <col min="4597" max="4597" width="7.7109375" style="13" customWidth="1"/>
    <col min="4598" max="4598" width="16.28515625" style="13" customWidth="1"/>
    <col min="4599" max="4599" width="17.140625" style="13" customWidth="1"/>
    <col min="4600" max="4600" width="18.5703125" style="13" customWidth="1"/>
    <col min="4601" max="4607" width="0" style="13" hidden="1" customWidth="1"/>
    <col min="4608" max="4613" width="9.140625" style="13"/>
    <col min="4614" max="4614" width="0" style="13" hidden="1" customWidth="1"/>
    <col min="4615" max="4841" width="9.140625" style="13"/>
    <col min="4842" max="4842" width="8.7109375" style="13" customWidth="1"/>
    <col min="4843" max="4843" width="28.42578125" style="13" customWidth="1"/>
    <col min="4844" max="4844" width="6.7109375" style="13" customWidth="1"/>
    <col min="4845" max="4845" width="12.5703125" style="13" bestFit="1" customWidth="1"/>
    <col min="4846" max="4846" width="6.7109375" style="13" customWidth="1"/>
    <col min="4847" max="4847" width="16.28515625" style="13" customWidth="1"/>
    <col min="4848" max="4848" width="14.140625" style="13" customWidth="1"/>
    <col min="4849" max="4849" width="9.85546875" style="13" customWidth="1"/>
    <col min="4850" max="4850" width="13.42578125" style="13" customWidth="1"/>
    <col min="4851" max="4851" width="14.42578125" style="13" customWidth="1"/>
    <col min="4852" max="4852" width="6.42578125" style="13" customWidth="1"/>
    <col min="4853" max="4853" width="7.7109375" style="13" customWidth="1"/>
    <col min="4854" max="4854" width="16.28515625" style="13" customWidth="1"/>
    <col min="4855" max="4855" width="17.140625" style="13" customWidth="1"/>
    <col min="4856" max="4856" width="18.5703125" style="13" customWidth="1"/>
    <col min="4857" max="4863" width="0" style="13" hidden="1" customWidth="1"/>
    <col min="4864" max="4869" width="9.140625" style="13"/>
    <col min="4870" max="4870" width="0" style="13" hidden="1" customWidth="1"/>
    <col min="4871" max="5097" width="9.140625" style="13"/>
    <col min="5098" max="5098" width="8.7109375" style="13" customWidth="1"/>
    <col min="5099" max="5099" width="28.42578125" style="13" customWidth="1"/>
    <col min="5100" max="5100" width="6.7109375" style="13" customWidth="1"/>
    <col min="5101" max="5101" width="12.5703125" style="13" bestFit="1" customWidth="1"/>
    <col min="5102" max="5102" width="6.7109375" style="13" customWidth="1"/>
    <col min="5103" max="5103" width="16.28515625" style="13" customWidth="1"/>
    <col min="5104" max="5104" width="14.140625" style="13" customWidth="1"/>
    <col min="5105" max="5105" width="9.85546875" style="13" customWidth="1"/>
    <col min="5106" max="5106" width="13.42578125" style="13" customWidth="1"/>
    <col min="5107" max="5107" width="14.42578125" style="13" customWidth="1"/>
    <col min="5108" max="5108" width="6.42578125" style="13" customWidth="1"/>
    <col min="5109" max="5109" width="7.7109375" style="13" customWidth="1"/>
    <col min="5110" max="5110" width="16.28515625" style="13" customWidth="1"/>
    <col min="5111" max="5111" width="17.140625" style="13" customWidth="1"/>
    <col min="5112" max="5112" width="18.5703125" style="13" customWidth="1"/>
    <col min="5113" max="5119" width="0" style="13" hidden="1" customWidth="1"/>
    <col min="5120" max="5125" width="9.140625" style="13"/>
    <col min="5126" max="5126" width="0" style="13" hidden="1" customWidth="1"/>
    <col min="5127" max="5353" width="9.140625" style="13"/>
    <col min="5354" max="5354" width="8.7109375" style="13" customWidth="1"/>
    <col min="5355" max="5355" width="28.42578125" style="13" customWidth="1"/>
    <col min="5356" max="5356" width="6.7109375" style="13" customWidth="1"/>
    <col min="5357" max="5357" width="12.5703125" style="13" bestFit="1" customWidth="1"/>
    <col min="5358" max="5358" width="6.7109375" style="13" customWidth="1"/>
    <col min="5359" max="5359" width="16.28515625" style="13" customWidth="1"/>
    <col min="5360" max="5360" width="14.140625" style="13" customWidth="1"/>
    <col min="5361" max="5361" width="9.85546875" style="13" customWidth="1"/>
    <col min="5362" max="5362" width="13.42578125" style="13" customWidth="1"/>
    <col min="5363" max="5363" width="14.42578125" style="13" customWidth="1"/>
    <col min="5364" max="5364" width="6.42578125" style="13" customWidth="1"/>
    <col min="5365" max="5365" width="7.7109375" style="13" customWidth="1"/>
    <col min="5366" max="5366" width="16.28515625" style="13" customWidth="1"/>
    <col min="5367" max="5367" width="17.140625" style="13" customWidth="1"/>
    <col min="5368" max="5368" width="18.5703125" style="13" customWidth="1"/>
    <col min="5369" max="5375" width="0" style="13" hidden="1" customWidth="1"/>
    <col min="5376" max="5381" width="9.140625" style="13"/>
    <col min="5382" max="5382" width="0" style="13" hidden="1" customWidth="1"/>
    <col min="5383" max="5609" width="9.140625" style="13"/>
    <col min="5610" max="5610" width="8.7109375" style="13" customWidth="1"/>
    <col min="5611" max="5611" width="28.42578125" style="13" customWidth="1"/>
    <col min="5612" max="5612" width="6.7109375" style="13" customWidth="1"/>
    <col min="5613" max="5613" width="12.5703125" style="13" bestFit="1" customWidth="1"/>
    <col min="5614" max="5614" width="6.7109375" style="13" customWidth="1"/>
    <col min="5615" max="5615" width="16.28515625" style="13" customWidth="1"/>
    <col min="5616" max="5616" width="14.140625" style="13" customWidth="1"/>
    <col min="5617" max="5617" width="9.85546875" style="13" customWidth="1"/>
    <col min="5618" max="5618" width="13.42578125" style="13" customWidth="1"/>
    <col min="5619" max="5619" width="14.42578125" style="13" customWidth="1"/>
    <col min="5620" max="5620" width="6.42578125" style="13" customWidth="1"/>
    <col min="5621" max="5621" width="7.7109375" style="13" customWidth="1"/>
    <col min="5622" max="5622" width="16.28515625" style="13" customWidth="1"/>
    <col min="5623" max="5623" width="17.140625" style="13" customWidth="1"/>
    <col min="5624" max="5624" width="18.5703125" style="13" customWidth="1"/>
    <col min="5625" max="5631" width="0" style="13" hidden="1" customWidth="1"/>
    <col min="5632" max="5637" width="9.140625" style="13"/>
    <col min="5638" max="5638" width="0" style="13" hidden="1" customWidth="1"/>
    <col min="5639" max="5865" width="9.140625" style="13"/>
    <col min="5866" max="5866" width="8.7109375" style="13" customWidth="1"/>
    <col min="5867" max="5867" width="28.42578125" style="13" customWidth="1"/>
    <col min="5868" max="5868" width="6.7109375" style="13" customWidth="1"/>
    <col min="5869" max="5869" width="12.5703125" style="13" bestFit="1" customWidth="1"/>
    <col min="5870" max="5870" width="6.7109375" style="13" customWidth="1"/>
    <col min="5871" max="5871" width="16.28515625" style="13" customWidth="1"/>
    <col min="5872" max="5872" width="14.140625" style="13" customWidth="1"/>
    <col min="5873" max="5873" width="9.85546875" style="13" customWidth="1"/>
    <col min="5874" max="5874" width="13.42578125" style="13" customWidth="1"/>
    <col min="5875" max="5875" width="14.42578125" style="13" customWidth="1"/>
    <col min="5876" max="5876" width="6.42578125" style="13" customWidth="1"/>
    <col min="5877" max="5877" width="7.7109375" style="13" customWidth="1"/>
    <col min="5878" max="5878" width="16.28515625" style="13" customWidth="1"/>
    <col min="5879" max="5879" width="17.140625" style="13" customWidth="1"/>
    <col min="5880" max="5880" width="18.5703125" style="13" customWidth="1"/>
    <col min="5881" max="5887" width="0" style="13" hidden="1" customWidth="1"/>
    <col min="5888" max="5893" width="9.140625" style="13"/>
    <col min="5894" max="5894" width="0" style="13" hidden="1" customWidth="1"/>
    <col min="5895" max="6121" width="9.140625" style="13"/>
    <col min="6122" max="6122" width="8.7109375" style="13" customWidth="1"/>
    <col min="6123" max="6123" width="28.42578125" style="13" customWidth="1"/>
    <col min="6124" max="6124" width="6.7109375" style="13" customWidth="1"/>
    <col min="6125" max="6125" width="12.5703125" style="13" bestFit="1" customWidth="1"/>
    <col min="6126" max="6126" width="6.7109375" style="13" customWidth="1"/>
    <col min="6127" max="6127" width="16.28515625" style="13" customWidth="1"/>
    <col min="6128" max="6128" width="14.140625" style="13" customWidth="1"/>
    <col min="6129" max="6129" width="9.85546875" style="13" customWidth="1"/>
    <col min="6130" max="6130" width="13.42578125" style="13" customWidth="1"/>
    <col min="6131" max="6131" width="14.42578125" style="13" customWidth="1"/>
    <col min="6132" max="6132" width="6.42578125" style="13" customWidth="1"/>
    <col min="6133" max="6133" width="7.7109375" style="13" customWidth="1"/>
    <col min="6134" max="6134" width="16.28515625" style="13" customWidth="1"/>
    <col min="6135" max="6135" width="17.140625" style="13" customWidth="1"/>
    <col min="6136" max="6136" width="18.5703125" style="13" customWidth="1"/>
    <col min="6137" max="6143" width="0" style="13" hidden="1" customWidth="1"/>
    <col min="6144" max="6149" width="9.140625" style="13"/>
    <col min="6150" max="6150" width="0" style="13" hidden="1" customWidth="1"/>
    <col min="6151" max="6377" width="9.140625" style="13"/>
    <col min="6378" max="6378" width="8.7109375" style="13" customWidth="1"/>
    <col min="6379" max="6379" width="28.42578125" style="13" customWidth="1"/>
    <col min="6380" max="6380" width="6.7109375" style="13" customWidth="1"/>
    <col min="6381" max="6381" width="12.5703125" style="13" bestFit="1" customWidth="1"/>
    <col min="6382" max="6382" width="6.7109375" style="13" customWidth="1"/>
    <col min="6383" max="6383" width="16.28515625" style="13" customWidth="1"/>
    <col min="6384" max="6384" width="14.140625" style="13" customWidth="1"/>
    <col min="6385" max="6385" width="9.85546875" style="13" customWidth="1"/>
    <col min="6386" max="6386" width="13.42578125" style="13" customWidth="1"/>
    <col min="6387" max="6387" width="14.42578125" style="13" customWidth="1"/>
    <col min="6388" max="6388" width="6.42578125" style="13" customWidth="1"/>
    <col min="6389" max="6389" width="7.7109375" style="13" customWidth="1"/>
    <col min="6390" max="6390" width="16.28515625" style="13" customWidth="1"/>
    <col min="6391" max="6391" width="17.140625" style="13" customWidth="1"/>
    <col min="6392" max="6392" width="18.5703125" style="13" customWidth="1"/>
    <col min="6393" max="6399" width="0" style="13" hidden="1" customWidth="1"/>
    <col min="6400" max="6405" width="9.140625" style="13"/>
    <col min="6406" max="6406" width="0" style="13" hidden="1" customWidth="1"/>
    <col min="6407" max="6633" width="9.140625" style="13"/>
    <col min="6634" max="6634" width="8.7109375" style="13" customWidth="1"/>
    <col min="6635" max="6635" width="28.42578125" style="13" customWidth="1"/>
    <col min="6636" max="6636" width="6.7109375" style="13" customWidth="1"/>
    <col min="6637" max="6637" width="12.5703125" style="13" bestFit="1" customWidth="1"/>
    <col min="6638" max="6638" width="6.7109375" style="13" customWidth="1"/>
    <col min="6639" max="6639" width="16.28515625" style="13" customWidth="1"/>
    <col min="6640" max="6640" width="14.140625" style="13" customWidth="1"/>
    <col min="6641" max="6641" width="9.85546875" style="13" customWidth="1"/>
    <col min="6642" max="6642" width="13.42578125" style="13" customWidth="1"/>
    <col min="6643" max="6643" width="14.42578125" style="13" customWidth="1"/>
    <col min="6644" max="6644" width="6.42578125" style="13" customWidth="1"/>
    <col min="6645" max="6645" width="7.7109375" style="13" customWidth="1"/>
    <col min="6646" max="6646" width="16.28515625" style="13" customWidth="1"/>
    <col min="6647" max="6647" width="17.140625" style="13" customWidth="1"/>
    <col min="6648" max="6648" width="18.5703125" style="13" customWidth="1"/>
    <col min="6649" max="6655" width="0" style="13" hidden="1" customWidth="1"/>
    <col min="6656" max="6661" width="9.140625" style="13"/>
    <col min="6662" max="6662" width="0" style="13" hidden="1" customWidth="1"/>
    <col min="6663" max="6889" width="9.140625" style="13"/>
    <col min="6890" max="6890" width="8.7109375" style="13" customWidth="1"/>
    <col min="6891" max="6891" width="28.42578125" style="13" customWidth="1"/>
    <col min="6892" max="6892" width="6.7109375" style="13" customWidth="1"/>
    <col min="6893" max="6893" width="12.5703125" style="13" bestFit="1" customWidth="1"/>
    <col min="6894" max="6894" width="6.7109375" style="13" customWidth="1"/>
    <col min="6895" max="6895" width="16.28515625" style="13" customWidth="1"/>
    <col min="6896" max="6896" width="14.140625" style="13" customWidth="1"/>
    <col min="6897" max="6897" width="9.85546875" style="13" customWidth="1"/>
    <col min="6898" max="6898" width="13.42578125" style="13" customWidth="1"/>
    <col min="6899" max="6899" width="14.42578125" style="13" customWidth="1"/>
    <col min="6900" max="6900" width="6.42578125" style="13" customWidth="1"/>
    <col min="6901" max="6901" width="7.7109375" style="13" customWidth="1"/>
    <col min="6902" max="6902" width="16.28515625" style="13" customWidth="1"/>
    <col min="6903" max="6903" width="17.140625" style="13" customWidth="1"/>
    <col min="6904" max="6904" width="18.5703125" style="13" customWidth="1"/>
    <col min="6905" max="6911" width="0" style="13" hidden="1" customWidth="1"/>
    <col min="6912" max="6917" width="9.140625" style="13"/>
    <col min="6918" max="6918" width="0" style="13" hidden="1" customWidth="1"/>
    <col min="6919" max="7145" width="9.140625" style="13"/>
    <col min="7146" max="7146" width="8.7109375" style="13" customWidth="1"/>
    <col min="7147" max="7147" width="28.42578125" style="13" customWidth="1"/>
    <col min="7148" max="7148" width="6.7109375" style="13" customWidth="1"/>
    <col min="7149" max="7149" width="12.5703125" style="13" bestFit="1" customWidth="1"/>
    <col min="7150" max="7150" width="6.7109375" style="13" customWidth="1"/>
    <col min="7151" max="7151" width="16.28515625" style="13" customWidth="1"/>
    <col min="7152" max="7152" width="14.140625" style="13" customWidth="1"/>
    <col min="7153" max="7153" width="9.85546875" style="13" customWidth="1"/>
    <col min="7154" max="7154" width="13.42578125" style="13" customWidth="1"/>
    <col min="7155" max="7155" width="14.42578125" style="13" customWidth="1"/>
    <col min="7156" max="7156" width="6.42578125" style="13" customWidth="1"/>
    <col min="7157" max="7157" width="7.7109375" style="13" customWidth="1"/>
    <col min="7158" max="7158" width="16.28515625" style="13" customWidth="1"/>
    <col min="7159" max="7159" width="17.140625" style="13" customWidth="1"/>
    <col min="7160" max="7160" width="18.5703125" style="13" customWidth="1"/>
    <col min="7161" max="7167" width="0" style="13" hidden="1" customWidth="1"/>
    <col min="7168" max="7173" width="9.140625" style="13"/>
    <col min="7174" max="7174" width="0" style="13" hidden="1" customWidth="1"/>
    <col min="7175" max="7401" width="9.140625" style="13"/>
    <col min="7402" max="7402" width="8.7109375" style="13" customWidth="1"/>
    <col min="7403" max="7403" width="28.42578125" style="13" customWidth="1"/>
    <col min="7404" max="7404" width="6.7109375" style="13" customWidth="1"/>
    <col min="7405" max="7405" width="12.5703125" style="13" bestFit="1" customWidth="1"/>
    <col min="7406" max="7406" width="6.7109375" style="13" customWidth="1"/>
    <col min="7407" max="7407" width="16.28515625" style="13" customWidth="1"/>
    <col min="7408" max="7408" width="14.140625" style="13" customWidth="1"/>
    <col min="7409" max="7409" width="9.85546875" style="13" customWidth="1"/>
    <col min="7410" max="7410" width="13.42578125" style="13" customWidth="1"/>
    <col min="7411" max="7411" width="14.42578125" style="13" customWidth="1"/>
    <col min="7412" max="7412" width="6.42578125" style="13" customWidth="1"/>
    <col min="7413" max="7413" width="7.7109375" style="13" customWidth="1"/>
    <col min="7414" max="7414" width="16.28515625" style="13" customWidth="1"/>
    <col min="7415" max="7415" width="17.140625" style="13" customWidth="1"/>
    <col min="7416" max="7416" width="18.5703125" style="13" customWidth="1"/>
    <col min="7417" max="7423" width="0" style="13" hidden="1" customWidth="1"/>
    <col min="7424" max="7429" width="9.140625" style="13"/>
    <col min="7430" max="7430" width="0" style="13" hidden="1" customWidth="1"/>
    <col min="7431" max="7657" width="9.140625" style="13"/>
    <col min="7658" max="7658" width="8.7109375" style="13" customWidth="1"/>
    <col min="7659" max="7659" width="28.42578125" style="13" customWidth="1"/>
    <col min="7660" max="7660" width="6.7109375" style="13" customWidth="1"/>
    <col min="7661" max="7661" width="12.5703125" style="13" bestFit="1" customWidth="1"/>
    <col min="7662" max="7662" width="6.7109375" style="13" customWidth="1"/>
    <col min="7663" max="7663" width="16.28515625" style="13" customWidth="1"/>
    <col min="7664" max="7664" width="14.140625" style="13" customWidth="1"/>
    <col min="7665" max="7665" width="9.85546875" style="13" customWidth="1"/>
    <col min="7666" max="7666" width="13.42578125" style="13" customWidth="1"/>
    <col min="7667" max="7667" width="14.42578125" style="13" customWidth="1"/>
    <col min="7668" max="7668" width="6.42578125" style="13" customWidth="1"/>
    <col min="7669" max="7669" width="7.7109375" style="13" customWidth="1"/>
    <col min="7670" max="7670" width="16.28515625" style="13" customWidth="1"/>
    <col min="7671" max="7671" width="17.140625" style="13" customWidth="1"/>
    <col min="7672" max="7672" width="18.5703125" style="13" customWidth="1"/>
    <col min="7673" max="7679" width="0" style="13" hidden="1" customWidth="1"/>
    <col min="7680" max="7685" width="9.140625" style="13"/>
    <col min="7686" max="7686" width="0" style="13" hidden="1" customWidth="1"/>
    <col min="7687" max="7913" width="9.140625" style="13"/>
    <col min="7914" max="7914" width="8.7109375" style="13" customWidth="1"/>
    <col min="7915" max="7915" width="28.42578125" style="13" customWidth="1"/>
    <col min="7916" max="7916" width="6.7109375" style="13" customWidth="1"/>
    <col min="7917" max="7917" width="12.5703125" style="13" bestFit="1" customWidth="1"/>
    <col min="7918" max="7918" width="6.7109375" style="13" customWidth="1"/>
    <col min="7919" max="7919" width="16.28515625" style="13" customWidth="1"/>
    <col min="7920" max="7920" width="14.140625" style="13" customWidth="1"/>
    <col min="7921" max="7921" width="9.85546875" style="13" customWidth="1"/>
    <col min="7922" max="7922" width="13.42578125" style="13" customWidth="1"/>
    <col min="7923" max="7923" width="14.42578125" style="13" customWidth="1"/>
    <col min="7924" max="7924" width="6.42578125" style="13" customWidth="1"/>
    <col min="7925" max="7925" width="7.7109375" style="13" customWidth="1"/>
    <col min="7926" max="7926" width="16.28515625" style="13" customWidth="1"/>
    <col min="7927" max="7927" width="17.140625" style="13" customWidth="1"/>
    <col min="7928" max="7928" width="18.5703125" style="13" customWidth="1"/>
    <col min="7929" max="7935" width="0" style="13" hidden="1" customWidth="1"/>
    <col min="7936" max="7941" width="9.140625" style="13"/>
    <col min="7942" max="7942" width="0" style="13" hidden="1" customWidth="1"/>
    <col min="7943" max="8169" width="9.140625" style="13"/>
    <col min="8170" max="8170" width="8.7109375" style="13" customWidth="1"/>
    <col min="8171" max="8171" width="28.42578125" style="13" customWidth="1"/>
    <col min="8172" max="8172" width="6.7109375" style="13" customWidth="1"/>
    <col min="8173" max="8173" width="12.5703125" style="13" bestFit="1" customWidth="1"/>
    <col min="8174" max="8174" width="6.7109375" style="13" customWidth="1"/>
    <col min="8175" max="8175" width="16.28515625" style="13" customWidth="1"/>
    <col min="8176" max="8176" width="14.140625" style="13" customWidth="1"/>
    <col min="8177" max="8177" width="9.85546875" style="13" customWidth="1"/>
    <col min="8178" max="8178" width="13.42578125" style="13" customWidth="1"/>
    <col min="8179" max="8179" width="14.42578125" style="13" customWidth="1"/>
    <col min="8180" max="8180" width="6.42578125" style="13" customWidth="1"/>
    <col min="8181" max="8181" width="7.7109375" style="13" customWidth="1"/>
    <col min="8182" max="8182" width="16.28515625" style="13" customWidth="1"/>
    <col min="8183" max="8183" width="17.140625" style="13" customWidth="1"/>
    <col min="8184" max="8184" width="18.5703125" style="13" customWidth="1"/>
    <col min="8185" max="8191" width="0" style="13" hidden="1" customWidth="1"/>
    <col min="8192" max="8197" width="9.140625" style="13"/>
    <col min="8198" max="8198" width="0" style="13" hidden="1" customWidth="1"/>
    <col min="8199" max="8425" width="9.140625" style="13"/>
    <col min="8426" max="8426" width="8.7109375" style="13" customWidth="1"/>
    <col min="8427" max="8427" width="28.42578125" style="13" customWidth="1"/>
    <col min="8428" max="8428" width="6.7109375" style="13" customWidth="1"/>
    <col min="8429" max="8429" width="12.5703125" style="13" bestFit="1" customWidth="1"/>
    <col min="8430" max="8430" width="6.7109375" style="13" customWidth="1"/>
    <col min="8431" max="8431" width="16.28515625" style="13" customWidth="1"/>
    <col min="8432" max="8432" width="14.140625" style="13" customWidth="1"/>
    <col min="8433" max="8433" width="9.85546875" style="13" customWidth="1"/>
    <col min="8434" max="8434" width="13.42578125" style="13" customWidth="1"/>
    <col min="8435" max="8435" width="14.42578125" style="13" customWidth="1"/>
    <col min="8436" max="8436" width="6.42578125" style="13" customWidth="1"/>
    <col min="8437" max="8437" width="7.7109375" style="13" customWidth="1"/>
    <col min="8438" max="8438" width="16.28515625" style="13" customWidth="1"/>
    <col min="8439" max="8439" width="17.140625" style="13" customWidth="1"/>
    <col min="8440" max="8440" width="18.5703125" style="13" customWidth="1"/>
    <col min="8441" max="8447" width="0" style="13" hidden="1" customWidth="1"/>
    <col min="8448" max="8453" width="9.140625" style="13"/>
    <col min="8454" max="8454" width="0" style="13" hidden="1" customWidth="1"/>
    <col min="8455" max="8681" width="9.140625" style="13"/>
    <col min="8682" max="8682" width="8.7109375" style="13" customWidth="1"/>
    <col min="8683" max="8683" width="28.42578125" style="13" customWidth="1"/>
    <col min="8684" max="8684" width="6.7109375" style="13" customWidth="1"/>
    <col min="8685" max="8685" width="12.5703125" style="13" bestFit="1" customWidth="1"/>
    <col min="8686" max="8686" width="6.7109375" style="13" customWidth="1"/>
    <col min="8687" max="8687" width="16.28515625" style="13" customWidth="1"/>
    <col min="8688" max="8688" width="14.140625" style="13" customWidth="1"/>
    <col min="8689" max="8689" width="9.85546875" style="13" customWidth="1"/>
    <col min="8690" max="8690" width="13.42578125" style="13" customWidth="1"/>
    <col min="8691" max="8691" width="14.42578125" style="13" customWidth="1"/>
    <col min="8692" max="8692" width="6.42578125" style="13" customWidth="1"/>
    <col min="8693" max="8693" width="7.7109375" style="13" customWidth="1"/>
    <col min="8694" max="8694" width="16.28515625" style="13" customWidth="1"/>
    <col min="8695" max="8695" width="17.140625" style="13" customWidth="1"/>
    <col min="8696" max="8696" width="18.5703125" style="13" customWidth="1"/>
    <col min="8697" max="8703" width="0" style="13" hidden="1" customWidth="1"/>
    <col min="8704" max="8709" width="9.140625" style="13"/>
    <col min="8710" max="8710" width="0" style="13" hidden="1" customWidth="1"/>
    <col min="8711" max="8937" width="9.140625" style="13"/>
    <col min="8938" max="8938" width="8.7109375" style="13" customWidth="1"/>
    <col min="8939" max="8939" width="28.42578125" style="13" customWidth="1"/>
    <col min="8940" max="8940" width="6.7109375" style="13" customWidth="1"/>
    <col min="8941" max="8941" width="12.5703125" style="13" bestFit="1" customWidth="1"/>
    <col min="8942" max="8942" width="6.7109375" style="13" customWidth="1"/>
    <col min="8943" max="8943" width="16.28515625" style="13" customWidth="1"/>
    <col min="8944" max="8944" width="14.140625" style="13" customWidth="1"/>
    <col min="8945" max="8945" width="9.85546875" style="13" customWidth="1"/>
    <col min="8946" max="8946" width="13.42578125" style="13" customWidth="1"/>
    <col min="8947" max="8947" width="14.42578125" style="13" customWidth="1"/>
    <col min="8948" max="8948" width="6.42578125" style="13" customWidth="1"/>
    <col min="8949" max="8949" width="7.7109375" style="13" customWidth="1"/>
    <col min="8950" max="8950" width="16.28515625" style="13" customWidth="1"/>
    <col min="8951" max="8951" width="17.140625" style="13" customWidth="1"/>
    <col min="8952" max="8952" width="18.5703125" style="13" customWidth="1"/>
    <col min="8953" max="8959" width="0" style="13" hidden="1" customWidth="1"/>
    <col min="8960" max="8965" width="9.140625" style="13"/>
    <col min="8966" max="8966" width="0" style="13" hidden="1" customWidth="1"/>
    <col min="8967" max="9193" width="9.140625" style="13"/>
    <col min="9194" max="9194" width="8.7109375" style="13" customWidth="1"/>
    <col min="9195" max="9195" width="28.42578125" style="13" customWidth="1"/>
    <col min="9196" max="9196" width="6.7109375" style="13" customWidth="1"/>
    <col min="9197" max="9197" width="12.5703125" style="13" bestFit="1" customWidth="1"/>
    <col min="9198" max="9198" width="6.7109375" style="13" customWidth="1"/>
    <col min="9199" max="9199" width="16.28515625" style="13" customWidth="1"/>
    <col min="9200" max="9200" width="14.140625" style="13" customWidth="1"/>
    <col min="9201" max="9201" width="9.85546875" style="13" customWidth="1"/>
    <col min="9202" max="9202" width="13.42578125" style="13" customWidth="1"/>
    <col min="9203" max="9203" width="14.42578125" style="13" customWidth="1"/>
    <col min="9204" max="9204" width="6.42578125" style="13" customWidth="1"/>
    <col min="9205" max="9205" width="7.7109375" style="13" customWidth="1"/>
    <col min="9206" max="9206" width="16.28515625" style="13" customWidth="1"/>
    <col min="9207" max="9207" width="17.140625" style="13" customWidth="1"/>
    <col min="9208" max="9208" width="18.5703125" style="13" customWidth="1"/>
    <col min="9209" max="9215" width="0" style="13" hidden="1" customWidth="1"/>
    <col min="9216" max="9221" width="9.140625" style="13"/>
    <col min="9222" max="9222" width="0" style="13" hidden="1" customWidth="1"/>
    <col min="9223" max="9449" width="9.140625" style="13"/>
    <col min="9450" max="9450" width="8.7109375" style="13" customWidth="1"/>
    <col min="9451" max="9451" width="28.42578125" style="13" customWidth="1"/>
    <col min="9452" max="9452" width="6.7109375" style="13" customWidth="1"/>
    <col min="9453" max="9453" width="12.5703125" style="13" bestFit="1" customWidth="1"/>
    <col min="9454" max="9454" width="6.7109375" style="13" customWidth="1"/>
    <col min="9455" max="9455" width="16.28515625" style="13" customWidth="1"/>
    <col min="9456" max="9456" width="14.140625" style="13" customWidth="1"/>
    <col min="9457" max="9457" width="9.85546875" style="13" customWidth="1"/>
    <col min="9458" max="9458" width="13.42578125" style="13" customWidth="1"/>
    <col min="9459" max="9459" width="14.42578125" style="13" customWidth="1"/>
    <col min="9460" max="9460" width="6.42578125" style="13" customWidth="1"/>
    <col min="9461" max="9461" width="7.7109375" style="13" customWidth="1"/>
    <col min="9462" max="9462" width="16.28515625" style="13" customWidth="1"/>
    <col min="9463" max="9463" width="17.140625" style="13" customWidth="1"/>
    <col min="9464" max="9464" width="18.5703125" style="13" customWidth="1"/>
    <col min="9465" max="9471" width="0" style="13" hidden="1" customWidth="1"/>
    <col min="9472" max="9477" width="9.140625" style="13"/>
    <col min="9478" max="9478" width="0" style="13" hidden="1" customWidth="1"/>
    <col min="9479" max="9705" width="9.140625" style="13"/>
    <col min="9706" max="9706" width="8.7109375" style="13" customWidth="1"/>
    <col min="9707" max="9707" width="28.42578125" style="13" customWidth="1"/>
    <col min="9708" max="9708" width="6.7109375" style="13" customWidth="1"/>
    <col min="9709" max="9709" width="12.5703125" style="13" bestFit="1" customWidth="1"/>
    <col min="9710" max="9710" width="6.7109375" style="13" customWidth="1"/>
    <col min="9711" max="9711" width="16.28515625" style="13" customWidth="1"/>
    <col min="9712" max="9712" width="14.140625" style="13" customWidth="1"/>
    <col min="9713" max="9713" width="9.85546875" style="13" customWidth="1"/>
    <col min="9714" max="9714" width="13.42578125" style="13" customWidth="1"/>
    <col min="9715" max="9715" width="14.42578125" style="13" customWidth="1"/>
    <col min="9716" max="9716" width="6.42578125" style="13" customWidth="1"/>
    <col min="9717" max="9717" width="7.7109375" style="13" customWidth="1"/>
    <col min="9718" max="9718" width="16.28515625" style="13" customWidth="1"/>
    <col min="9719" max="9719" width="17.140625" style="13" customWidth="1"/>
    <col min="9720" max="9720" width="18.5703125" style="13" customWidth="1"/>
    <col min="9721" max="9727" width="0" style="13" hidden="1" customWidth="1"/>
    <col min="9728" max="9733" width="9.140625" style="13"/>
    <col min="9734" max="9734" width="0" style="13" hidden="1" customWidth="1"/>
    <col min="9735" max="9961" width="9.140625" style="13"/>
    <col min="9962" max="9962" width="8.7109375" style="13" customWidth="1"/>
    <col min="9963" max="9963" width="28.42578125" style="13" customWidth="1"/>
    <col min="9964" max="9964" width="6.7109375" style="13" customWidth="1"/>
    <col min="9965" max="9965" width="12.5703125" style="13" bestFit="1" customWidth="1"/>
    <col min="9966" max="9966" width="6.7109375" style="13" customWidth="1"/>
    <col min="9967" max="9967" width="16.28515625" style="13" customWidth="1"/>
    <col min="9968" max="9968" width="14.140625" style="13" customWidth="1"/>
    <col min="9969" max="9969" width="9.85546875" style="13" customWidth="1"/>
    <col min="9970" max="9970" width="13.42578125" style="13" customWidth="1"/>
    <col min="9971" max="9971" width="14.42578125" style="13" customWidth="1"/>
    <col min="9972" max="9972" width="6.42578125" style="13" customWidth="1"/>
    <col min="9973" max="9973" width="7.7109375" style="13" customWidth="1"/>
    <col min="9974" max="9974" width="16.28515625" style="13" customWidth="1"/>
    <col min="9975" max="9975" width="17.140625" style="13" customWidth="1"/>
    <col min="9976" max="9976" width="18.5703125" style="13" customWidth="1"/>
    <col min="9977" max="9983" width="0" style="13" hidden="1" customWidth="1"/>
    <col min="9984" max="9989" width="9.140625" style="13"/>
    <col min="9990" max="9990" width="0" style="13" hidden="1" customWidth="1"/>
    <col min="9991" max="10217" width="9.140625" style="13"/>
    <col min="10218" max="10218" width="8.7109375" style="13" customWidth="1"/>
    <col min="10219" max="10219" width="28.42578125" style="13" customWidth="1"/>
    <col min="10220" max="10220" width="6.7109375" style="13" customWidth="1"/>
    <col min="10221" max="10221" width="12.5703125" style="13" bestFit="1" customWidth="1"/>
    <col min="10222" max="10222" width="6.7109375" style="13" customWidth="1"/>
    <col min="10223" max="10223" width="16.28515625" style="13" customWidth="1"/>
    <col min="10224" max="10224" width="14.140625" style="13" customWidth="1"/>
    <col min="10225" max="10225" width="9.85546875" style="13" customWidth="1"/>
    <col min="10226" max="10226" width="13.42578125" style="13" customWidth="1"/>
    <col min="10227" max="10227" width="14.42578125" style="13" customWidth="1"/>
    <col min="10228" max="10228" width="6.42578125" style="13" customWidth="1"/>
    <col min="10229" max="10229" width="7.7109375" style="13" customWidth="1"/>
    <col min="10230" max="10230" width="16.28515625" style="13" customWidth="1"/>
    <col min="10231" max="10231" width="17.140625" style="13" customWidth="1"/>
    <col min="10232" max="10232" width="18.5703125" style="13" customWidth="1"/>
    <col min="10233" max="10239" width="0" style="13" hidden="1" customWidth="1"/>
    <col min="10240" max="10245" width="9.140625" style="13"/>
    <col min="10246" max="10246" width="0" style="13" hidden="1" customWidth="1"/>
    <col min="10247" max="10473" width="9.140625" style="13"/>
    <col min="10474" max="10474" width="8.7109375" style="13" customWidth="1"/>
    <col min="10475" max="10475" width="28.42578125" style="13" customWidth="1"/>
    <col min="10476" max="10476" width="6.7109375" style="13" customWidth="1"/>
    <col min="10477" max="10477" width="12.5703125" style="13" bestFit="1" customWidth="1"/>
    <col min="10478" max="10478" width="6.7109375" style="13" customWidth="1"/>
    <col min="10479" max="10479" width="16.28515625" style="13" customWidth="1"/>
    <col min="10480" max="10480" width="14.140625" style="13" customWidth="1"/>
    <col min="10481" max="10481" width="9.85546875" style="13" customWidth="1"/>
    <col min="10482" max="10482" width="13.42578125" style="13" customWidth="1"/>
    <col min="10483" max="10483" width="14.42578125" style="13" customWidth="1"/>
    <col min="10484" max="10484" width="6.42578125" style="13" customWidth="1"/>
    <col min="10485" max="10485" width="7.7109375" style="13" customWidth="1"/>
    <col min="10486" max="10486" width="16.28515625" style="13" customWidth="1"/>
    <col min="10487" max="10487" width="17.140625" style="13" customWidth="1"/>
    <col min="10488" max="10488" width="18.5703125" style="13" customWidth="1"/>
    <col min="10489" max="10495" width="0" style="13" hidden="1" customWidth="1"/>
    <col min="10496" max="10501" width="9.140625" style="13"/>
    <col min="10502" max="10502" width="0" style="13" hidden="1" customWidth="1"/>
    <col min="10503" max="10729" width="9.140625" style="13"/>
    <col min="10730" max="10730" width="8.7109375" style="13" customWidth="1"/>
    <col min="10731" max="10731" width="28.42578125" style="13" customWidth="1"/>
    <col min="10732" max="10732" width="6.7109375" style="13" customWidth="1"/>
    <col min="10733" max="10733" width="12.5703125" style="13" bestFit="1" customWidth="1"/>
    <col min="10734" max="10734" width="6.7109375" style="13" customWidth="1"/>
    <col min="10735" max="10735" width="16.28515625" style="13" customWidth="1"/>
    <col min="10736" max="10736" width="14.140625" style="13" customWidth="1"/>
    <col min="10737" max="10737" width="9.85546875" style="13" customWidth="1"/>
    <col min="10738" max="10738" width="13.42578125" style="13" customWidth="1"/>
    <col min="10739" max="10739" width="14.42578125" style="13" customWidth="1"/>
    <col min="10740" max="10740" width="6.42578125" style="13" customWidth="1"/>
    <col min="10741" max="10741" width="7.7109375" style="13" customWidth="1"/>
    <col min="10742" max="10742" width="16.28515625" style="13" customWidth="1"/>
    <col min="10743" max="10743" width="17.140625" style="13" customWidth="1"/>
    <col min="10744" max="10744" width="18.5703125" style="13" customWidth="1"/>
    <col min="10745" max="10751" width="0" style="13" hidden="1" customWidth="1"/>
    <col min="10752" max="10757" width="9.140625" style="13"/>
    <col min="10758" max="10758" width="0" style="13" hidden="1" customWidth="1"/>
    <col min="10759" max="10985" width="9.140625" style="13"/>
    <col min="10986" max="10986" width="8.7109375" style="13" customWidth="1"/>
    <col min="10987" max="10987" width="28.42578125" style="13" customWidth="1"/>
    <col min="10988" max="10988" width="6.7109375" style="13" customWidth="1"/>
    <col min="10989" max="10989" width="12.5703125" style="13" bestFit="1" customWidth="1"/>
    <col min="10990" max="10990" width="6.7109375" style="13" customWidth="1"/>
    <col min="10991" max="10991" width="16.28515625" style="13" customWidth="1"/>
    <col min="10992" max="10992" width="14.140625" style="13" customWidth="1"/>
    <col min="10993" max="10993" width="9.85546875" style="13" customWidth="1"/>
    <col min="10994" max="10994" width="13.42578125" style="13" customWidth="1"/>
    <col min="10995" max="10995" width="14.42578125" style="13" customWidth="1"/>
    <col min="10996" max="10996" width="6.42578125" style="13" customWidth="1"/>
    <col min="10997" max="10997" width="7.7109375" style="13" customWidth="1"/>
    <col min="10998" max="10998" width="16.28515625" style="13" customWidth="1"/>
    <col min="10999" max="10999" width="17.140625" style="13" customWidth="1"/>
    <col min="11000" max="11000" width="18.5703125" style="13" customWidth="1"/>
    <col min="11001" max="11007" width="0" style="13" hidden="1" customWidth="1"/>
    <col min="11008" max="11013" width="9.140625" style="13"/>
    <col min="11014" max="11014" width="0" style="13" hidden="1" customWidth="1"/>
    <col min="11015" max="11241" width="9.140625" style="13"/>
    <col min="11242" max="11242" width="8.7109375" style="13" customWidth="1"/>
    <col min="11243" max="11243" width="28.42578125" style="13" customWidth="1"/>
    <col min="11244" max="11244" width="6.7109375" style="13" customWidth="1"/>
    <col min="11245" max="11245" width="12.5703125" style="13" bestFit="1" customWidth="1"/>
    <col min="11246" max="11246" width="6.7109375" style="13" customWidth="1"/>
    <col min="11247" max="11247" width="16.28515625" style="13" customWidth="1"/>
    <col min="11248" max="11248" width="14.140625" style="13" customWidth="1"/>
    <col min="11249" max="11249" width="9.85546875" style="13" customWidth="1"/>
    <col min="11250" max="11250" width="13.42578125" style="13" customWidth="1"/>
    <col min="11251" max="11251" width="14.42578125" style="13" customWidth="1"/>
    <col min="11252" max="11252" width="6.42578125" style="13" customWidth="1"/>
    <col min="11253" max="11253" width="7.7109375" style="13" customWidth="1"/>
    <col min="11254" max="11254" width="16.28515625" style="13" customWidth="1"/>
    <col min="11255" max="11255" width="17.140625" style="13" customWidth="1"/>
    <col min="11256" max="11256" width="18.5703125" style="13" customWidth="1"/>
    <col min="11257" max="11263" width="0" style="13" hidden="1" customWidth="1"/>
    <col min="11264" max="11269" width="9.140625" style="13"/>
    <col min="11270" max="11270" width="0" style="13" hidden="1" customWidth="1"/>
    <col min="11271" max="11497" width="9.140625" style="13"/>
    <col min="11498" max="11498" width="8.7109375" style="13" customWidth="1"/>
    <col min="11499" max="11499" width="28.42578125" style="13" customWidth="1"/>
    <col min="11500" max="11500" width="6.7109375" style="13" customWidth="1"/>
    <col min="11501" max="11501" width="12.5703125" style="13" bestFit="1" customWidth="1"/>
    <col min="11502" max="11502" width="6.7109375" style="13" customWidth="1"/>
    <col min="11503" max="11503" width="16.28515625" style="13" customWidth="1"/>
    <col min="11504" max="11504" width="14.140625" style="13" customWidth="1"/>
    <col min="11505" max="11505" width="9.85546875" style="13" customWidth="1"/>
    <col min="11506" max="11506" width="13.42578125" style="13" customWidth="1"/>
    <col min="11507" max="11507" width="14.42578125" style="13" customWidth="1"/>
    <col min="11508" max="11508" width="6.42578125" style="13" customWidth="1"/>
    <col min="11509" max="11509" width="7.7109375" style="13" customWidth="1"/>
    <col min="11510" max="11510" width="16.28515625" style="13" customWidth="1"/>
    <col min="11511" max="11511" width="17.140625" style="13" customWidth="1"/>
    <col min="11512" max="11512" width="18.5703125" style="13" customWidth="1"/>
    <col min="11513" max="11519" width="0" style="13" hidden="1" customWidth="1"/>
    <col min="11520" max="11525" width="9.140625" style="13"/>
    <col min="11526" max="11526" width="0" style="13" hidden="1" customWidth="1"/>
    <col min="11527" max="11753" width="9.140625" style="13"/>
    <col min="11754" max="11754" width="8.7109375" style="13" customWidth="1"/>
    <col min="11755" max="11755" width="28.42578125" style="13" customWidth="1"/>
    <col min="11756" max="11756" width="6.7109375" style="13" customWidth="1"/>
    <col min="11757" max="11757" width="12.5703125" style="13" bestFit="1" customWidth="1"/>
    <col min="11758" max="11758" width="6.7109375" style="13" customWidth="1"/>
    <col min="11759" max="11759" width="16.28515625" style="13" customWidth="1"/>
    <col min="11760" max="11760" width="14.140625" style="13" customWidth="1"/>
    <col min="11761" max="11761" width="9.85546875" style="13" customWidth="1"/>
    <col min="11762" max="11762" width="13.42578125" style="13" customWidth="1"/>
    <col min="11763" max="11763" width="14.42578125" style="13" customWidth="1"/>
    <col min="11764" max="11764" width="6.42578125" style="13" customWidth="1"/>
    <col min="11765" max="11765" width="7.7109375" style="13" customWidth="1"/>
    <col min="11766" max="11766" width="16.28515625" style="13" customWidth="1"/>
    <col min="11767" max="11767" width="17.140625" style="13" customWidth="1"/>
    <col min="11768" max="11768" width="18.5703125" style="13" customWidth="1"/>
    <col min="11769" max="11775" width="0" style="13" hidden="1" customWidth="1"/>
    <col min="11776" max="11781" width="9.140625" style="13"/>
    <col min="11782" max="11782" width="0" style="13" hidden="1" customWidth="1"/>
    <col min="11783" max="12009" width="9.140625" style="13"/>
    <col min="12010" max="12010" width="8.7109375" style="13" customWidth="1"/>
    <col min="12011" max="12011" width="28.42578125" style="13" customWidth="1"/>
    <col min="12012" max="12012" width="6.7109375" style="13" customWidth="1"/>
    <col min="12013" max="12013" width="12.5703125" style="13" bestFit="1" customWidth="1"/>
    <col min="12014" max="12014" width="6.7109375" style="13" customWidth="1"/>
    <col min="12015" max="12015" width="16.28515625" style="13" customWidth="1"/>
    <col min="12016" max="12016" width="14.140625" style="13" customWidth="1"/>
    <col min="12017" max="12017" width="9.85546875" style="13" customWidth="1"/>
    <col min="12018" max="12018" width="13.42578125" style="13" customWidth="1"/>
    <col min="12019" max="12019" width="14.42578125" style="13" customWidth="1"/>
    <col min="12020" max="12020" width="6.42578125" style="13" customWidth="1"/>
    <col min="12021" max="12021" width="7.7109375" style="13" customWidth="1"/>
    <col min="12022" max="12022" width="16.28515625" style="13" customWidth="1"/>
    <col min="12023" max="12023" width="17.140625" style="13" customWidth="1"/>
    <col min="12024" max="12024" width="18.5703125" style="13" customWidth="1"/>
    <col min="12025" max="12031" width="0" style="13" hidden="1" customWidth="1"/>
    <col min="12032" max="12037" width="9.140625" style="13"/>
    <col min="12038" max="12038" width="0" style="13" hidden="1" customWidth="1"/>
    <col min="12039" max="12265" width="9.140625" style="13"/>
    <col min="12266" max="12266" width="8.7109375" style="13" customWidth="1"/>
    <col min="12267" max="12267" width="28.42578125" style="13" customWidth="1"/>
    <col min="12268" max="12268" width="6.7109375" style="13" customWidth="1"/>
    <col min="12269" max="12269" width="12.5703125" style="13" bestFit="1" customWidth="1"/>
    <col min="12270" max="12270" width="6.7109375" style="13" customWidth="1"/>
    <col min="12271" max="12271" width="16.28515625" style="13" customWidth="1"/>
    <col min="12272" max="12272" width="14.140625" style="13" customWidth="1"/>
    <col min="12273" max="12273" width="9.85546875" style="13" customWidth="1"/>
    <col min="12274" max="12274" width="13.42578125" style="13" customWidth="1"/>
    <col min="12275" max="12275" width="14.42578125" style="13" customWidth="1"/>
    <col min="12276" max="12276" width="6.42578125" style="13" customWidth="1"/>
    <col min="12277" max="12277" width="7.7109375" style="13" customWidth="1"/>
    <col min="12278" max="12278" width="16.28515625" style="13" customWidth="1"/>
    <col min="12279" max="12279" width="17.140625" style="13" customWidth="1"/>
    <col min="12280" max="12280" width="18.5703125" style="13" customWidth="1"/>
    <col min="12281" max="12287" width="0" style="13" hidden="1" customWidth="1"/>
    <col min="12288" max="12293" width="9.140625" style="13"/>
    <col min="12294" max="12294" width="0" style="13" hidden="1" customWidth="1"/>
    <col min="12295" max="12521" width="9.140625" style="13"/>
    <col min="12522" max="12522" width="8.7109375" style="13" customWidth="1"/>
    <col min="12523" max="12523" width="28.42578125" style="13" customWidth="1"/>
    <col min="12524" max="12524" width="6.7109375" style="13" customWidth="1"/>
    <col min="12525" max="12525" width="12.5703125" style="13" bestFit="1" customWidth="1"/>
    <col min="12526" max="12526" width="6.7109375" style="13" customWidth="1"/>
    <col min="12527" max="12527" width="16.28515625" style="13" customWidth="1"/>
    <col min="12528" max="12528" width="14.140625" style="13" customWidth="1"/>
    <col min="12529" max="12529" width="9.85546875" style="13" customWidth="1"/>
    <col min="12530" max="12530" width="13.42578125" style="13" customWidth="1"/>
    <col min="12531" max="12531" width="14.42578125" style="13" customWidth="1"/>
    <col min="12532" max="12532" width="6.42578125" style="13" customWidth="1"/>
    <col min="12533" max="12533" width="7.7109375" style="13" customWidth="1"/>
    <col min="12534" max="12534" width="16.28515625" style="13" customWidth="1"/>
    <col min="12535" max="12535" width="17.140625" style="13" customWidth="1"/>
    <col min="12536" max="12536" width="18.5703125" style="13" customWidth="1"/>
    <col min="12537" max="12543" width="0" style="13" hidden="1" customWidth="1"/>
    <col min="12544" max="12549" width="9.140625" style="13"/>
    <col min="12550" max="12550" width="0" style="13" hidden="1" customWidth="1"/>
    <col min="12551" max="12777" width="9.140625" style="13"/>
    <col min="12778" max="12778" width="8.7109375" style="13" customWidth="1"/>
    <col min="12779" max="12779" width="28.42578125" style="13" customWidth="1"/>
    <col min="12780" max="12780" width="6.7109375" style="13" customWidth="1"/>
    <col min="12781" max="12781" width="12.5703125" style="13" bestFit="1" customWidth="1"/>
    <col min="12782" max="12782" width="6.7109375" style="13" customWidth="1"/>
    <col min="12783" max="12783" width="16.28515625" style="13" customWidth="1"/>
    <col min="12784" max="12784" width="14.140625" style="13" customWidth="1"/>
    <col min="12785" max="12785" width="9.85546875" style="13" customWidth="1"/>
    <col min="12786" max="12786" width="13.42578125" style="13" customWidth="1"/>
    <col min="12787" max="12787" width="14.42578125" style="13" customWidth="1"/>
    <col min="12788" max="12788" width="6.42578125" style="13" customWidth="1"/>
    <col min="12789" max="12789" width="7.7109375" style="13" customWidth="1"/>
    <col min="12790" max="12790" width="16.28515625" style="13" customWidth="1"/>
    <col min="12791" max="12791" width="17.140625" style="13" customWidth="1"/>
    <col min="12792" max="12792" width="18.5703125" style="13" customWidth="1"/>
    <col min="12793" max="12799" width="0" style="13" hidden="1" customWidth="1"/>
    <col min="12800" max="12805" width="9.140625" style="13"/>
    <col min="12806" max="12806" width="0" style="13" hidden="1" customWidth="1"/>
    <col min="12807" max="13033" width="9.140625" style="13"/>
    <col min="13034" max="13034" width="8.7109375" style="13" customWidth="1"/>
    <col min="13035" max="13035" width="28.42578125" style="13" customWidth="1"/>
    <col min="13036" max="13036" width="6.7109375" style="13" customWidth="1"/>
    <col min="13037" max="13037" width="12.5703125" style="13" bestFit="1" customWidth="1"/>
    <col min="13038" max="13038" width="6.7109375" style="13" customWidth="1"/>
    <col min="13039" max="13039" width="16.28515625" style="13" customWidth="1"/>
    <col min="13040" max="13040" width="14.140625" style="13" customWidth="1"/>
    <col min="13041" max="13041" width="9.85546875" style="13" customWidth="1"/>
    <col min="13042" max="13042" width="13.42578125" style="13" customWidth="1"/>
    <col min="13043" max="13043" width="14.42578125" style="13" customWidth="1"/>
    <col min="13044" max="13044" width="6.42578125" style="13" customWidth="1"/>
    <col min="13045" max="13045" width="7.7109375" style="13" customWidth="1"/>
    <col min="13046" max="13046" width="16.28515625" style="13" customWidth="1"/>
    <col min="13047" max="13047" width="17.140625" style="13" customWidth="1"/>
    <col min="13048" max="13048" width="18.5703125" style="13" customWidth="1"/>
    <col min="13049" max="13055" width="0" style="13" hidden="1" customWidth="1"/>
    <col min="13056" max="13061" width="9.140625" style="13"/>
    <col min="13062" max="13062" width="0" style="13" hidden="1" customWidth="1"/>
    <col min="13063" max="13289" width="9.140625" style="13"/>
    <col min="13290" max="13290" width="8.7109375" style="13" customWidth="1"/>
    <col min="13291" max="13291" width="28.42578125" style="13" customWidth="1"/>
    <col min="13292" max="13292" width="6.7109375" style="13" customWidth="1"/>
    <col min="13293" max="13293" width="12.5703125" style="13" bestFit="1" customWidth="1"/>
    <col min="13294" max="13294" width="6.7109375" style="13" customWidth="1"/>
    <col min="13295" max="13295" width="16.28515625" style="13" customWidth="1"/>
    <col min="13296" max="13296" width="14.140625" style="13" customWidth="1"/>
    <col min="13297" max="13297" width="9.85546875" style="13" customWidth="1"/>
    <col min="13298" max="13298" width="13.42578125" style="13" customWidth="1"/>
    <col min="13299" max="13299" width="14.42578125" style="13" customWidth="1"/>
    <col min="13300" max="13300" width="6.42578125" style="13" customWidth="1"/>
    <col min="13301" max="13301" width="7.7109375" style="13" customWidth="1"/>
    <col min="13302" max="13302" width="16.28515625" style="13" customWidth="1"/>
    <col min="13303" max="13303" width="17.140625" style="13" customWidth="1"/>
    <col min="13304" max="13304" width="18.5703125" style="13" customWidth="1"/>
    <col min="13305" max="13311" width="0" style="13" hidden="1" customWidth="1"/>
    <col min="13312" max="13317" width="9.140625" style="13"/>
    <col min="13318" max="13318" width="0" style="13" hidden="1" customWidth="1"/>
    <col min="13319" max="13545" width="9.140625" style="13"/>
    <col min="13546" max="13546" width="8.7109375" style="13" customWidth="1"/>
    <col min="13547" max="13547" width="28.42578125" style="13" customWidth="1"/>
    <col min="13548" max="13548" width="6.7109375" style="13" customWidth="1"/>
    <col min="13549" max="13549" width="12.5703125" style="13" bestFit="1" customWidth="1"/>
    <col min="13550" max="13550" width="6.7109375" style="13" customWidth="1"/>
    <col min="13551" max="13551" width="16.28515625" style="13" customWidth="1"/>
    <col min="13552" max="13552" width="14.140625" style="13" customWidth="1"/>
    <col min="13553" max="13553" width="9.85546875" style="13" customWidth="1"/>
    <col min="13554" max="13554" width="13.42578125" style="13" customWidth="1"/>
    <col min="13555" max="13555" width="14.42578125" style="13" customWidth="1"/>
    <col min="13556" max="13556" width="6.42578125" style="13" customWidth="1"/>
    <col min="13557" max="13557" width="7.7109375" style="13" customWidth="1"/>
    <col min="13558" max="13558" width="16.28515625" style="13" customWidth="1"/>
    <col min="13559" max="13559" width="17.140625" style="13" customWidth="1"/>
    <col min="13560" max="13560" width="18.5703125" style="13" customWidth="1"/>
    <col min="13561" max="13567" width="0" style="13" hidden="1" customWidth="1"/>
    <col min="13568" max="13573" width="9.140625" style="13"/>
    <col min="13574" max="13574" width="0" style="13" hidden="1" customWidth="1"/>
    <col min="13575" max="13801" width="9.140625" style="13"/>
    <col min="13802" max="13802" width="8.7109375" style="13" customWidth="1"/>
    <col min="13803" max="13803" width="28.42578125" style="13" customWidth="1"/>
    <col min="13804" max="13804" width="6.7109375" style="13" customWidth="1"/>
    <col min="13805" max="13805" width="12.5703125" style="13" bestFit="1" customWidth="1"/>
    <col min="13806" max="13806" width="6.7109375" style="13" customWidth="1"/>
    <col min="13807" max="13807" width="16.28515625" style="13" customWidth="1"/>
    <col min="13808" max="13808" width="14.140625" style="13" customWidth="1"/>
    <col min="13809" max="13809" width="9.85546875" style="13" customWidth="1"/>
    <col min="13810" max="13810" width="13.42578125" style="13" customWidth="1"/>
    <col min="13811" max="13811" width="14.42578125" style="13" customWidth="1"/>
    <col min="13812" max="13812" width="6.42578125" style="13" customWidth="1"/>
    <col min="13813" max="13813" width="7.7109375" style="13" customWidth="1"/>
    <col min="13814" max="13814" width="16.28515625" style="13" customWidth="1"/>
    <col min="13815" max="13815" width="17.140625" style="13" customWidth="1"/>
    <col min="13816" max="13816" width="18.5703125" style="13" customWidth="1"/>
    <col min="13817" max="13823" width="0" style="13" hidden="1" customWidth="1"/>
    <col min="13824" max="13829" width="9.140625" style="13"/>
    <col min="13830" max="13830" width="0" style="13" hidden="1" customWidth="1"/>
    <col min="13831" max="14057" width="9.140625" style="13"/>
    <col min="14058" max="14058" width="8.7109375" style="13" customWidth="1"/>
    <col min="14059" max="14059" width="28.42578125" style="13" customWidth="1"/>
    <col min="14060" max="14060" width="6.7109375" style="13" customWidth="1"/>
    <col min="14061" max="14061" width="12.5703125" style="13" bestFit="1" customWidth="1"/>
    <col min="14062" max="14062" width="6.7109375" style="13" customWidth="1"/>
    <col min="14063" max="14063" width="16.28515625" style="13" customWidth="1"/>
    <col min="14064" max="14064" width="14.140625" style="13" customWidth="1"/>
    <col min="14065" max="14065" width="9.85546875" style="13" customWidth="1"/>
    <col min="14066" max="14066" width="13.42578125" style="13" customWidth="1"/>
    <col min="14067" max="14067" width="14.42578125" style="13" customWidth="1"/>
    <col min="14068" max="14068" width="6.42578125" style="13" customWidth="1"/>
    <col min="14069" max="14069" width="7.7109375" style="13" customWidth="1"/>
    <col min="14070" max="14070" width="16.28515625" style="13" customWidth="1"/>
    <col min="14071" max="14071" width="17.140625" style="13" customWidth="1"/>
    <col min="14072" max="14072" width="18.5703125" style="13" customWidth="1"/>
    <col min="14073" max="14079" width="0" style="13" hidden="1" customWidth="1"/>
    <col min="14080" max="14085" width="9.140625" style="13"/>
    <col min="14086" max="14086" width="0" style="13" hidden="1" customWidth="1"/>
    <col min="14087" max="14313" width="9.140625" style="13"/>
    <col min="14314" max="14314" width="8.7109375" style="13" customWidth="1"/>
    <col min="14315" max="14315" width="28.42578125" style="13" customWidth="1"/>
    <col min="14316" max="14316" width="6.7109375" style="13" customWidth="1"/>
    <col min="14317" max="14317" width="12.5703125" style="13" bestFit="1" customWidth="1"/>
    <col min="14318" max="14318" width="6.7109375" style="13" customWidth="1"/>
    <col min="14319" max="14319" width="16.28515625" style="13" customWidth="1"/>
    <col min="14320" max="14320" width="14.140625" style="13" customWidth="1"/>
    <col min="14321" max="14321" width="9.85546875" style="13" customWidth="1"/>
    <col min="14322" max="14322" width="13.42578125" style="13" customWidth="1"/>
    <col min="14323" max="14323" width="14.42578125" style="13" customWidth="1"/>
    <col min="14324" max="14324" width="6.42578125" style="13" customWidth="1"/>
    <col min="14325" max="14325" width="7.7109375" style="13" customWidth="1"/>
    <col min="14326" max="14326" width="16.28515625" style="13" customWidth="1"/>
    <col min="14327" max="14327" width="17.140625" style="13" customWidth="1"/>
    <col min="14328" max="14328" width="18.5703125" style="13" customWidth="1"/>
    <col min="14329" max="14335" width="0" style="13" hidden="1" customWidth="1"/>
    <col min="14336" max="14341" width="9.140625" style="13"/>
    <col min="14342" max="14342" width="0" style="13" hidden="1" customWidth="1"/>
    <col min="14343" max="14569" width="9.140625" style="13"/>
    <col min="14570" max="14570" width="8.7109375" style="13" customWidth="1"/>
    <col min="14571" max="14571" width="28.42578125" style="13" customWidth="1"/>
    <col min="14572" max="14572" width="6.7109375" style="13" customWidth="1"/>
    <col min="14573" max="14573" width="12.5703125" style="13" bestFit="1" customWidth="1"/>
    <col min="14574" max="14574" width="6.7109375" style="13" customWidth="1"/>
    <col min="14575" max="14575" width="16.28515625" style="13" customWidth="1"/>
    <col min="14576" max="14576" width="14.140625" style="13" customWidth="1"/>
    <col min="14577" max="14577" width="9.85546875" style="13" customWidth="1"/>
    <col min="14578" max="14578" width="13.42578125" style="13" customWidth="1"/>
    <col min="14579" max="14579" width="14.42578125" style="13" customWidth="1"/>
    <col min="14580" max="14580" width="6.42578125" style="13" customWidth="1"/>
    <col min="14581" max="14581" width="7.7109375" style="13" customWidth="1"/>
    <col min="14582" max="14582" width="16.28515625" style="13" customWidth="1"/>
    <col min="14583" max="14583" width="17.140625" style="13" customWidth="1"/>
    <col min="14584" max="14584" width="18.5703125" style="13" customWidth="1"/>
    <col min="14585" max="14591" width="0" style="13" hidden="1" customWidth="1"/>
    <col min="14592" max="14597" width="9.140625" style="13"/>
    <col min="14598" max="14598" width="0" style="13" hidden="1" customWidth="1"/>
    <col min="14599" max="14825" width="9.140625" style="13"/>
    <col min="14826" max="14826" width="8.7109375" style="13" customWidth="1"/>
    <col min="14827" max="14827" width="28.42578125" style="13" customWidth="1"/>
    <col min="14828" max="14828" width="6.7109375" style="13" customWidth="1"/>
    <col min="14829" max="14829" width="12.5703125" style="13" bestFit="1" customWidth="1"/>
    <col min="14830" max="14830" width="6.7109375" style="13" customWidth="1"/>
    <col min="14831" max="14831" width="16.28515625" style="13" customWidth="1"/>
    <col min="14832" max="14832" width="14.140625" style="13" customWidth="1"/>
    <col min="14833" max="14833" width="9.85546875" style="13" customWidth="1"/>
    <col min="14834" max="14834" width="13.42578125" style="13" customWidth="1"/>
    <col min="14835" max="14835" width="14.42578125" style="13" customWidth="1"/>
    <col min="14836" max="14836" width="6.42578125" style="13" customWidth="1"/>
    <col min="14837" max="14837" width="7.7109375" style="13" customWidth="1"/>
    <col min="14838" max="14838" width="16.28515625" style="13" customWidth="1"/>
    <col min="14839" max="14839" width="17.140625" style="13" customWidth="1"/>
    <col min="14840" max="14840" width="18.5703125" style="13" customWidth="1"/>
    <col min="14841" max="14847" width="0" style="13" hidden="1" customWidth="1"/>
    <col min="14848" max="14853" width="9.140625" style="13"/>
    <col min="14854" max="14854" width="0" style="13" hidden="1" customWidth="1"/>
    <col min="14855" max="15081" width="9.140625" style="13"/>
    <col min="15082" max="15082" width="8.7109375" style="13" customWidth="1"/>
    <col min="15083" max="15083" width="28.42578125" style="13" customWidth="1"/>
    <col min="15084" max="15084" width="6.7109375" style="13" customWidth="1"/>
    <col min="15085" max="15085" width="12.5703125" style="13" bestFit="1" customWidth="1"/>
    <col min="15086" max="15086" width="6.7109375" style="13" customWidth="1"/>
    <col min="15087" max="15087" width="16.28515625" style="13" customWidth="1"/>
    <col min="15088" max="15088" width="14.140625" style="13" customWidth="1"/>
    <col min="15089" max="15089" width="9.85546875" style="13" customWidth="1"/>
    <col min="15090" max="15090" width="13.42578125" style="13" customWidth="1"/>
    <col min="15091" max="15091" width="14.42578125" style="13" customWidth="1"/>
    <col min="15092" max="15092" width="6.42578125" style="13" customWidth="1"/>
    <col min="15093" max="15093" width="7.7109375" style="13" customWidth="1"/>
    <col min="15094" max="15094" width="16.28515625" style="13" customWidth="1"/>
    <col min="15095" max="15095" width="17.140625" style="13" customWidth="1"/>
    <col min="15096" max="15096" width="18.5703125" style="13" customWidth="1"/>
    <col min="15097" max="15103" width="0" style="13" hidden="1" customWidth="1"/>
    <col min="15104" max="15109" width="9.140625" style="13"/>
    <col min="15110" max="15110" width="0" style="13" hidden="1" customWidth="1"/>
    <col min="15111" max="15337" width="9.140625" style="13"/>
    <col min="15338" max="15338" width="8.7109375" style="13" customWidth="1"/>
    <col min="15339" max="15339" width="28.42578125" style="13" customWidth="1"/>
    <col min="15340" max="15340" width="6.7109375" style="13" customWidth="1"/>
    <col min="15341" max="15341" width="12.5703125" style="13" bestFit="1" customWidth="1"/>
    <col min="15342" max="15342" width="6.7109375" style="13" customWidth="1"/>
    <col min="15343" max="15343" width="16.28515625" style="13" customWidth="1"/>
    <col min="15344" max="15344" width="14.140625" style="13" customWidth="1"/>
    <col min="15345" max="15345" width="9.85546875" style="13" customWidth="1"/>
    <col min="15346" max="15346" width="13.42578125" style="13" customWidth="1"/>
    <col min="15347" max="15347" width="14.42578125" style="13" customWidth="1"/>
    <col min="15348" max="15348" width="6.42578125" style="13" customWidth="1"/>
    <col min="15349" max="15349" width="7.7109375" style="13" customWidth="1"/>
    <col min="15350" max="15350" width="16.28515625" style="13" customWidth="1"/>
    <col min="15351" max="15351" width="17.140625" style="13" customWidth="1"/>
    <col min="15352" max="15352" width="18.5703125" style="13" customWidth="1"/>
    <col min="15353" max="15359" width="0" style="13" hidden="1" customWidth="1"/>
    <col min="15360" max="15365" width="9.140625" style="13"/>
    <col min="15366" max="15366" width="0" style="13" hidden="1" customWidth="1"/>
    <col min="15367" max="15593" width="9.140625" style="13"/>
    <col min="15594" max="15594" width="8.7109375" style="13" customWidth="1"/>
    <col min="15595" max="15595" width="28.42578125" style="13" customWidth="1"/>
    <col min="15596" max="15596" width="6.7109375" style="13" customWidth="1"/>
    <col min="15597" max="15597" width="12.5703125" style="13" bestFit="1" customWidth="1"/>
    <col min="15598" max="15598" width="6.7109375" style="13" customWidth="1"/>
    <col min="15599" max="15599" width="16.28515625" style="13" customWidth="1"/>
    <col min="15600" max="15600" width="14.140625" style="13" customWidth="1"/>
    <col min="15601" max="15601" width="9.85546875" style="13" customWidth="1"/>
    <col min="15602" max="15602" width="13.42578125" style="13" customWidth="1"/>
    <col min="15603" max="15603" width="14.42578125" style="13" customWidth="1"/>
    <col min="15604" max="15604" width="6.42578125" style="13" customWidth="1"/>
    <col min="15605" max="15605" width="7.7109375" style="13" customWidth="1"/>
    <col min="15606" max="15606" width="16.28515625" style="13" customWidth="1"/>
    <col min="15607" max="15607" width="17.140625" style="13" customWidth="1"/>
    <col min="15608" max="15608" width="18.5703125" style="13" customWidth="1"/>
    <col min="15609" max="15615" width="0" style="13" hidden="1" customWidth="1"/>
    <col min="15616" max="15621" width="9.140625" style="13"/>
    <col min="15622" max="15622" width="0" style="13" hidden="1" customWidth="1"/>
    <col min="15623" max="15849" width="9.140625" style="13"/>
    <col min="15850" max="15850" width="8.7109375" style="13" customWidth="1"/>
    <col min="15851" max="15851" width="28.42578125" style="13" customWidth="1"/>
    <col min="15852" max="15852" width="6.7109375" style="13" customWidth="1"/>
    <col min="15853" max="15853" width="12.5703125" style="13" bestFit="1" customWidth="1"/>
    <col min="15854" max="15854" width="6.7109375" style="13" customWidth="1"/>
    <col min="15855" max="15855" width="16.28515625" style="13" customWidth="1"/>
    <col min="15856" max="15856" width="14.140625" style="13" customWidth="1"/>
    <col min="15857" max="15857" width="9.85546875" style="13" customWidth="1"/>
    <col min="15858" max="15858" width="13.42578125" style="13" customWidth="1"/>
    <col min="15859" max="15859" width="14.42578125" style="13" customWidth="1"/>
    <col min="15860" max="15860" width="6.42578125" style="13" customWidth="1"/>
    <col min="15861" max="15861" width="7.7109375" style="13" customWidth="1"/>
    <col min="15862" max="15862" width="16.28515625" style="13" customWidth="1"/>
    <col min="15863" max="15863" width="17.140625" style="13" customWidth="1"/>
    <col min="15864" max="15864" width="18.5703125" style="13" customWidth="1"/>
    <col min="15865" max="15871" width="0" style="13" hidden="1" customWidth="1"/>
    <col min="15872" max="15877" width="9.140625" style="13"/>
    <col min="15878" max="15878" width="0" style="13" hidden="1" customWidth="1"/>
    <col min="15879" max="16105" width="9.140625" style="13"/>
    <col min="16106" max="16106" width="8.7109375" style="13" customWidth="1"/>
    <col min="16107" max="16107" width="28.42578125" style="13" customWidth="1"/>
    <col min="16108" max="16108" width="6.7109375" style="13" customWidth="1"/>
    <col min="16109" max="16109" width="12.5703125" style="13" bestFit="1" customWidth="1"/>
    <col min="16110" max="16110" width="6.7109375" style="13" customWidth="1"/>
    <col min="16111" max="16111" width="16.28515625" style="13" customWidth="1"/>
    <col min="16112" max="16112" width="14.140625" style="13" customWidth="1"/>
    <col min="16113" max="16113" width="9.85546875" style="13" customWidth="1"/>
    <col min="16114" max="16114" width="13.42578125" style="13" customWidth="1"/>
    <col min="16115" max="16115" width="14.42578125" style="13" customWidth="1"/>
    <col min="16116" max="16116" width="6.42578125" style="13" customWidth="1"/>
    <col min="16117" max="16117" width="7.7109375" style="13" customWidth="1"/>
    <col min="16118" max="16118" width="16.28515625" style="13" customWidth="1"/>
    <col min="16119" max="16119" width="17.140625" style="13" customWidth="1"/>
    <col min="16120" max="16120" width="18.5703125" style="13" customWidth="1"/>
    <col min="16121" max="16127" width="0" style="13" hidden="1" customWidth="1"/>
    <col min="16128" max="16133" width="9.140625" style="13"/>
    <col min="16134" max="16134" width="0" style="13" hidden="1" customWidth="1"/>
    <col min="16135" max="16381" width="9.140625" style="13"/>
    <col min="16382" max="16384" width="9.140625" style="13" customWidth="1"/>
  </cols>
  <sheetData>
    <row r="1" spans="1:12" s="10" customFormat="1" ht="30" x14ac:dyDescent="0.4">
      <c r="A1" s="152" t="s">
        <v>89</v>
      </c>
      <c r="B1" s="152"/>
      <c r="C1" s="152"/>
      <c r="D1" s="152"/>
      <c r="E1" s="152"/>
      <c r="F1" s="152"/>
      <c r="G1" s="152"/>
      <c r="H1" s="152" t="str">
        <f>A1</f>
        <v>SHANGHAI YONGYUE IMP.&amp;EXP. TRADING CO., LTD.</v>
      </c>
      <c r="I1" s="152"/>
      <c r="J1" s="152"/>
      <c r="K1" s="152"/>
      <c r="L1" s="152"/>
    </row>
    <row r="2" spans="1:12" s="10" customFormat="1" ht="35.25" customHeight="1" x14ac:dyDescent="0.4">
      <c r="A2" s="156" t="s">
        <v>90</v>
      </c>
      <c r="B2" s="157"/>
      <c r="C2" s="157"/>
      <c r="D2" s="157"/>
      <c r="E2" s="157"/>
      <c r="F2" s="157"/>
      <c r="G2" s="157"/>
      <c r="H2" s="156" t="str">
        <f>A2</f>
        <v>RM 5N ,NO.1590 , WEST YANAN ROAD,SHANGHAI 200052 CHINA
FAX:021-52183565 TEL:021-62910630</v>
      </c>
      <c r="I2" s="156"/>
      <c r="J2" s="156"/>
      <c r="K2" s="156"/>
      <c r="L2" s="156"/>
    </row>
    <row r="3" spans="1:12" ht="17.25" customHeight="1" thickBot="1" x14ac:dyDescent="0.25">
      <c r="A3" s="156"/>
      <c r="B3" s="157"/>
      <c r="C3" s="157"/>
      <c r="D3" s="157"/>
      <c r="E3" s="157"/>
      <c r="F3" s="157"/>
      <c r="G3" s="157"/>
      <c r="H3" s="158"/>
      <c r="I3" s="158"/>
      <c r="J3" s="158"/>
      <c r="K3" s="158"/>
      <c r="L3" s="158"/>
    </row>
    <row r="4" spans="1:12" ht="17.25" customHeight="1" x14ac:dyDescent="0.2">
      <c r="A4" s="100"/>
      <c r="B4" s="100"/>
      <c r="C4" s="100"/>
      <c r="D4" s="100"/>
      <c r="E4" s="100"/>
      <c r="F4" s="100"/>
      <c r="G4" s="100"/>
      <c r="H4" s="11"/>
    </row>
    <row r="5" spans="1:12" s="17" customFormat="1" ht="15.75" x14ac:dyDescent="0.25">
      <c r="A5" s="20"/>
      <c r="E5" s="18"/>
      <c r="I5" s="22"/>
      <c r="J5" s="20"/>
      <c r="K5" s="18"/>
    </row>
    <row r="6" spans="1:12" s="17" customFormat="1" ht="15.75" x14ac:dyDescent="0.25">
      <c r="A6" s="153" t="s">
        <v>9</v>
      </c>
      <c r="B6" s="153"/>
      <c r="C6" s="153"/>
      <c r="D6" s="153"/>
      <c r="E6" s="153"/>
      <c r="F6" s="153"/>
      <c r="G6" s="153"/>
      <c r="H6" s="153" t="s">
        <v>10</v>
      </c>
      <c r="I6" s="153"/>
      <c r="J6" s="153"/>
      <c r="K6" s="153"/>
      <c r="L6" s="153"/>
    </row>
    <row r="7" spans="1:12" s="17" customFormat="1" ht="15.75" x14ac:dyDescent="0.25">
      <c r="A7" s="47" t="s">
        <v>11</v>
      </c>
      <c r="B7" s="23" t="s">
        <v>91</v>
      </c>
      <c r="C7" s="20"/>
      <c r="D7" s="20"/>
      <c r="E7" s="18"/>
      <c r="F7" s="24" t="s">
        <v>12</v>
      </c>
      <c r="G7" s="25">
        <v>46265</v>
      </c>
      <c r="H7" s="47" t="str">
        <f>A7</f>
        <v xml:space="preserve">NO: </v>
      </c>
      <c r="I7" s="90" t="str">
        <f>B7</f>
        <v>CNQ26044</v>
      </c>
      <c r="K7" s="24" t="str">
        <f>F7</f>
        <v>Date:</v>
      </c>
      <c r="L7" s="25">
        <f>G7</f>
        <v>46265</v>
      </c>
    </row>
    <row r="8" spans="1:12" s="17" customFormat="1" ht="15.75" x14ac:dyDescent="0.25">
      <c r="A8" s="20"/>
      <c r="B8" s="33"/>
      <c r="C8" s="20"/>
      <c r="D8" s="20"/>
      <c r="E8" s="26"/>
      <c r="F8" s="20"/>
      <c r="H8" s="20"/>
      <c r="I8" s="22"/>
      <c r="K8" s="26"/>
      <c r="L8" s="20"/>
    </row>
    <row r="9" spans="1:12" s="17" customFormat="1" ht="15.75" x14ac:dyDescent="0.25">
      <c r="A9" s="20"/>
      <c r="B9" s="33"/>
      <c r="C9" s="20"/>
      <c r="D9" s="20"/>
      <c r="E9" s="26"/>
      <c r="F9" s="20"/>
      <c r="H9" s="20"/>
      <c r="I9" s="22"/>
      <c r="K9" s="26"/>
      <c r="L9" s="20"/>
    </row>
    <row r="10" spans="1:12" x14ac:dyDescent="0.2">
      <c r="A10" s="11" t="s">
        <v>48</v>
      </c>
      <c r="B10" s="11" t="s">
        <v>52</v>
      </c>
      <c r="C10" s="11"/>
      <c r="D10" s="11"/>
      <c r="E10" s="27"/>
      <c r="F10" s="11"/>
      <c r="H10" s="11" t="str">
        <f>A10</f>
        <v>Consignee:</v>
      </c>
      <c r="I10" s="11" t="str">
        <f t="shared" ref="I10:I13" si="0">B10</f>
        <v xml:space="preserve">JR APPAREL CO. ,LTD </v>
      </c>
      <c r="K10" s="11"/>
      <c r="L10" s="11"/>
    </row>
    <row r="11" spans="1:12" x14ac:dyDescent="0.2">
      <c r="B11" s="23" t="s">
        <v>56</v>
      </c>
      <c r="C11" s="23"/>
      <c r="D11" s="23"/>
      <c r="E11" s="23"/>
      <c r="F11" s="23"/>
      <c r="I11" s="23" t="str">
        <f t="shared" si="0"/>
        <v>KAOH KNOR PREAEK ROKA KANDAL STUENG</v>
      </c>
      <c r="K11" s="11"/>
      <c r="L11" s="11"/>
    </row>
    <row r="12" spans="1:12" x14ac:dyDescent="0.2">
      <c r="B12" s="11" t="s">
        <v>57</v>
      </c>
      <c r="C12" s="11"/>
      <c r="D12" s="11"/>
      <c r="E12" s="27"/>
      <c r="F12" s="11"/>
      <c r="I12" s="11" t="str">
        <f t="shared" si="0"/>
        <v>KANDAL PROVINCE CAMBODIA</v>
      </c>
      <c r="K12" s="27"/>
      <c r="L12" s="11"/>
    </row>
    <row r="13" spans="1:12" ht="15.75" x14ac:dyDescent="0.25">
      <c r="B13" s="20" t="s">
        <v>53</v>
      </c>
      <c r="C13" s="11"/>
      <c r="D13" s="11"/>
      <c r="E13" s="27"/>
      <c r="F13" s="11"/>
      <c r="I13" s="11" t="str">
        <f t="shared" si="0"/>
        <v>ATTN: KENDY TEL 085441621</v>
      </c>
      <c r="K13" s="27"/>
      <c r="L13" s="11"/>
    </row>
    <row r="14" spans="1:12" s="17" customFormat="1" ht="16.5" customHeight="1" x14ac:dyDescent="0.25">
      <c r="B14" s="70" t="s">
        <v>58</v>
      </c>
      <c r="C14" s="20"/>
      <c r="D14" s="28"/>
      <c r="E14" s="23" t="s">
        <v>44</v>
      </c>
      <c r="F14" s="11"/>
      <c r="G14" s="11" t="s">
        <v>45</v>
      </c>
      <c r="I14" s="107" t="str">
        <f>B14</f>
        <v>VAT# L001-902501613</v>
      </c>
      <c r="J14" s="20"/>
      <c r="K14" s="26"/>
      <c r="L14" s="20"/>
    </row>
    <row r="15" spans="1:12" s="17" customFormat="1" ht="15.75" x14ac:dyDescent="0.25">
      <c r="B15" s="20"/>
      <c r="C15" s="20"/>
      <c r="D15" s="20"/>
      <c r="E15" s="26"/>
      <c r="F15" s="20"/>
      <c r="I15" s="22"/>
      <c r="J15" s="20"/>
      <c r="K15" s="26"/>
      <c r="L15" s="20"/>
    </row>
    <row r="16" spans="1:12" x14ac:dyDescent="0.2">
      <c r="A16" s="89" t="s">
        <v>13</v>
      </c>
      <c r="B16" s="29" t="s">
        <v>14</v>
      </c>
      <c r="C16" s="30"/>
      <c r="D16" s="154" t="s">
        <v>15</v>
      </c>
      <c r="E16" s="155"/>
      <c r="F16" s="31" t="s">
        <v>16</v>
      </c>
      <c r="G16" s="31" t="s">
        <v>17</v>
      </c>
      <c r="H16" s="31" t="s">
        <v>13</v>
      </c>
      <c r="I16" s="32" t="s">
        <v>85</v>
      </c>
      <c r="J16" s="122" t="s">
        <v>14</v>
      </c>
      <c r="K16" s="31" t="s">
        <v>18</v>
      </c>
      <c r="L16" s="31" t="s">
        <v>19</v>
      </c>
    </row>
    <row r="17" spans="1:15" x14ac:dyDescent="0.2">
      <c r="A17" s="102"/>
      <c r="D17" s="102"/>
      <c r="F17" s="101" t="s">
        <v>50</v>
      </c>
      <c r="G17" s="103"/>
      <c r="H17" s="103"/>
      <c r="I17" s="104"/>
      <c r="J17" s="102"/>
      <c r="K17" s="103"/>
      <c r="L17" s="103"/>
    </row>
    <row r="18" spans="1:15" x14ac:dyDescent="0.2">
      <c r="A18" s="108"/>
      <c r="D18" s="108"/>
      <c r="F18" s="101"/>
      <c r="G18" s="109"/>
      <c r="H18" s="109"/>
      <c r="J18" s="108"/>
      <c r="K18" s="109"/>
      <c r="L18" s="109"/>
    </row>
    <row r="19" spans="1:15" s="20" customFormat="1" ht="15.75" x14ac:dyDescent="0.25">
      <c r="A19" s="110">
        <v>1</v>
      </c>
      <c r="B19" s="148" t="s">
        <v>64</v>
      </c>
      <c r="C19" s="111" t="str">
        <f>VLOOKUP(B19,[1]CDC!$B:$O,14,FALSE)</f>
        <v>II-125</v>
      </c>
      <c r="D19" s="112">
        <v>32636.7</v>
      </c>
      <c r="E19" s="113" t="str">
        <f>VLOOKUP(B19,[1]CDC!$B:$O,3,FALSE)</f>
        <v>MTR</v>
      </c>
      <c r="F19" s="125">
        <f>VLOOKUP(B19,[1]CDC!$B:$O,5,FALSE)</f>
        <v>1</v>
      </c>
      <c r="G19" s="114">
        <f>ROUND(F19*D19,2)</f>
        <v>32636.7</v>
      </c>
      <c r="H19" s="115">
        <f>A19</f>
        <v>1</v>
      </c>
      <c r="I19" s="22">
        <v>597</v>
      </c>
      <c r="J19" s="116" t="str">
        <f>B19</f>
        <v>KNITTED FABRIC</v>
      </c>
      <c r="K19" s="114">
        <v>17932.599999999999</v>
      </c>
      <c r="L19" s="114">
        <v>18111.7</v>
      </c>
      <c r="M19" s="20">
        <v>1400</v>
      </c>
      <c r="N19" s="20">
        <v>140.00000000000003</v>
      </c>
      <c r="O19" s="117">
        <f>ROUND(N19/M19,3)</f>
        <v>0.1</v>
      </c>
    </row>
    <row r="20" spans="1:15" s="20" customFormat="1" ht="15.75" x14ac:dyDescent="0.25">
      <c r="A20" s="110">
        <v>2</v>
      </c>
      <c r="B20" s="148" t="s">
        <v>92</v>
      </c>
      <c r="C20" s="111" t="str">
        <f>VLOOKUP(B20,[1]CDC!$B:$O,14,FALSE)</f>
        <v>III-130</v>
      </c>
      <c r="D20" s="112">
        <v>4968.8</v>
      </c>
      <c r="E20" s="113" t="str">
        <f>VLOOKUP(B20,[1]CDC!$B:$O,3,FALSE)</f>
        <v>MTR</v>
      </c>
      <c r="F20" s="125">
        <f>VLOOKUP(B20,[1]CDC!$B:$O,5,FALSE)</f>
        <v>0.2</v>
      </c>
      <c r="G20" s="114">
        <f>ROUND(F20*D20,2)</f>
        <v>993.76</v>
      </c>
      <c r="H20" s="115">
        <f>A20</f>
        <v>2</v>
      </c>
      <c r="I20" s="22">
        <v>38</v>
      </c>
      <c r="J20" s="116" t="str">
        <f>B20</f>
        <v>INTERLINING</v>
      </c>
      <c r="K20" s="114">
        <v>678.8</v>
      </c>
      <c r="L20" s="114">
        <v>697.8</v>
      </c>
      <c r="O20" s="117"/>
    </row>
    <row r="21" spans="1:15" s="20" customFormat="1" ht="15.75" x14ac:dyDescent="0.25">
      <c r="A21" s="110"/>
      <c r="B21" s="23"/>
      <c r="C21" s="111"/>
      <c r="D21" s="112"/>
      <c r="E21" s="113"/>
      <c r="F21" s="125"/>
      <c r="G21" s="114"/>
      <c r="H21" s="115"/>
      <c r="I21" s="126"/>
      <c r="J21" s="116"/>
      <c r="K21" s="114"/>
      <c r="L21" s="114"/>
      <c r="O21" s="117"/>
    </row>
    <row r="22" spans="1:15" s="118" customFormat="1" ht="15" customHeight="1" x14ac:dyDescent="0.25">
      <c r="A22" s="110"/>
      <c r="B22" s="23"/>
      <c r="C22" s="111"/>
      <c r="D22" s="112"/>
      <c r="E22" s="113"/>
      <c r="F22" s="125"/>
      <c r="G22" s="114"/>
      <c r="H22" s="115"/>
      <c r="I22" s="126"/>
      <c r="J22" s="116"/>
      <c r="K22" s="114"/>
      <c r="L22" s="114"/>
      <c r="M22" s="20"/>
      <c r="N22" s="26"/>
      <c r="O22" s="117"/>
    </row>
    <row r="23" spans="1:15" s="118" customFormat="1" ht="15" customHeight="1" x14ac:dyDescent="0.25">
      <c r="A23" s="110"/>
      <c r="B23" s="23"/>
      <c r="C23" s="111"/>
      <c r="D23" s="112"/>
      <c r="E23" s="113"/>
      <c r="F23" s="125"/>
      <c r="G23" s="114"/>
      <c r="H23" s="115"/>
      <c r="I23" s="22"/>
      <c r="J23" s="116"/>
      <c r="K23" s="114"/>
      <c r="L23" s="114"/>
      <c r="M23" s="20"/>
      <c r="N23" s="26"/>
      <c r="O23" s="117"/>
    </row>
    <row r="24" spans="1:15" ht="15" customHeight="1" x14ac:dyDescent="0.2">
      <c r="A24" s="35"/>
      <c r="B24" s="36"/>
      <c r="C24" s="37"/>
      <c r="D24" s="38"/>
      <c r="E24" s="91"/>
      <c r="F24" s="39"/>
      <c r="G24" s="40"/>
      <c r="H24" s="41"/>
      <c r="I24" s="42"/>
      <c r="J24" s="34"/>
      <c r="K24" s="40"/>
      <c r="L24" s="43"/>
    </row>
    <row r="25" spans="1:15" ht="15" customHeight="1" thickBot="1" x14ac:dyDescent="0.3">
      <c r="A25" s="11"/>
      <c r="B25" s="11"/>
      <c r="C25" s="44"/>
      <c r="D25" s="27"/>
      <c r="E25" s="11"/>
      <c r="F25" s="27"/>
      <c r="G25" s="119">
        <f>SUM(G19:G24)</f>
        <v>33630.46</v>
      </c>
      <c r="H25" s="120"/>
      <c r="I25" s="120">
        <f>SUM(I17:I24)</f>
        <v>635</v>
      </c>
      <c r="J25" s="121" t="s">
        <v>84</v>
      </c>
      <c r="K25" s="119">
        <f>SUM(K17:K24)</f>
        <v>18611.399999999998</v>
      </c>
      <c r="L25" s="119">
        <f>SUM(L17:L24)</f>
        <v>18809.5</v>
      </c>
    </row>
    <row r="26" spans="1:15" ht="15" customHeight="1" thickTop="1" x14ac:dyDescent="0.2">
      <c r="A26" s="11"/>
      <c r="B26" s="23"/>
      <c r="C26" s="44"/>
      <c r="D26" s="11"/>
      <c r="E26" s="11"/>
      <c r="F26" s="45"/>
      <c r="G26" s="46"/>
      <c r="H26" s="27"/>
      <c r="I26" s="92"/>
      <c r="J26" s="11"/>
      <c r="K26" s="27"/>
      <c r="L26" s="46"/>
      <c r="N26" s="96">
        <f>SUM(N19:N25)</f>
        <v>140.00000000000003</v>
      </c>
    </row>
    <row r="27" spans="1:15" ht="15" customHeight="1" x14ac:dyDescent="0.2">
      <c r="A27" s="47"/>
      <c r="B27" s="11"/>
      <c r="C27" s="44"/>
      <c r="D27" s="11"/>
      <c r="E27" s="11"/>
      <c r="F27" s="48"/>
      <c r="G27" s="27"/>
      <c r="I27" s="95"/>
      <c r="J27" s="27"/>
      <c r="K27" s="27"/>
      <c r="L27" s="14"/>
    </row>
    <row r="28" spans="1:15" x14ac:dyDescent="0.2">
      <c r="A28" s="47"/>
      <c r="B28" s="11"/>
      <c r="C28" s="44"/>
      <c r="D28" s="24"/>
      <c r="E28" s="11"/>
      <c r="F28" s="48"/>
      <c r="G28" s="45"/>
      <c r="H28" s="27"/>
      <c r="I28" s="93"/>
      <c r="J28" s="27"/>
      <c r="K28" s="27"/>
      <c r="L28" s="27"/>
    </row>
    <row r="29" spans="1:15" x14ac:dyDescent="0.2">
      <c r="A29" s="11"/>
      <c r="B29" s="11"/>
      <c r="C29" s="44"/>
      <c r="D29" s="11"/>
      <c r="E29" s="11"/>
      <c r="F29" s="49"/>
      <c r="G29" s="27"/>
      <c r="H29" s="27"/>
      <c r="I29" s="93"/>
      <c r="J29" s="93"/>
      <c r="K29" s="27"/>
      <c r="L29" s="27"/>
    </row>
    <row r="30" spans="1:15" ht="15" x14ac:dyDescent="0.2">
      <c r="A30" s="149" t="s">
        <v>86</v>
      </c>
      <c r="B30" s="150" t="s">
        <v>93</v>
      </c>
      <c r="C30" s="44"/>
      <c r="D30" s="11"/>
      <c r="E30" s="27"/>
      <c r="F30" s="48"/>
      <c r="G30" s="27"/>
      <c r="H30" s="27"/>
      <c r="I30" s="93"/>
      <c r="J30" s="27"/>
      <c r="K30" s="27"/>
      <c r="L30" s="27"/>
    </row>
    <row r="31" spans="1:15" x14ac:dyDescent="0.2">
      <c r="A31" s="47"/>
      <c r="B31" s="11"/>
      <c r="C31" s="44"/>
      <c r="D31" s="11"/>
      <c r="E31" s="27"/>
      <c r="F31" s="48"/>
      <c r="G31" s="27"/>
      <c r="H31" s="27"/>
      <c r="I31" s="93"/>
      <c r="J31" s="93"/>
      <c r="K31" s="27"/>
      <c r="L31" s="27"/>
    </row>
    <row r="32" spans="1:15" x14ac:dyDescent="0.2">
      <c r="A32" s="47"/>
      <c r="B32" s="11"/>
      <c r="C32" s="44"/>
      <c r="D32" s="11"/>
      <c r="E32" s="27"/>
      <c r="F32" s="48"/>
      <c r="G32" s="27"/>
      <c r="H32" s="27"/>
      <c r="I32" s="93"/>
      <c r="J32" s="94"/>
      <c r="K32" s="27"/>
      <c r="L32" s="27"/>
    </row>
    <row r="33" spans="1:12" x14ac:dyDescent="0.2">
      <c r="A33" s="47"/>
      <c r="B33" s="11"/>
      <c r="C33" s="44"/>
      <c r="D33" s="11"/>
      <c r="E33" s="27"/>
      <c r="F33" s="48"/>
      <c r="G33" s="27"/>
      <c r="H33" s="27"/>
      <c r="I33" s="93"/>
      <c r="J33" s="94"/>
      <c r="K33" s="27"/>
      <c r="L33" s="27"/>
    </row>
    <row r="34" spans="1:12" x14ac:dyDescent="0.2">
      <c r="A34" s="47"/>
      <c r="B34" s="11"/>
      <c r="C34" s="44"/>
      <c r="D34" s="11"/>
      <c r="E34" s="27"/>
      <c r="F34" s="48"/>
      <c r="G34" s="27"/>
      <c r="H34" s="27"/>
      <c r="I34" s="93"/>
      <c r="J34" s="94"/>
      <c r="K34" s="27"/>
      <c r="L34" s="27"/>
    </row>
    <row r="35" spans="1:12" x14ac:dyDescent="0.2">
      <c r="A35" s="47"/>
      <c r="B35" s="11"/>
      <c r="C35" s="44"/>
      <c r="D35" s="11"/>
      <c r="E35" s="27"/>
      <c r="F35" s="48"/>
      <c r="G35" s="27"/>
      <c r="H35" s="27"/>
      <c r="I35" s="93"/>
      <c r="J35" s="94"/>
      <c r="K35" s="27"/>
      <c r="L35" s="27"/>
    </row>
    <row r="36" spans="1:12" x14ac:dyDescent="0.2">
      <c r="A36" s="47"/>
      <c r="B36" s="11"/>
      <c r="C36" s="44"/>
      <c r="D36" s="11" t="str">
        <f>A1</f>
        <v>SHANGHAI YONGYUE IMP.&amp;EXP. TRADING CO., LTD.</v>
      </c>
      <c r="E36" s="27"/>
      <c r="F36" s="48"/>
      <c r="G36" s="27"/>
      <c r="H36" s="27"/>
      <c r="I36" s="93"/>
      <c r="J36" s="94"/>
      <c r="K36" s="27" t="str">
        <f>D36</f>
        <v>SHANGHAI YONGYUE IMP.&amp;EXP. TRADING CO., LTD.</v>
      </c>
      <c r="L36" s="27"/>
    </row>
    <row r="37" spans="1:12" x14ac:dyDescent="0.2">
      <c r="A37" s="47"/>
      <c r="B37" s="11"/>
      <c r="C37" s="44"/>
      <c r="D37" s="11"/>
      <c r="E37" s="27"/>
      <c r="F37" s="48"/>
      <c r="G37" s="27"/>
      <c r="H37" s="27"/>
      <c r="I37" s="93"/>
      <c r="J37" s="94"/>
      <c r="K37" s="27"/>
      <c r="L37" s="27"/>
    </row>
    <row r="38" spans="1:12" x14ac:dyDescent="0.2">
      <c r="A38" s="47"/>
      <c r="B38" s="11"/>
      <c r="C38" s="44"/>
      <c r="D38" s="11"/>
      <c r="E38" s="27"/>
      <c r="F38" s="48"/>
      <c r="G38" s="27"/>
      <c r="H38" s="27"/>
      <c r="I38" s="93"/>
      <c r="J38" s="94"/>
      <c r="K38" s="27"/>
      <c r="L38" s="27"/>
    </row>
    <row r="39" spans="1:12" x14ac:dyDescent="0.2">
      <c r="A39" s="11"/>
      <c r="B39" s="11"/>
      <c r="C39" s="44"/>
      <c r="D39" s="11" t="s">
        <v>65</v>
      </c>
      <c r="E39" s="11"/>
      <c r="F39" s="45"/>
      <c r="G39" s="27"/>
      <c r="H39" s="27"/>
      <c r="I39" s="93"/>
      <c r="J39" s="27"/>
      <c r="K39" s="27" t="str">
        <f>D39</f>
        <v>________________________________________________</v>
      </c>
      <c r="L39" s="27"/>
    </row>
    <row r="40" spans="1:12" ht="14.45" customHeight="1" x14ac:dyDescent="0.2">
      <c r="A40" s="11"/>
      <c r="B40" s="11"/>
      <c r="C40" s="44"/>
      <c r="D40" s="11"/>
      <c r="E40" s="11"/>
      <c r="F40" s="27"/>
      <c r="G40" s="27"/>
      <c r="H40" s="27"/>
      <c r="I40" s="16"/>
      <c r="J40" s="11"/>
      <c r="K40" s="27"/>
      <c r="L40" s="27"/>
    </row>
    <row r="41" spans="1:12" ht="25.5" x14ac:dyDescent="0.7">
      <c r="A41" s="50">
        <f>COUNT(A19:A24)</f>
        <v>2</v>
      </c>
      <c r="B41" s="51" t="s">
        <v>95</v>
      </c>
      <c r="C41" s="52"/>
      <c r="D41" s="53"/>
      <c r="E41" s="54"/>
      <c r="F41" s="26"/>
      <c r="G41" s="20"/>
      <c r="H41" s="17"/>
      <c r="I41" s="19"/>
      <c r="J41" s="55"/>
      <c r="K41" s="17"/>
      <c r="L41" s="17"/>
    </row>
    <row r="42" spans="1:12" ht="23.25" x14ac:dyDescent="0.65">
      <c r="A42" s="20"/>
      <c r="B42" s="51" t="s">
        <v>96</v>
      </c>
      <c r="C42" s="33"/>
      <c r="D42" s="20" t="s">
        <v>63</v>
      </c>
      <c r="E42" s="20"/>
      <c r="F42" s="26"/>
      <c r="G42" s="20"/>
      <c r="H42" s="17"/>
      <c r="I42" s="19"/>
      <c r="J42" s="17"/>
      <c r="K42" s="17"/>
      <c r="L42" s="17"/>
    </row>
    <row r="43" spans="1:12" s="17" customFormat="1" ht="15" x14ac:dyDescent="0.2">
      <c r="A43" s="56" t="s">
        <v>20</v>
      </c>
      <c r="B43" s="57" t="s">
        <v>94</v>
      </c>
      <c r="C43" s="58"/>
      <c r="D43" s="11"/>
      <c r="E43" s="151"/>
      <c r="F43" s="151"/>
      <c r="I43" s="19"/>
    </row>
    <row r="44" spans="1:12" s="17" customFormat="1" ht="16.5" customHeight="1" x14ac:dyDescent="0.2">
      <c r="A44" s="17" t="s">
        <v>21</v>
      </c>
      <c r="B44" s="98">
        <v>46278</v>
      </c>
      <c r="C44" s="21"/>
      <c r="D44" s="17" t="s">
        <v>22</v>
      </c>
      <c r="E44" s="17" t="str">
        <f>+I25&amp;J25</f>
        <v>635Rolls</v>
      </c>
      <c r="F44" s="18"/>
      <c r="I44" s="19"/>
    </row>
    <row r="45" spans="1:12" s="17" customFormat="1" ht="25.15" customHeight="1" x14ac:dyDescent="0.2">
      <c r="A45" s="13"/>
      <c r="B45" s="59" t="s">
        <v>49</v>
      </c>
      <c r="C45" s="12"/>
      <c r="D45" s="60"/>
      <c r="E45" s="13"/>
      <c r="F45" s="14"/>
      <c r="G45" s="13"/>
      <c r="H45" s="13"/>
      <c r="I45" s="15"/>
      <c r="J45" s="13"/>
      <c r="K45" s="13"/>
      <c r="L45" s="13"/>
    </row>
    <row r="46" spans="1:12" s="17" customFormat="1" ht="16.5" customHeight="1" x14ac:dyDescent="0.65">
      <c r="A46" s="99"/>
      <c r="B46" s="51"/>
      <c r="C46" s="12"/>
      <c r="D46" s="13"/>
      <c r="E46" s="13"/>
      <c r="F46" s="14"/>
      <c r="G46" s="13"/>
      <c r="H46" s="13"/>
      <c r="I46" s="15"/>
      <c r="J46" s="13"/>
      <c r="K46" s="13"/>
      <c r="L46" s="13"/>
    </row>
    <row r="47" spans="1:12" ht="21.75" customHeight="1" x14ac:dyDescent="0.2">
      <c r="A47" s="97"/>
    </row>
    <row r="48" spans="1:12" ht="16.5" customHeight="1" x14ac:dyDescent="0.2"/>
  </sheetData>
  <autoFilter ref="B18:L18" xr:uid="{00000000-0009-0000-0000-000000000000}">
    <sortState xmlns:xlrd2="http://schemas.microsoft.com/office/spreadsheetml/2017/richdata2" ref="B19:L22">
      <sortCondition ref="C18"/>
    </sortState>
  </autoFilter>
  <mergeCells count="10">
    <mergeCell ref="E43:F43"/>
    <mergeCell ref="A1:G1"/>
    <mergeCell ref="H1:L1"/>
    <mergeCell ref="A6:G6"/>
    <mergeCell ref="D16:E16"/>
    <mergeCell ref="A3:G3"/>
    <mergeCell ref="H3:L3"/>
    <mergeCell ref="A2:G2"/>
    <mergeCell ref="H2:L2"/>
    <mergeCell ref="H6:L6"/>
  </mergeCells>
  <printOptions horizontalCentered="1"/>
  <pageMargins left="0.2" right="0.19" top="0.75" bottom="0.75" header="0.3" footer="0.3"/>
  <pageSetup paperSize="9" scale="79" orientation="portrait" r:id="rId1"/>
  <headerFooter alignWithMargins="0"/>
  <colBreaks count="1" manualBreakCount="1">
    <brk id="7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67"/>
  <sheetViews>
    <sheetView view="pageBreakPreview" topLeftCell="A5" zoomScale="115" zoomScaleNormal="130" zoomScaleSheetLayoutView="115" workbookViewId="0">
      <selection activeCell="A9" sqref="A9:AT9"/>
    </sheetView>
  </sheetViews>
  <sheetFormatPr defaultColWidth="2.140625" defaultRowHeight="28.5" customHeight="1" x14ac:dyDescent="0.25"/>
  <cols>
    <col min="1" max="1" width="2.5703125" customWidth="1"/>
    <col min="2" max="2" width="5.5703125" customWidth="1"/>
    <col min="3" max="3" width="2" customWidth="1"/>
    <col min="4" max="4" width="3" customWidth="1"/>
    <col min="15" max="15" width="3" customWidth="1"/>
    <col min="18" max="18" width="3.5703125" customWidth="1"/>
    <col min="20" max="20" width="2.140625" customWidth="1"/>
    <col min="21" max="21" width="3" customWidth="1"/>
    <col min="22" max="22" width="2.140625" customWidth="1"/>
    <col min="25" max="25" width="2.42578125" customWidth="1"/>
    <col min="28" max="28" width="3" customWidth="1"/>
    <col min="29" max="29" width="2.28515625" customWidth="1"/>
    <col min="30" max="30" width="2.5703125" customWidth="1"/>
    <col min="31" max="31" width="1.7109375" customWidth="1"/>
    <col min="32" max="32" width="2.7109375" customWidth="1"/>
    <col min="33" max="33" width="2" customWidth="1"/>
    <col min="34" max="34" width="2.5703125" customWidth="1"/>
    <col min="36" max="43" width="2.28515625" customWidth="1"/>
    <col min="44" max="44" width="1.7109375" customWidth="1"/>
    <col min="46" max="46" width="4.28515625" customWidth="1"/>
    <col min="256" max="256" width="2.5703125" customWidth="1"/>
    <col min="257" max="257" width="5.5703125" customWidth="1"/>
    <col min="258" max="258" width="2" customWidth="1"/>
    <col min="259" max="259" width="3" customWidth="1"/>
    <col min="270" max="270" width="3" customWidth="1"/>
    <col min="273" max="273" width="2.5703125" bestFit="1" customWidth="1"/>
    <col min="275" max="277" width="2.140625" customWidth="1"/>
    <col min="280" max="280" width="2.42578125" customWidth="1"/>
    <col min="283" max="283" width="3" customWidth="1"/>
    <col min="284" max="284" width="2.28515625" customWidth="1"/>
    <col min="285" max="285" width="2.5703125" customWidth="1"/>
    <col min="286" max="286" width="1" customWidth="1"/>
    <col min="287" max="287" width="2.7109375" customWidth="1"/>
    <col min="288" max="288" width="2" customWidth="1"/>
    <col min="289" max="289" width="2.5703125" customWidth="1"/>
    <col min="291" max="298" width="2.28515625" customWidth="1"/>
    <col min="299" max="299" width="1.7109375" customWidth="1"/>
    <col min="301" max="301" width="4.28515625" customWidth="1"/>
    <col min="302" max="302" width="7.42578125" customWidth="1"/>
    <col min="512" max="512" width="2.5703125" customWidth="1"/>
    <col min="513" max="513" width="5.5703125" customWidth="1"/>
    <col min="514" max="514" width="2" customWidth="1"/>
    <col min="515" max="515" width="3" customWidth="1"/>
    <col min="526" max="526" width="3" customWidth="1"/>
    <col min="529" max="529" width="2.5703125" bestFit="1" customWidth="1"/>
    <col min="531" max="533" width="2.140625" customWidth="1"/>
    <col min="536" max="536" width="2.42578125" customWidth="1"/>
    <col min="539" max="539" width="3" customWidth="1"/>
    <col min="540" max="540" width="2.28515625" customWidth="1"/>
    <col min="541" max="541" width="2.5703125" customWidth="1"/>
    <col min="542" max="542" width="1" customWidth="1"/>
    <col min="543" max="543" width="2.7109375" customWidth="1"/>
    <col min="544" max="544" width="2" customWidth="1"/>
    <col min="545" max="545" width="2.5703125" customWidth="1"/>
    <col min="547" max="554" width="2.28515625" customWidth="1"/>
    <col min="555" max="555" width="1.7109375" customWidth="1"/>
    <col min="557" max="557" width="4.28515625" customWidth="1"/>
    <col min="558" max="558" width="7.42578125" customWidth="1"/>
    <col min="768" max="768" width="2.5703125" customWidth="1"/>
    <col min="769" max="769" width="5.5703125" customWidth="1"/>
    <col min="770" max="770" width="2" customWidth="1"/>
    <col min="771" max="771" width="3" customWidth="1"/>
    <col min="782" max="782" width="3" customWidth="1"/>
    <col min="785" max="785" width="2.5703125" bestFit="1" customWidth="1"/>
    <col min="787" max="789" width="2.140625" customWidth="1"/>
    <col min="792" max="792" width="2.42578125" customWidth="1"/>
    <col min="795" max="795" width="3" customWidth="1"/>
    <col min="796" max="796" width="2.28515625" customWidth="1"/>
    <col min="797" max="797" width="2.5703125" customWidth="1"/>
    <col min="798" max="798" width="1" customWidth="1"/>
    <col min="799" max="799" width="2.7109375" customWidth="1"/>
    <col min="800" max="800" width="2" customWidth="1"/>
    <col min="801" max="801" width="2.5703125" customWidth="1"/>
    <col min="803" max="810" width="2.28515625" customWidth="1"/>
    <col min="811" max="811" width="1.7109375" customWidth="1"/>
    <col min="813" max="813" width="4.28515625" customWidth="1"/>
    <col min="814" max="814" width="7.42578125" customWidth="1"/>
    <col min="1024" max="1024" width="2.5703125" customWidth="1"/>
    <col min="1025" max="1025" width="5.5703125" customWidth="1"/>
    <col min="1026" max="1026" width="2" customWidth="1"/>
    <col min="1027" max="1027" width="3" customWidth="1"/>
    <col min="1038" max="1038" width="3" customWidth="1"/>
    <col min="1041" max="1041" width="2.5703125" bestFit="1" customWidth="1"/>
    <col min="1043" max="1045" width="2.140625" customWidth="1"/>
    <col min="1048" max="1048" width="2.42578125" customWidth="1"/>
    <col min="1051" max="1051" width="3" customWidth="1"/>
    <col min="1052" max="1052" width="2.28515625" customWidth="1"/>
    <col min="1053" max="1053" width="2.5703125" customWidth="1"/>
    <col min="1054" max="1054" width="1" customWidth="1"/>
    <col min="1055" max="1055" width="2.7109375" customWidth="1"/>
    <col min="1056" max="1056" width="2" customWidth="1"/>
    <col min="1057" max="1057" width="2.5703125" customWidth="1"/>
    <col min="1059" max="1066" width="2.28515625" customWidth="1"/>
    <col min="1067" max="1067" width="1.7109375" customWidth="1"/>
    <col min="1069" max="1069" width="4.28515625" customWidth="1"/>
    <col min="1070" max="1070" width="7.42578125" customWidth="1"/>
    <col min="1280" max="1280" width="2.5703125" customWidth="1"/>
    <col min="1281" max="1281" width="5.5703125" customWidth="1"/>
    <col min="1282" max="1282" width="2" customWidth="1"/>
    <col min="1283" max="1283" width="3" customWidth="1"/>
    <col min="1294" max="1294" width="3" customWidth="1"/>
    <col min="1297" max="1297" width="2.5703125" bestFit="1" customWidth="1"/>
    <col min="1299" max="1301" width="2.140625" customWidth="1"/>
    <col min="1304" max="1304" width="2.42578125" customWidth="1"/>
    <col min="1307" max="1307" width="3" customWidth="1"/>
    <col min="1308" max="1308" width="2.28515625" customWidth="1"/>
    <col min="1309" max="1309" width="2.5703125" customWidth="1"/>
    <col min="1310" max="1310" width="1" customWidth="1"/>
    <col min="1311" max="1311" width="2.7109375" customWidth="1"/>
    <col min="1312" max="1312" width="2" customWidth="1"/>
    <col min="1313" max="1313" width="2.5703125" customWidth="1"/>
    <col min="1315" max="1322" width="2.28515625" customWidth="1"/>
    <col min="1323" max="1323" width="1.7109375" customWidth="1"/>
    <col min="1325" max="1325" width="4.28515625" customWidth="1"/>
    <col min="1326" max="1326" width="7.42578125" customWidth="1"/>
    <col min="1536" max="1536" width="2.5703125" customWidth="1"/>
    <col min="1537" max="1537" width="5.5703125" customWidth="1"/>
    <col min="1538" max="1538" width="2" customWidth="1"/>
    <col min="1539" max="1539" width="3" customWidth="1"/>
    <col min="1550" max="1550" width="3" customWidth="1"/>
    <col min="1553" max="1553" width="2.5703125" bestFit="1" customWidth="1"/>
    <col min="1555" max="1557" width="2.140625" customWidth="1"/>
    <col min="1560" max="1560" width="2.42578125" customWidth="1"/>
    <col min="1563" max="1563" width="3" customWidth="1"/>
    <col min="1564" max="1564" width="2.28515625" customWidth="1"/>
    <col min="1565" max="1565" width="2.5703125" customWidth="1"/>
    <col min="1566" max="1566" width="1" customWidth="1"/>
    <col min="1567" max="1567" width="2.7109375" customWidth="1"/>
    <col min="1568" max="1568" width="2" customWidth="1"/>
    <col min="1569" max="1569" width="2.5703125" customWidth="1"/>
    <col min="1571" max="1578" width="2.28515625" customWidth="1"/>
    <col min="1579" max="1579" width="1.7109375" customWidth="1"/>
    <col min="1581" max="1581" width="4.28515625" customWidth="1"/>
    <col min="1582" max="1582" width="7.42578125" customWidth="1"/>
    <col min="1792" max="1792" width="2.5703125" customWidth="1"/>
    <col min="1793" max="1793" width="5.5703125" customWidth="1"/>
    <col min="1794" max="1794" width="2" customWidth="1"/>
    <col min="1795" max="1795" width="3" customWidth="1"/>
    <col min="1806" max="1806" width="3" customWidth="1"/>
    <col min="1809" max="1809" width="2.5703125" bestFit="1" customWidth="1"/>
    <col min="1811" max="1813" width="2.140625" customWidth="1"/>
    <col min="1816" max="1816" width="2.42578125" customWidth="1"/>
    <col min="1819" max="1819" width="3" customWidth="1"/>
    <col min="1820" max="1820" width="2.28515625" customWidth="1"/>
    <col min="1821" max="1821" width="2.5703125" customWidth="1"/>
    <col min="1822" max="1822" width="1" customWidth="1"/>
    <col min="1823" max="1823" width="2.7109375" customWidth="1"/>
    <col min="1824" max="1824" width="2" customWidth="1"/>
    <col min="1825" max="1825" width="2.5703125" customWidth="1"/>
    <col min="1827" max="1834" width="2.28515625" customWidth="1"/>
    <col min="1835" max="1835" width="1.7109375" customWidth="1"/>
    <col min="1837" max="1837" width="4.28515625" customWidth="1"/>
    <col min="1838" max="1838" width="7.42578125" customWidth="1"/>
    <col min="2048" max="2048" width="2.5703125" customWidth="1"/>
    <col min="2049" max="2049" width="5.5703125" customWidth="1"/>
    <col min="2050" max="2050" width="2" customWidth="1"/>
    <col min="2051" max="2051" width="3" customWidth="1"/>
    <col min="2062" max="2062" width="3" customWidth="1"/>
    <col min="2065" max="2065" width="2.5703125" bestFit="1" customWidth="1"/>
    <col min="2067" max="2069" width="2.140625" customWidth="1"/>
    <col min="2072" max="2072" width="2.42578125" customWidth="1"/>
    <col min="2075" max="2075" width="3" customWidth="1"/>
    <col min="2076" max="2076" width="2.28515625" customWidth="1"/>
    <col min="2077" max="2077" width="2.5703125" customWidth="1"/>
    <col min="2078" max="2078" width="1" customWidth="1"/>
    <col min="2079" max="2079" width="2.7109375" customWidth="1"/>
    <col min="2080" max="2080" width="2" customWidth="1"/>
    <col min="2081" max="2081" width="2.5703125" customWidth="1"/>
    <col min="2083" max="2090" width="2.28515625" customWidth="1"/>
    <col min="2091" max="2091" width="1.7109375" customWidth="1"/>
    <col min="2093" max="2093" width="4.28515625" customWidth="1"/>
    <col min="2094" max="2094" width="7.42578125" customWidth="1"/>
    <col min="2304" max="2304" width="2.5703125" customWidth="1"/>
    <col min="2305" max="2305" width="5.5703125" customWidth="1"/>
    <col min="2306" max="2306" width="2" customWidth="1"/>
    <col min="2307" max="2307" width="3" customWidth="1"/>
    <col min="2318" max="2318" width="3" customWidth="1"/>
    <col min="2321" max="2321" width="2.5703125" bestFit="1" customWidth="1"/>
    <col min="2323" max="2325" width="2.140625" customWidth="1"/>
    <col min="2328" max="2328" width="2.42578125" customWidth="1"/>
    <col min="2331" max="2331" width="3" customWidth="1"/>
    <col min="2332" max="2332" width="2.28515625" customWidth="1"/>
    <col min="2333" max="2333" width="2.5703125" customWidth="1"/>
    <col min="2334" max="2334" width="1" customWidth="1"/>
    <col min="2335" max="2335" width="2.7109375" customWidth="1"/>
    <col min="2336" max="2336" width="2" customWidth="1"/>
    <col min="2337" max="2337" width="2.5703125" customWidth="1"/>
    <col min="2339" max="2346" width="2.28515625" customWidth="1"/>
    <col min="2347" max="2347" width="1.7109375" customWidth="1"/>
    <col min="2349" max="2349" width="4.28515625" customWidth="1"/>
    <col min="2350" max="2350" width="7.42578125" customWidth="1"/>
    <col min="2560" max="2560" width="2.5703125" customWidth="1"/>
    <col min="2561" max="2561" width="5.5703125" customWidth="1"/>
    <col min="2562" max="2562" width="2" customWidth="1"/>
    <col min="2563" max="2563" width="3" customWidth="1"/>
    <col min="2574" max="2574" width="3" customWidth="1"/>
    <col min="2577" max="2577" width="2.5703125" bestFit="1" customWidth="1"/>
    <col min="2579" max="2581" width="2.140625" customWidth="1"/>
    <col min="2584" max="2584" width="2.42578125" customWidth="1"/>
    <col min="2587" max="2587" width="3" customWidth="1"/>
    <col min="2588" max="2588" width="2.28515625" customWidth="1"/>
    <col min="2589" max="2589" width="2.5703125" customWidth="1"/>
    <col min="2590" max="2590" width="1" customWidth="1"/>
    <col min="2591" max="2591" width="2.7109375" customWidth="1"/>
    <col min="2592" max="2592" width="2" customWidth="1"/>
    <col min="2593" max="2593" width="2.5703125" customWidth="1"/>
    <col min="2595" max="2602" width="2.28515625" customWidth="1"/>
    <col min="2603" max="2603" width="1.7109375" customWidth="1"/>
    <col min="2605" max="2605" width="4.28515625" customWidth="1"/>
    <col min="2606" max="2606" width="7.42578125" customWidth="1"/>
    <col min="2816" max="2816" width="2.5703125" customWidth="1"/>
    <col min="2817" max="2817" width="5.5703125" customWidth="1"/>
    <col min="2818" max="2818" width="2" customWidth="1"/>
    <col min="2819" max="2819" width="3" customWidth="1"/>
    <col min="2830" max="2830" width="3" customWidth="1"/>
    <col min="2833" max="2833" width="2.5703125" bestFit="1" customWidth="1"/>
    <col min="2835" max="2837" width="2.140625" customWidth="1"/>
    <col min="2840" max="2840" width="2.42578125" customWidth="1"/>
    <col min="2843" max="2843" width="3" customWidth="1"/>
    <col min="2844" max="2844" width="2.28515625" customWidth="1"/>
    <col min="2845" max="2845" width="2.5703125" customWidth="1"/>
    <col min="2846" max="2846" width="1" customWidth="1"/>
    <col min="2847" max="2847" width="2.7109375" customWidth="1"/>
    <col min="2848" max="2848" width="2" customWidth="1"/>
    <col min="2849" max="2849" width="2.5703125" customWidth="1"/>
    <col min="2851" max="2858" width="2.28515625" customWidth="1"/>
    <col min="2859" max="2859" width="1.7109375" customWidth="1"/>
    <col min="2861" max="2861" width="4.28515625" customWidth="1"/>
    <col min="2862" max="2862" width="7.42578125" customWidth="1"/>
    <col min="3072" max="3072" width="2.5703125" customWidth="1"/>
    <col min="3073" max="3073" width="5.5703125" customWidth="1"/>
    <col min="3074" max="3074" width="2" customWidth="1"/>
    <col min="3075" max="3075" width="3" customWidth="1"/>
    <col min="3086" max="3086" width="3" customWidth="1"/>
    <col min="3089" max="3089" width="2.5703125" bestFit="1" customWidth="1"/>
    <col min="3091" max="3093" width="2.140625" customWidth="1"/>
    <col min="3096" max="3096" width="2.42578125" customWidth="1"/>
    <col min="3099" max="3099" width="3" customWidth="1"/>
    <col min="3100" max="3100" width="2.28515625" customWidth="1"/>
    <col min="3101" max="3101" width="2.5703125" customWidth="1"/>
    <col min="3102" max="3102" width="1" customWidth="1"/>
    <col min="3103" max="3103" width="2.7109375" customWidth="1"/>
    <col min="3104" max="3104" width="2" customWidth="1"/>
    <col min="3105" max="3105" width="2.5703125" customWidth="1"/>
    <col min="3107" max="3114" width="2.28515625" customWidth="1"/>
    <col min="3115" max="3115" width="1.7109375" customWidth="1"/>
    <col min="3117" max="3117" width="4.28515625" customWidth="1"/>
    <col min="3118" max="3118" width="7.42578125" customWidth="1"/>
    <col min="3328" max="3328" width="2.5703125" customWidth="1"/>
    <col min="3329" max="3329" width="5.5703125" customWidth="1"/>
    <col min="3330" max="3330" width="2" customWidth="1"/>
    <col min="3331" max="3331" width="3" customWidth="1"/>
    <col min="3342" max="3342" width="3" customWidth="1"/>
    <col min="3345" max="3345" width="2.5703125" bestFit="1" customWidth="1"/>
    <col min="3347" max="3349" width="2.140625" customWidth="1"/>
    <col min="3352" max="3352" width="2.42578125" customWidth="1"/>
    <col min="3355" max="3355" width="3" customWidth="1"/>
    <col min="3356" max="3356" width="2.28515625" customWidth="1"/>
    <col min="3357" max="3357" width="2.5703125" customWidth="1"/>
    <col min="3358" max="3358" width="1" customWidth="1"/>
    <col min="3359" max="3359" width="2.7109375" customWidth="1"/>
    <col min="3360" max="3360" width="2" customWidth="1"/>
    <col min="3361" max="3361" width="2.5703125" customWidth="1"/>
    <col min="3363" max="3370" width="2.28515625" customWidth="1"/>
    <col min="3371" max="3371" width="1.7109375" customWidth="1"/>
    <col min="3373" max="3373" width="4.28515625" customWidth="1"/>
    <col min="3374" max="3374" width="7.42578125" customWidth="1"/>
    <col min="3584" max="3584" width="2.5703125" customWidth="1"/>
    <col min="3585" max="3585" width="5.5703125" customWidth="1"/>
    <col min="3586" max="3586" width="2" customWidth="1"/>
    <col min="3587" max="3587" width="3" customWidth="1"/>
    <col min="3598" max="3598" width="3" customWidth="1"/>
    <col min="3601" max="3601" width="2.5703125" bestFit="1" customWidth="1"/>
    <col min="3603" max="3605" width="2.140625" customWidth="1"/>
    <col min="3608" max="3608" width="2.42578125" customWidth="1"/>
    <col min="3611" max="3611" width="3" customWidth="1"/>
    <col min="3612" max="3612" width="2.28515625" customWidth="1"/>
    <col min="3613" max="3613" width="2.5703125" customWidth="1"/>
    <col min="3614" max="3614" width="1" customWidth="1"/>
    <col min="3615" max="3615" width="2.7109375" customWidth="1"/>
    <col min="3616" max="3616" width="2" customWidth="1"/>
    <col min="3617" max="3617" width="2.5703125" customWidth="1"/>
    <col min="3619" max="3626" width="2.28515625" customWidth="1"/>
    <col min="3627" max="3627" width="1.7109375" customWidth="1"/>
    <col min="3629" max="3629" width="4.28515625" customWidth="1"/>
    <col min="3630" max="3630" width="7.42578125" customWidth="1"/>
    <col min="3840" max="3840" width="2.5703125" customWidth="1"/>
    <col min="3841" max="3841" width="5.5703125" customWidth="1"/>
    <col min="3842" max="3842" width="2" customWidth="1"/>
    <col min="3843" max="3843" width="3" customWidth="1"/>
    <col min="3854" max="3854" width="3" customWidth="1"/>
    <col min="3857" max="3857" width="2.5703125" bestFit="1" customWidth="1"/>
    <col min="3859" max="3861" width="2.140625" customWidth="1"/>
    <col min="3864" max="3864" width="2.42578125" customWidth="1"/>
    <col min="3867" max="3867" width="3" customWidth="1"/>
    <col min="3868" max="3868" width="2.28515625" customWidth="1"/>
    <col min="3869" max="3869" width="2.5703125" customWidth="1"/>
    <col min="3870" max="3870" width="1" customWidth="1"/>
    <col min="3871" max="3871" width="2.7109375" customWidth="1"/>
    <col min="3872" max="3872" width="2" customWidth="1"/>
    <col min="3873" max="3873" width="2.5703125" customWidth="1"/>
    <col min="3875" max="3882" width="2.28515625" customWidth="1"/>
    <col min="3883" max="3883" width="1.7109375" customWidth="1"/>
    <col min="3885" max="3885" width="4.28515625" customWidth="1"/>
    <col min="3886" max="3886" width="7.42578125" customWidth="1"/>
    <col min="4096" max="4096" width="2.5703125" customWidth="1"/>
    <col min="4097" max="4097" width="5.5703125" customWidth="1"/>
    <col min="4098" max="4098" width="2" customWidth="1"/>
    <col min="4099" max="4099" width="3" customWidth="1"/>
    <col min="4110" max="4110" width="3" customWidth="1"/>
    <col min="4113" max="4113" width="2.5703125" bestFit="1" customWidth="1"/>
    <col min="4115" max="4117" width="2.140625" customWidth="1"/>
    <col min="4120" max="4120" width="2.42578125" customWidth="1"/>
    <col min="4123" max="4123" width="3" customWidth="1"/>
    <col min="4124" max="4124" width="2.28515625" customWidth="1"/>
    <col min="4125" max="4125" width="2.5703125" customWidth="1"/>
    <col min="4126" max="4126" width="1" customWidth="1"/>
    <col min="4127" max="4127" width="2.7109375" customWidth="1"/>
    <col min="4128" max="4128" width="2" customWidth="1"/>
    <col min="4129" max="4129" width="2.5703125" customWidth="1"/>
    <col min="4131" max="4138" width="2.28515625" customWidth="1"/>
    <col min="4139" max="4139" width="1.7109375" customWidth="1"/>
    <col min="4141" max="4141" width="4.28515625" customWidth="1"/>
    <col min="4142" max="4142" width="7.42578125" customWidth="1"/>
    <col min="4352" max="4352" width="2.5703125" customWidth="1"/>
    <col min="4353" max="4353" width="5.5703125" customWidth="1"/>
    <col min="4354" max="4354" width="2" customWidth="1"/>
    <col min="4355" max="4355" width="3" customWidth="1"/>
    <col min="4366" max="4366" width="3" customWidth="1"/>
    <col min="4369" max="4369" width="2.5703125" bestFit="1" customWidth="1"/>
    <col min="4371" max="4373" width="2.140625" customWidth="1"/>
    <col min="4376" max="4376" width="2.42578125" customWidth="1"/>
    <col min="4379" max="4379" width="3" customWidth="1"/>
    <col min="4380" max="4380" width="2.28515625" customWidth="1"/>
    <col min="4381" max="4381" width="2.5703125" customWidth="1"/>
    <col min="4382" max="4382" width="1" customWidth="1"/>
    <col min="4383" max="4383" width="2.7109375" customWidth="1"/>
    <col min="4384" max="4384" width="2" customWidth="1"/>
    <col min="4385" max="4385" width="2.5703125" customWidth="1"/>
    <col min="4387" max="4394" width="2.28515625" customWidth="1"/>
    <col min="4395" max="4395" width="1.7109375" customWidth="1"/>
    <col min="4397" max="4397" width="4.28515625" customWidth="1"/>
    <col min="4398" max="4398" width="7.42578125" customWidth="1"/>
    <col min="4608" max="4608" width="2.5703125" customWidth="1"/>
    <col min="4609" max="4609" width="5.5703125" customWidth="1"/>
    <col min="4610" max="4610" width="2" customWidth="1"/>
    <col min="4611" max="4611" width="3" customWidth="1"/>
    <col min="4622" max="4622" width="3" customWidth="1"/>
    <col min="4625" max="4625" width="2.5703125" bestFit="1" customWidth="1"/>
    <col min="4627" max="4629" width="2.140625" customWidth="1"/>
    <col min="4632" max="4632" width="2.42578125" customWidth="1"/>
    <col min="4635" max="4635" width="3" customWidth="1"/>
    <col min="4636" max="4636" width="2.28515625" customWidth="1"/>
    <col min="4637" max="4637" width="2.5703125" customWidth="1"/>
    <col min="4638" max="4638" width="1" customWidth="1"/>
    <col min="4639" max="4639" width="2.7109375" customWidth="1"/>
    <col min="4640" max="4640" width="2" customWidth="1"/>
    <col min="4641" max="4641" width="2.5703125" customWidth="1"/>
    <col min="4643" max="4650" width="2.28515625" customWidth="1"/>
    <col min="4651" max="4651" width="1.7109375" customWidth="1"/>
    <col min="4653" max="4653" width="4.28515625" customWidth="1"/>
    <col min="4654" max="4654" width="7.42578125" customWidth="1"/>
    <col min="4864" max="4864" width="2.5703125" customWidth="1"/>
    <col min="4865" max="4865" width="5.5703125" customWidth="1"/>
    <col min="4866" max="4866" width="2" customWidth="1"/>
    <col min="4867" max="4867" width="3" customWidth="1"/>
    <col min="4878" max="4878" width="3" customWidth="1"/>
    <col min="4881" max="4881" width="2.5703125" bestFit="1" customWidth="1"/>
    <col min="4883" max="4885" width="2.140625" customWidth="1"/>
    <col min="4888" max="4888" width="2.42578125" customWidth="1"/>
    <col min="4891" max="4891" width="3" customWidth="1"/>
    <col min="4892" max="4892" width="2.28515625" customWidth="1"/>
    <col min="4893" max="4893" width="2.5703125" customWidth="1"/>
    <col min="4894" max="4894" width="1" customWidth="1"/>
    <col min="4895" max="4895" width="2.7109375" customWidth="1"/>
    <col min="4896" max="4896" width="2" customWidth="1"/>
    <col min="4897" max="4897" width="2.5703125" customWidth="1"/>
    <col min="4899" max="4906" width="2.28515625" customWidth="1"/>
    <col min="4907" max="4907" width="1.7109375" customWidth="1"/>
    <col min="4909" max="4909" width="4.28515625" customWidth="1"/>
    <col min="4910" max="4910" width="7.42578125" customWidth="1"/>
    <col min="5120" max="5120" width="2.5703125" customWidth="1"/>
    <col min="5121" max="5121" width="5.5703125" customWidth="1"/>
    <col min="5122" max="5122" width="2" customWidth="1"/>
    <col min="5123" max="5123" width="3" customWidth="1"/>
    <col min="5134" max="5134" width="3" customWidth="1"/>
    <col min="5137" max="5137" width="2.5703125" bestFit="1" customWidth="1"/>
    <col min="5139" max="5141" width="2.140625" customWidth="1"/>
    <col min="5144" max="5144" width="2.42578125" customWidth="1"/>
    <col min="5147" max="5147" width="3" customWidth="1"/>
    <col min="5148" max="5148" width="2.28515625" customWidth="1"/>
    <col min="5149" max="5149" width="2.5703125" customWidth="1"/>
    <col min="5150" max="5150" width="1" customWidth="1"/>
    <col min="5151" max="5151" width="2.7109375" customWidth="1"/>
    <col min="5152" max="5152" width="2" customWidth="1"/>
    <col min="5153" max="5153" width="2.5703125" customWidth="1"/>
    <col min="5155" max="5162" width="2.28515625" customWidth="1"/>
    <col min="5163" max="5163" width="1.7109375" customWidth="1"/>
    <col min="5165" max="5165" width="4.28515625" customWidth="1"/>
    <col min="5166" max="5166" width="7.42578125" customWidth="1"/>
    <col min="5376" max="5376" width="2.5703125" customWidth="1"/>
    <col min="5377" max="5377" width="5.5703125" customWidth="1"/>
    <col min="5378" max="5378" width="2" customWidth="1"/>
    <col min="5379" max="5379" width="3" customWidth="1"/>
    <col min="5390" max="5390" width="3" customWidth="1"/>
    <col min="5393" max="5393" width="2.5703125" bestFit="1" customWidth="1"/>
    <col min="5395" max="5397" width="2.140625" customWidth="1"/>
    <col min="5400" max="5400" width="2.42578125" customWidth="1"/>
    <col min="5403" max="5403" width="3" customWidth="1"/>
    <col min="5404" max="5404" width="2.28515625" customWidth="1"/>
    <col min="5405" max="5405" width="2.5703125" customWidth="1"/>
    <col min="5406" max="5406" width="1" customWidth="1"/>
    <col min="5407" max="5407" width="2.7109375" customWidth="1"/>
    <col min="5408" max="5408" width="2" customWidth="1"/>
    <col min="5409" max="5409" width="2.5703125" customWidth="1"/>
    <col min="5411" max="5418" width="2.28515625" customWidth="1"/>
    <col min="5419" max="5419" width="1.7109375" customWidth="1"/>
    <col min="5421" max="5421" width="4.28515625" customWidth="1"/>
    <col min="5422" max="5422" width="7.42578125" customWidth="1"/>
    <col min="5632" max="5632" width="2.5703125" customWidth="1"/>
    <col min="5633" max="5633" width="5.5703125" customWidth="1"/>
    <col min="5634" max="5634" width="2" customWidth="1"/>
    <col min="5635" max="5635" width="3" customWidth="1"/>
    <col min="5646" max="5646" width="3" customWidth="1"/>
    <col min="5649" max="5649" width="2.5703125" bestFit="1" customWidth="1"/>
    <col min="5651" max="5653" width="2.140625" customWidth="1"/>
    <col min="5656" max="5656" width="2.42578125" customWidth="1"/>
    <col min="5659" max="5659" width="3" customWidth="1"/>
    <col min="5660" max="5660" width="2.28515625" customWidth="1"/>
    <col min="5661" max="5661" width="2.5703125" customWidth="1"/>
    <col min="5662" max="5662" width="1" customWidth="1"/>
    <col min="5663" max="5663" width="2.7109375" customWidth="1"/>
    <col min="5664" max="5664" width="2" customWidth="1"/>
    <col min="5665" max="5665" width="2.5703125" customWidth="1"/>
    <col min="5667" max="5674" width="2.28515625" customWidth="1"/>
    <col min="5675" max="5675" width="1.7109375" customWidth="1"/>
    <col min="5677" max="5677" width="4.28515625" customWidth="1"/>
    <col min="5678" max="5678" width="7.42578125" customWidth="1"/>
    <col min="5888" max="5888" width="2.5703125" customWidth="1"/>
    <col min="5889" max="5889" width="5.5703125" customWidth="1"/>
    <col min="5890" max="5890" width="2" customWidth="1"/>
    <col min="5891" max="5891" width="3" customWidth="1"/>
    <col min="5902" max="5902" width="3" customWidth="1"/>
    <col min="5905" max="5905" width="2.5703125" bestFit="1" customWidth="1"/>
    <col min="5907" max="5909" width="2.140625" customWidth="1"/>
    <col min="5912" max="5912" width="2.42578125" customWidth="1"/>
    <col min="5915" max="5915" width="3" customWidth="1"/>
    <col min="5916" max="5916" width="2.28515625" customWidth="1"/>
    <col min="5917" max="5917" width="2.5703125" customWidth="1"/>
    <col min="5918" max="5918" width="1" customWidth="1"/>
    <col min="5919" max="5919" width="2.7109375" customWidth="1"/>
    <col min="5920" max="5920" width="2" customWidth="1"/>
    <col min="5921" max="5921" width="2.5703125" customWidth="1"/>
    <col min="5923" max="5930" width="2.28515625" customWidth="1"/>
    <col min="5931" max="5931" width="1.7109375" customWidth="1"/>
    <col min="5933" max="5933" width="4.28515625" customWidth="1"/>
    <col min="5934" max="5934" width="7.42578125" customWidth="1"/>
    <col min="6144" max="6144" width="2.5703125" customWidth="1"/>
    <col min="6145" max="6145" width="5.5703125" customWidth="1"/>
    <col min="6146" max="6146" width="2" customWidth="1"/>
    <col min="6147" max="6147" width="3" customWidth="1"/>
    <col min="6158" max="6158" width="3" customWidth="1"/>
    <col min="6161" max="6161" width="2.5703125" bestFit="1" customWidth="1"/>
    <col min="6163" max="6165" width="2.140625" customWidth="1"/>
    <col min="6168" max="6168" width="2.42578125" customWidth="1"/>
    <col min="6171" max="6171" width="3" customWidth="1"/>
    <col min="6172" max="6172" width="2.28515625" customWidth="1"/>
    <col min="6173" max="6173" width="2.5703125" customWidth="1"/>
    <col min="6174" max="6174" width="1" customWidth="1"/>
    <col min="6175" max="6175" width="2.7109375" customWidth="1"/>
    <col min="6176" max="6176" width="2" customWidth="1"/>
    <col min="6177" max="6177" width="2.5703125" customWidth="1"/>
    <col min="6179" max="6186" width="2.28515625" customWidth="1"/>
    <col min="6187" max="6187" width="1.7109375" customWidth="1"/>
    <col min="6189" max="6189" width="4.28515625" customWidth="1"/>
    <col min="6190" max="6190" width="7.42578125" customWidth="1"/>
    <col min="6400" max="6400" width="2.5703125" customWidth="1"/>
    <col min="6401" max="6401" width="5.5703125" customWidth="1"/>
    <col min="6402" max="6402" width="2" customWidth="1"/>
    <col min="6403" max="6403" width="3" customWidth="1"/>
    <col min="6414" max="6414" width="3" customWidth="1"/>
    <col min="6417" max="6417" width="2.5703125" bestFit="1" customWidth="1"/>
    <col min="6419" max="6421" width="2.140625" customWidth="1"/>
    <col min="6424" max="6424" width="2.42578125" customWidth="1"/>
    <col min="6427" max="6427" width="3" customWidth="1"/>
    <col min="6428" max="6428" width="2.28515625" customWidth="1"/>
    <col min="6429" max="6429" width="2.5703125" customWidth="1"/>
    <col min="6430" max="6430" width="1" customWidth="1"/>
    <col min="6431" max="6431" width="2.7109375" customWidth="1"/>
    <col min="6432" max="6432" width="2" customWidth="1"/>
    <col min="6433" max="6433" width="2.5703125" customWidth="1"/>
    <col min="6435" max="6442" width="2.28515625" customWidth="1"/>
    <col min="6443" max="6443" width="1.7109375" customWidth="1"/>
    <col min="6445" max="6445" width="4.28515625" customWidth="1"/>
    <col min="6446" max="6446" width="7.42578125" customWidth="1"/>
    <col min="6656" max="6656" width="2.5703125" customWidth="1"/>
    <col min="6657" max="6657" width="5.5703125" customWidth="1"/>
    <col min="6658" max="6658" width="2" customWidth="1"/>
    <col min="6659" max="6659" width="3" customWidth="1"/>
    <col min="6670" max="6670" width="3" customWidth="1"/>
    <col min="6673" max="6673" width="2.5703125" bestFit="1" customWidth="1"/>
    <col min="6675" max="6677" width="2.140625" customWidth="1"/>
    <col min="6680" max="6680" width="2.42578125" customWidth="1"/>
    <col min="6683" max="6683" width="3" customWidth="1"/>
    <col min="6684" max="6684" width="2.28515625" customWidth="1"/>
    <col min="6685" max="6685" width="2.5703125" customWidth="1"/>
    <col min="6686" max="6686" width="1" customWidth="1"/>
    <col min="6687" max="6687" width="2.7109375" customWidth="1"/>
    <col min="6688" max="6688" width="2" customWidth="1"/>
    <col min="6689" max="6689" width="2.5703125" customWidth="1"/>
    <col min="6691" max="6698" width="2.28515625" customWidth="1"/>
    <col min="6699" max="6699" width="1.7109375" customWidth="1"/>
    <col min="6701" max="6701" width="4.28515625" customWidth="1"/>
    <col min="6702" max="6702" width="7.42578125" customWidth="1"/>
    <col min="6912" max="6912" width="2.5703125" customWidth="1"/>
    <col min="6913" max="6913" width="5.5703125" customWidth="1"/>
    <col min="6914" max="6914" width="2" customWidth="1"/>
    <col min="6915" max="6915" width="3" customWidth="1"/>
    <col min="6926" max="6926" width="3" customWidth="1"/>
    <col min="6929" max="6929" width="2.5703125" bestFit="1" customWidth="1"/>
    <col min="6931" max="6933" width="2.140625" customWidth="1"/>
    <col min="6936" max="6936" width="2.42578125" customWidth="1"/>
    <col min="6939" max="6939" width="3" customWidth="1"/>
    <col min="6940" max="6940" width="2.28515625" customWidth="1"/>
    <col min="6941" max="6941" width="2.5703125" customWidth="1"/>
    <col min="6942" max="6942" width="1" customWidth="1"/>
    <col min="6943" max="6943" width="2.7109375" customWidth="1"/>
    <col min="6944" max="6944" width="2" customWidth="1"/>
    <col min="6945" max="6945" width="2.5703125" customWidth="1"/>
    <col min="6947" max="6954" width="2.28515625" customWidth="1"/>
    <col min="6955" max="6955" width="1.7109375" customWidth="1"/>
    <col min="6957" max="6957" width="4.28515625" customWidth="1"/>
    <col min="6958" max="6958" width="7.42578125" customWidth="1"/>
    <col min="7168" max="7168" width="2.5703125" customWidth="1"/>
    <col min="7169" max="7169" width="5.5703125" customWidth="1"/>
    <col min="7170" max="7170" width="2" customWidth="1"/>
    <col min="7171" max="7171" width="3" customWidth="1"/>
    <col min="7182" max="7182" width="3" customWidth="1"/>
    <col min="7185" max="7185" width="2.5703125" bestFit="1" customWidth="1"/>
    <col min="7187" max="7189" width="2.140625" customWidth="1"/>
    <col min="7192" max="7192" width="2.42578125" customWidth="1"/>
    <col min="7195" max="7195" width="3" customWidth="1"/>
    <col min="7196" max="7196" width="2.28515625" customWidth="1"/>
    <col min="7197" max="7197" width="2.5703125" customWidth="1"/>
    <col min="7198" max="7198" width="1" customWidth="1"/>
    <col min="7199" max="7199" width="2.7109375" customWidth="1"/>
    <col min="7200" max="7200" width="2" customWidth="1"/>
    <col min="7201" max="7201" width="2.5703125" customWidth="1"/>
    <col min="7203" max="7210" width="2.28515625" customWidth="1"/>
    <col min="7211" max="7211" width="1.7109375" customWidth="1"/>
    <col min="7213" max="7213" width="4.28515625" customWidth="1"/>
    <col min="7214" max="7214" width="7.42578125" customWidth="1"/>
    <col min="7424" max="7424" width="2.5703125" customWidth="1"/>
    <col min="7425" max="7425" width="5.5703125" customWidth="1"/>
    <col min="7426" max="7426" width="2" customWidth="1"/>
    <col min="7427" max="7427" width="3" customWidth="1"/>
    <col min="7438" max="7438" width="3" customWidth="1"/>
    <col min="7441" max="7441" width="2.5703125" bestFit="1" customWidth="1"/>
    <col min="7443" max="7445" width="2.140625" customWidth="1"/>
    <col min="7448" max="7448" width="2.42578125" customWidth="1"/>
    <col min="7451" max="7451" width="3" customWidth="1"/>
    <col min="7452" max="7452" width="2.28515625" customWidth="1"/>
    <col min="7453" max="7453" width="2.5703125" customWidth="1"/>
    <col min="7454" max="7454" width="1" customWidth="1"/>
    <col min="7455" max="7455" width="2.7109375" customWidth="1"/>
    <col min="7456" max="7456" width="2" customWidth="1"/>
    <col min="7457" max="7457" width="2.5703125" customWidth="1"/>
    <col min="7459" max="7466" width="2.28515625" customWidth="1"/>
    <col min="7467" max="7467" width="1.7109375" customWidth="1"/>
    <col min="7469" max="7469" width="4.28515625" customWidth="1"/>
    <col min="7470" max="7470" width="7.42578125" customWidth="1"/>
    <col min="7680" max="7680" width="2.5703125" customWidth="1"/>
    <col min="7681" max="7681" width="5.5703125" customWidth="1"/>
    <col min="7682" max="7682" width="2" customWidth="1"/>
    <col min="7683" max="7683" width="3" customWidth="1"/>
    <col min="7694" max="7694" width="3" customWidth="1"/>
    <col min="7697" max="7697" width="2.5703125" bestFit="1" customWidth="1"/>
    <col min="7699" max="7701" width="2.140625" customWidth="1"/>
    <col min="7704" max="7704" width="2.42578125" customWidth="1"/>
    <col min="7707" max="7707" width="3" customWidth="1"/>
    <col min="7708" max="7708" width="2.28515625" customWidth="1"/>
    <col min="7709" max="7709" width="2.5703125" customWidth="1"/>
    <col min="7710" max="7710" width="1" customWidth="1"/>
    <col min="7711" max="7711" width="2.7109375" customWidth="1"/>
    <col min="7712" max="7712" width="2" customWidth="1"/>
    <col min="7713" max="7713" width="2.5703125" customWidth="1"/>
    <col min="7715" max="7722" width="2.28515625" customWidth="1"/>
    <col min="7723" max="7723" width="1.7109375" customWidth="1"/>
    <col min="7725" max="7725" width="4.28515625" customWidth="1"/>
    <col min="7726" max="7726" width="7.42578125" customWidth="1"/>
    <col min="7936" max="7936" width="2.5703125" customWidth="1"/>
    <col min="7937" max="7937" width="5.5703125" customWidth="1"/>
    <col min="7938" max="7938" width="2" customWidth="1"/>
    <col min="7939" max="7939" width="3" customWidth="1"/>
    <col min="7950" max="7950" width="3" customWidth="1"/>
    <col min="7953" max="7953" width="2.5703125" bestFit="1" customWidth="1"/>
    <col min="7955" max="7957" width="2.140625" customWidth="1"/>
    <col min="7960" max="7960" width="2.42578125" customWidth="1"/>
    <col min="7963" max="7963" width="3" customWidth="1"/>
    <col min="7964" max="7964" width="2.28515625" customWidth="1"/>
    <col min="7965" max="7965" width="2.5703125" customWidth="1"/>
    <col min="7966" max="7966" width="1" customWidth="1"/>
    <col min="7967" max="7967" width="2.7109375" customWidth="1"/>
    <col min="7968" max="7968" width="2" customWidth="1"/>
    <col min="7969" max="7969" width="2.5703125" customWidth="1"/>
    <col min="7971" max="7978" width="2.28515625" customWidth="1"/>
    <col min="7979" max="7979" width="1.7109375" customWidth="1"/>
    <col min="7981" max="7981" width="4.28515625" customWidth="1"/>
    <col min="7982" max="7982" width="7.42578125" customWidth="1"/>
    <col min="8192" max="8192" width="2.5703125" customWidth="1"/>
    <col min="8193" max="8193" width="5.5703125" customWidth="1"/>
    <col min="8194" max="8194" width="2" customWidth="1"/>
    <col min="8195" max="8195" width="3" customWidth="1"/>
    <col min="8206" max="8206" width="3" customWidth="1"/>
    <col min="8209" max="8209" width="2.5703125" bestFit="1" customWidth="1"/>
    <col min="8211" max="8213" width="2.140625" customWidth="1"/>
    <col min="8216" max="8216" width="2.42578125" customWidth="1"/>
    <col min="8219" max="8219" width="3" customWidth="1"/>
    <col min="8220" max="8220" width="2.28515625" customWidth="1"/>
    <col min="8221" max="8221" width="2.5703125" customWidth="1"/>
    <col min="8222" max="8222" width="1" customWidth="1"/>
    <col min="8223" max="8223" width="2.7109375" customWidth="1"/>
    <col min="8224" max="8224" width="2" customWidth="1"/>
    <col min="8225" max="8225" width="2.5703125" customWidth="1"/>
    <col min="8227" max="8234" width="2.28515625" customWidth="1"/>
    <col min="8235" max="8235" width="1.7109375" customWidth="1"/>
    <col min="8237" max="8237" width="4.28515625" customWidth="1"/>
    <col min="8238" max="8238" width="7.42578125" customWidth="1"/>
    <col min="8448" max="8448" width="2.5703125" customWidth="1"/>
    <col min="8449" max="8449" width="5.5703125" customWidth="1"/>
    <col min="8450" max="8450" width="2" customWidth="1"/>
    <col min="8451" max="8451" width="3" customWidth="1"/>
    <col min="8462" max="8462" width="3" customWidth="1"/>
    <col min="8465" max="8465" width="2.5703125" bestFit="1" customWidth="1"/>
    <col min="8467" max="8469" width="2.140625" customWidth="1"/>
    <col min="8472" max="8472" width="2.42578125" customWidth="1"/>
    <col min="8475" max="8475" width="3" customWidth="1"/>
    <col min="8476" max="8476" width="2.28515625" customWidth="1"/>
    <col min="8477" max="8477" width="2.5703125" customWidth="1"/>
    <col min="8478" max="8478" width="1" customWidth="1"/>
    <col min="8479" max="8479" width="2.7109375" customWidth="1"/>
    <col min="8480" max="8480" width="2" customWidth="1"/>
    <col min="8481" max="8481" width="2.5703125" customWidth="1"/>
    <col min="8483" max="8490" width="2.28515625" customWidth="1"/>
    <col min="8491" max="8491" width="1.7109375" customWidth="1"/>
    <col min="8493" max="8493" width="4.28515625" customWidth="1"/>
    <col min="8494" max="8494" width="7.42578125" customWidth="1"/>
    <col min="8704" max="8704" width="2.5703125" customWidth="1"/>
    <col min="8705" max="8705" width="5.5703125" customWidth="1"/>
    <col min="8706" max="8706" width="2" customWidth="1"/>
    <col min="8707" max="8707" width="3" customWidth="1"/>
    <col min="8718" max="8718" width="3" customWidth="1"/>
    <col min="8721" max="8721" width="2.5703125" bestFit="1" customWidth="1"/>
    <col min="8723" max="8725" width="2.140625" customWidth="1"/>
    <col min="8728" max="8728" width="2.42578125" customWidth="1"/>
    <col min="8731" max="8731" width="3" customWidth="1"/>
    <col min="8732" max="8732" width="2.28515625" customWidth="1"/>
    <col min="8733" max="8733" width="2.5703125" customWidth="1"/>
    <col min="8734" max="8734" width="1" customWidth="1"/>
    <col min="8735" max="8735" width="2.7109375" customWidth="1"/>
    <col min="8736" max="8736" width="2" customWidth="1"/>
    <col min="8737" max="8737" width="2.5703125" customWidth="1"/>
    <col min="8739" max="8746" width="2.28515625" customWidth="1"/>
    <col min="8747" max="8747" width="1.7109375" customWidth="1"/>
    <col min="8749" max="8749" width="4.28515625" customWidth="1"/>
    <col min="8750" max="8750" width="7.42578125" customWidth="1"/>
    <col min="8960" max="8960" width="2.5703125" customWidth="1"/>
    <col min="8961" max="8961" width="5.5703125" customWidth="1"/>
    <col min="8962" max="8962" width="2" customWidth="1"/>
    <col min="8963" max="8963" width="3" customWidth="1"/>
    <col min="8974" max="8974" width="3" customWidth="1"/>
    <col min="8977" max="8977" width="2.5703125" bestFit="1" customWidth="1"/>
    <col min="8979" max="8981" width="2.140625" customWidth="1"/>
    <col min="8984" max="8984" width="2.42578125" customWidth="1"/>
    <col min="8987" max="8987" width="3" customWidth="1"/>
    <col min="8988" max="8988" width="2.28515625" customWidth="1"/>
    <col min="8989" max="8989" width="2.5703125" customWidth="1"/>
    <col min="8990" max="8990" width="1" customWidth="1"/>
    <col min="8991" max="8991" width="2.7109375" customWidth="1"/>
    <col min="8992" max="8992" width="2" customWidth="1"/>
    <col min="8993" max="8993" width="2.5703125" customWidth="1"/>
    <col min="8995" max="9002" width="2.28515625" customWidth="1"/>
    <col min="9003" max="9003" width="1.7109375" customWidth="1"/>
    <col min="9005" max="9005" width="4.28515625" customWidth="1"/>
    <col min="9006" max="9006" width="7.42578125" customWidth="1"/>
    <col min="9216" max="9216" width="2.5703125" customWidth="1"/>
    <col min="9217" max="9217" width="5.5703125" customWidth="1"/>
    <col min="9218" max="9218" width="2" customWidth="1"/>
    <col min="9219" max="9219" width="3" customWidth="1"/>
    <col min="9230" max="9230" width="3" customWidth="1"/>
    <col min="9233" max="9233" width="2.5703125" bestFit="1" customWidth="1"/>
    <col min="9235" max="9237" width="2.140625" customWidth="1"/>
    <col min="9240" max="9240" width="2.42578125" customWidth="1"/>
    <col min="9243" max="9243" width="3" customWidth="1"/>
    <col min="9244" max="9244" width="2.28515625" customWidth="1"/>
    <col min="9245" max="9245" width="2.5703125" customWidth="1"/>
    <col min="9246" max="9246" width="1" customWidth="1"/>
    <col min="9247" max="9247" width="2.7109375" customWidth="1"/>
    <col min="9248" max="9248" width="2" customWidth="1"/>
    <col min="9249" max="9249" width="2.5703125" customWidth="1"/>
    <col min="9251" max="9258" width="2.28515625" customWidth="1"/>
    <col min="9259" max="9259" width="1.7109375" customWidth="1"/>
    <col min="9261" max="9261" width="4.28515625" customWidth="1"/>
    <col min="9262" max="9262" width="7.42578125" customWidth="1"/>
    <col min="9472" max="9472" width="2.5703125" customWidth="1"/>
    <col min="9473" max="9473" width="5.5703125" customWidth="1"/>
    <col min="9474" max="9474" width="2" customWidth="1"/>
    <col min="9475" max="9475" width="3" customWidth="1"/>
    <col min="9486" max="9486" width="3" customWidth="1"/>
    <col min="9489" max="9489" width="2.5703125" bestFit="1" customWidth="1"/>
    <col min="9491" max="9493" width="2.140625" customWidth="1"/>
    <col min="9496" max="9496" width="2.42578125" customWidth="1"/>
    <col min="9499" max="9499" width="3" customWidth="1"/>
    <col min="9500" max="9500" width="2.28515625" customWidth="1"/>
    <col min="9501" max="9501" width="2.5703125" customWidth="1"/>
    <col min="9502" max="9502" width="1" customWidth="1"/>
    <col min="9503" max="9503" width="2.7109375" customWidth="1"/>
    <col min="9504" max="9504" width="2" customWidth="1"/>
    <col min="9505" max="9505" width="2.5703125" customWidth="1"/>
    <col min="9507" max="9514" width="2.28515625" customWidth="1"/>
    <col min="9515" max="9515" width="1.7109375" customWidth="1"/>
    <col min="9517" max="9517" width="4.28515625" customWidth="1"/>
    <col min="9518" max="9518" width="7.42578125" customWidth="1"/>
    <col min="9728" max="9728" width="2.5703125" customWidth="1"/>
    <col min="9729" max="9729" width="5.5703125" customWidth="1"/>
    <col min="9730" max="9730" width="2" customWidth="1"/>
    <col min="9731" max="9731" width="3" customWidth="1"/>
    <col min="9742" max="9742" width="3" customWidth="1"/>
    <col min="9745" max="9745" width="2.5703125" bestFit="1" customWidth="1"/>
    <col min="9747" max="9749" width="2.140625" customWidth="1"/>
    <col min="9752" max="9752" width="2.42578125" customWidth="1"/>
    <col min="9755" max="9755" width="3" customWidth="1"/>
    <col min="9756" max="9756" width="2.28515625" customWidth="1"/>
    <col min="9757" max="9757" width="2.5703125" customWidth="1"/>
    <col min="9758" max="9758" width="1" customWidth="1"/>
    <col min="9759" max="9759" width="2.7109375" customWidth="1"/>
    <col min="9760" max="9760" width="2" customWidth="1"/>
    <col min="9761" max="9761" width="2.5703125" customWidth="1"/>
    <col min="9763" max="9770" width="2.28515625" customWidth="1"/>
    <col min="9771" max="9771" width="1.7109375" customWidth="1"/>
    <col min="9773" max="9773" width="4.28515625" customWidth="1"/>
    <col min="9774" max="9774" width="7.42578125" customWidth="1"/>
    <col min="9984" max="9984" width="2.5703125" customWidth="1"/>
    <col min="9985" max="9985" width="5.5703125" customWidth="1"/>
    <col min="9986" max="9986" width="2" customWidth="1"/>
    <col min="9987" max="9987" width="3" customWidth="1"/>
    <col min="9998" max="9998" width="3" customWidth="1"/>
    <col min="10001" max="10001" width="2.5703125" bestFit="1" customWidth="1"/>
    <col min="10003" max="10005" width="2.140625" customWidth="1"/>
    <col min="10008" max="10008" width="2.42578125" customWidth="1"/>
    <col min="10011" max="10011" width="3" customWidth="1"/>
    <col min="10012" max="10012" width="2.28515625" customWidth="1"/>
    <col min="10013" max="10013" width="2.5703125" customWidth="1"/>
    <col min="10014" max="10014" width="1" customWidth="1"/>
    <col min="10015" max="10015" width="2.7109375" customWidth="1"/>
    <col min="10016" max="10016" width="2" customWidth="1"/>
    <col min="10017" max="10017" width="2.5703125" customWidth="1"/>
    <col min="10019" max="10026" width="2.28515625" customWidth="1"/>
    <col min="10027" max="10027" width="1.7109375" customWidth="1"/>
    <col min="10029" max="10029" width="4.28515625" customWidth="1"/>
    <col min="10030" max="10030" width="7.42578125" customWidth="1"/>
    <col min="10240" max="10240" width="2.5703125" customWidth="1"/>
    <col min="10241" max="10241" width="5.5703125" customWidth="1"/>
    <col min="10242" max="10242" width="2" customWidth="1"/>
    <col min="10243" max="10243" width="3" customWidth="1"/>
    <col min="10254" max="10254" width="3" customWidth="1"/>
    <col min="10257" max="10257" width="2.5703125" bestFit="1" customWidth="1"/>
    <col min="10259" max="10261" width="2.140625" customWidth="1"/>
    <col min="10264" max="10264" width="2.42578125" customWidth="1"/>
    <col min="10267" max="10267" width="3" customWidth="1"/>
    <col min="10268" max="10268" width="2.28515625" customWidth="1"/>
    <col min="10269" max="10269" width="2.5703125" customWidth="1"/>
    <col min="10270" max="10270" width="1" customWidth="1"/>
    <col min="10271" max="10271" width="2.7109375" customWidth="1"/>
    <col min="10272" max="10272" width="2" customWidth="1"/>
    <col min="10273" max="10273" width="2.5703125" customWidth="1"/>
    <col min="10275" max="10282" width="2.28515625" customWidth="1"/>
    <col min="10283" max="10283" width="1.7109375" customWidth="1"/>
    <col min="10285" max="10285" width="4.28515625" customWidth="1"/>
    <col min="10286" max="10286" width="7.42578125" customWidth="1"/>
    <col min="10496" max="10496" width="2.5703125" customWidth="1"/>
    <col min="10497" max="10497" width="5.5703125" customWidth="1"/>
    <col min="10498" max="10498" width="2" customWidth="1"/>
    <col min="10499" max="10499" width="3" customWidth="1"/>
    <col min="10510" max="10510" width="3" customWidth="1"/>
    <col min="10513" max="10513" width="2.5703125" bestFit="1" customWidth="1"/>
    <col min="10515" max="10517" width="2.140625" customWidth="1"/>
    <col min="10520" max="10520" width="2.42578125" customWidth="1"/>
    <col min="10523" max="10523" width="3" customWidth="1"/>
    <col min="10524" max="10524" width="2.28515625" customWidth="1"/>
    <col min="10525" max="10525" width="2.5703125" customWidth="1"/>
    <col min="10526" max="10526" width="1" customWidth="1"/>
    <col min="10527" max="10527" width="2.7109375" customWidth="1"/>
    <col min="10528" max="10528" width="2" customWidth="1"/>
    <col min="10529" max="10529" width="2.5703125" customWidth="1"/>
    <col min="10531" max="10538" width="2.28515625" customWidth="1"/>
    <col min="10539" max="10539" width="1.7109375" customWidth="1"/>
    <col min="10541" max="10541" width="4.28515625" customWidth="1"/>
    <col min="10542" max="10542" width="7.42578125" customWidth="1"/>
    <col min="10752" max="10752" width="2.5703125" customWidth="1"/>
    <col min="10753" max="10753" width="5.5703125" customWidth="1"/>
    <col min="10754" max="10754" width="2" customWidth="1"/>
    <col min="10755" max="10755" width="3" customWidth="1"/>
    <col min="10766" max="10766" width="3" customWidth="1"/>
    <col min="10769" max="10769" width="2.5703125" bestFit="1" customWidth="1"/>
    <col min="10771" max="10773" width="2.140625" customWidth="1"/>
    <col min="10776" max="10776" width="2.42578125" customWidth="1"/>
    <col min="10779" max="10779" width="3" customWidth="1"/>
    <col min="10780" max="10780" width="2.28515625" customWidth="1"/>
    <col min="10781" max="10781" width="2.5703125" customWidth="1"/>
    <col min="10782" max="10782" width="1" customWidth="1"/>
    <col min="10783" max="10783" width="2.7109375" customWidth="1"/>
    <col min="10784" max="10784" width="2" customWidth="1"/>
    <col min="10785" max="10785" width="2.5703125" customWidth="1"/>
    <col min="10787" max="10794" width="2.28515625" customWidth="1"/>
    <col min="10795" max="10795" width="1.7109375" customWidth="1"/>
    <col min="10797" max="10797" width="4.28515625" customWidth="1"/>
    <col min="10798" max="10798" width="7.42578125" customWidth="1"/>
    <col min="11008" max="11008" width="2.5703125" customWidth="1"/>
    <col min="11009" max="11009" width="5.5703125" customWidth="1"/>
    <col min="11010" max="11010" width="2" customWidth="1"/>
    <col min="11011" max="11011" width="3" customWidth="1"/>
    <col min="11022" max="11022" width="3" customWidth="1"/>
    <col min="11025" max="11025" width="2.5703125" bestFit="1" customWidth="1"/>
    <col min="11027" max="11029" width="2.140625" customWidth="1"/>
    <col min="11032" max="11032" width="2.42578125" customWidth="1"/>
    <col min="11035" max="11035" width="3" customWidth="1"/>
    <col min="11036" max="11036" width="2.28515625" customWidth="1"/>
    <col min="11037" max="11037" width="2.5703125" customWidth="1"/>
    <col min="11038" max="11038" width="1" customWidth="1"/>
    <col min="11039" max="11039" width="2.7109375" customWidth="1"/>
    <col min="11040" max="11040" width="2" customWidth="1"/>
    <col min="11041" max="11041" width="2.5703125" customWidth="1"/>
    <col min="11043" max="11050" width="2.28515625" customWidth="1"/>
    <col min="11051" max="11051" width="1.7109375" customWidth="1"/>
    <col min="11053" max="11053" width="4.28515625" customWidth="1"/>
    <col min="11054" max="11054" width="7.42578125" customWidth="1"/>
    <col min="11264" max="11264" width="2.5703125" customWidth="1"/>
    <col min="11265" max="11265" width="5.5703125" customWidth="1"/>
    <col min="11266" max="11266" width="2" customWidth="1"/>
    <col min="11267" max="11267" width="3" customWidth="1"/>
    <col min="11278" max="11278" width="3" customWidth="1"/>
    <col min="11281" max="11281" width="2.5703125" bestFit="1" customWidth="1"/>
    <col min="11283" max="11285" width="2.140625" customWidth="1"/>
    <col min="11288" max="11288" width="2.42578125" customWidth="1"/>
    <col min="11291" max="11291" width="3" customWidth="1"/>
    <col min="11292" max="11292" width="2.28515625" customWidth="1"/>
    <col min="11293" max="11293" width="2.5703125" customWidth="1"/>
    <col min="11294" max="11294" width="1" customWidth="1"/>
    <col min="11295" max="11295" width="2.7109375" customWidth="1"/>
    <col min="11296" max="11296" width="2" customWidth="1"/>
    <col min="11297" max="11297" width="2.5703125" customWidth="1"/>
    <col min="11299" max="11306" width="2.28515625" customWidth="1"/>
    <col min="11307" max="11307" width="1.7109375" customWidth="1"/>
    <col min="11309" max="11309" width="4.28515625" customWidth="1"/>
    <col min="11310" max="11310" width="7.42578125" customWidth="1"/>
    <col min="11520" max="11520" width="2.5703125" customWidth="1"/>
    <col min="11521" max="11521" width="5.5703125" customWidth="1"/>
    <col min="11522" max="11522" width="2" customWidth="1"/>
    <col min="11523" max="11523" width="3" customWidth="1"/>
    <col min="11534" max="11534" width="3" customWidth="1"/>
    <col min="11537" max="11537" width="2.5703125" bestFit="1" customWidth="1"/>
    <col min="11539" max="11541" width="2.140625" customWidth="1"/>
    <col min="11544" max="11544" width="2.42578125" customWidth="1"/>
    <col min="11547" max="11547" width="3" customWidth="1"/>
    <col min="11548" max="11548" width="2.28515625" customWidth="1"/>
    <col min="11549" max="11549" width="2.5703125" customWidth="1"/>
    <col min="11550" max="11550" width="1" customWidth="1"/>
    <col min="11551" max="11551" width="2.7109375" customWidth="1"/>
    <col min="11552" max="11552" width="2" customWidth="1"/>
    <col min="11553" max="11553" width="2.5703125" customWidth="1"/>
    <col min="11555" max="11562" width="2.28515625" customWidth="1"/>
    <col min="11563" max="11563" width="1.7109375" customWidth="1"/>
    <col min="11565" max="11565" width="4.28515625" customWidth="1"/>
    <col min="11566" max="11566" width="7.42578125" customWidth="1"/>
    <col min="11776" max="11776" width="2.5703125" customWidth="1"/>
    <col min="11777" max="11777" width="5.5703125" customWidth="1"/>
    <col min="11778" max="11778" width="2" customWidth="1"/>
    <col min="11779" max="11779" width="3" customWidth="1"/>
    <col min="11790" max="11790" width="3" customWidth="1"/>
    <col min="11793" max="11793" width="2.5703125" bestFit="1" customWidth="1"/>
    <col min="11795" max="11797" width="2.140625" customWidth="1"/>
    <col min="11800" max="11800" width="2.42578125" customWidth="1"/>
    <col min="11803" max="11803" width="3" customWidth="1"/>
    <col min="11804" max="11804" width="2.28515625" customWidth="1"/>
    <col min="11805" max="11805" width="2.5703125" customWidth="1"/>
    <col min="11806" max="11806" width="1" customWidth="1"/>
    <col min="11807" max="11807" width="2.7109375" customWidth="1"/>
    <col min="11808" max="11808" width="2" customWidth="1"/>
    <col min="11809" max="11809" width="2.5703125" customWidth="1"/>
    <col min="11811" max="11818" width="2.28515625" customWidth="1"/>
    <col min="11819" max="11819" width="1.7109375" customWidth="1"/>
    <col min="11821" max="11821" width="4.28515625" customWidth="1"/>
    <col min="11822" max="11822" width="7.42578125" customWidth="1"/>
    <col min="12032" max="12032" width="2.5703125" customWidth="1"/>
    <col min="12033" max="12033" width="5.5703125" customWidth="1"/>
    <col min="12034" max="12034" width="2" customWidth="1"/>
    <col min="12035" max="12035" width="3" customWidth="1"/>
    <col min="12046" max="12046" width="3" customWidth="1"/>
    <col min="12049" max="12049" width="2.5703125" bestFit="1" customWidth="1"/>
    <col min="12051" max="12053" width="2.140625" customWidth="1"/>
    <col min="12056" max="12056" width="2.42578125" customWidth="1"/>
    <col min="12059" max="12059" width="3" customWidth="1"/>
    <col min="12060" max="12060" width="2.28515625" customWidth="1"/>
    <col min="12061" max="12061" width="2.5703125" customWidth="1"/>
    <col min="12062" max="12062" width="1" customWidth="1"/>
    <col min="12063" max="12063" width="2.7109375" customWidth="1"/>
    <col min="12064" max="12064" width="2" customWidth="1"/>
    <col min="12065" max="12065" width="2.5703125" customWidth="1"/>
    <col min="12067" max="12074" width="2.28515625" customWidth="1"/>
    <col min="12075" max="12075" width="1.7109375" customWidth="1"/>
    <col min="12077" max="12077" width="4.28515625" customWidth="1"/>
    <col min="12078" max="12078" width="7.42578125" customWidth="1"/>
    <col min="12288" max="12288" width="2.5703125" customWidth="1"/>
    <col min="12289" max="12289" width="5.5703125" customWidth="1"/>
    <col min="12290" max="12290" width="2" customWidth="1"/>
    <col min="12291" max="12291" width="3" customWidth="1"/>
    <col min="12302" max="12302" width="3" customWidth="1"/>
    <col min="12305" max="12305" width="2.5703125" bestFit="1" customWidth="1"/>
    <col min="12307" max="12309" width="2.140625" customWidth="1"/>
    <col min="12312" max="12312" width="2.42578125" customWidth="1"/>
    <col min="12315" max="12315" width="3" customWidth="1"/>
    <col min="12316" max="12316" width="2.28515625" customWidth="1"/>
    <col min="12317" max="12317" width="2.5703125" customWidth="1"/>
    <col min="12318" max="12318" width="1" customWidth="1"/>
    <col min="12319" max="12319" width="2.7109375" customWidth="1"/>
    <col min="12320" max="12320" width="2" customWidth="1"/>
    <col min="12321" max="12321" width="2.5703125" customWidth="1"/>
    <col min="12323" max="12330" width="2.28515625" customWidth="1"/>
    <col min="12331" max="12331" width="1.7109375" customWidth="1"/>
    <col min="12333" max="12333" width="4.28515625" customWidth="1"/>
    <col min="12334" max="12334" width="7.42578125" customWidth="1"/>
    <col min="12544" max="12544" width="2.5703125" customWidth="1"/>
    <col min="12545" max="12545" width="5.5703125" customWidth="1"/>
    <col min="12546" max="12546" width="2" customWidth="1"/>
    <col min="12547" max="12547" width="3" customWidth="1"/>
    <col min="12558" max="12558" width="3" customWidth="1"/>
    <col min="12561" max="12561" width="2.5703125" bestFit="1" customWidth="1"/>
    <col min="12563" max="12565" width="2.140625" customWidth="1"/>
    <col min="12568" max="12568" width="2.42578125" customWidth="1"/>
    <col min="12571" max="12571" width="3" customWidth="1"/>
    <col min="12572" max="12572" width="2.28515625" customWidth="1"/>
    <col min="12573" max="12573" width="2.5703125" customWidth="1"/>
    <col min="12574" max="12574" width="1" customWidth="1"/>
    <col min="12575" max="12575" width="2.7109375" customWidth="1"/>
    <col min="12576" max="12576" width="2" customWidth="1"/>
    <col min="12577" max="12577" width="2.5703125" customWidth="1"/>
    <col min="12579" max="12586" width="2.28515625" customWidth="1"/>
    <col min="12587" max="12587" width="1.7109375" customWidth="1"/>
    <col min="12589" max="12589" width="4.28515625" customWidth="1"/>
    <col min="12590" max="12590" width="7.42578125" customWidth="1"/>
    <col min="12800" max="12800" width="2.5703125" customWidth="1"/>
    <col min="12801" max="12801" width="5.5703125" customWidth="1"/>
    <col min="12802" max="12802" width="2" customWidth="1"/>
    <col min="12803" max="12803" width="3" customWidth="1"/>
    <col min="12814" max="12814" width="3" customWidth="1"/>
    <col min="12817" max="12817" width="2.5703125" bestFit="1" customWidth="1"/>
    <col min="12819" max="12821" width="2.140625" customWidth="1"/>
    <col min="12824" max="12824" width="2.42578125" customWidth="1"/>
    <col min="12827" max="12827" width="3" customWidth="1"/>
    <col min="12828" max="12828" width="2.28515625" customWidth="1"/>
    <col min="12829" max="12829" width="2.5703125" customWidth="1"/>
    <col min="12830" max="12830" width="1" customWidth="1"/>
    <col min="12831" max="12831" width="2.7109375" customWidth="1"/>
    <col min="12832" max="12832" width="2" customWidth="1"/>
    <col min="12833" max="12833" width="2.5703125" customWidth="1"/>
    <col min="12835" max="12842" width="2.28515625" customWidth="1"/>
    <col min="12843" max="12843" width="1.7109375" customWidth="1"/>
    <col min="12845" max="12845" width="4.28515625" customWidth="1"/>
    <col min="12846" max="12846" width="7.42578125" customWidth="1"/>
    <col min="13056" max="13056" width="2.5703125" customWidth="1"/>
    <col min="13057" max="13057" width="5.5703125" customWidth="1"/>
    <col min="13058" max="13058" width="2" customWidth="1"/>
    <col min="13059" max="13059" width="3" customWidth="1"/>
    <col min="13070" max="13070" width="3" customWidth="1"/>
    <col min="13073" max="13073" width="2.5703125" bestFit="1" customWidth="1"/>
    <col min="13075" max="13077" width="2.140625" customWidth="1"/>
    <col min="13080" max="13080" width="2.42578125" customWidth="1"/>
    <col min="13083" max="13083" width="3" customWidth="1"/>
    <col min="13084" max="13084" width="2.28515625" customWidth="1"/>
    <col min="13085" max="13085" width="2.5703125" customWidth="1"/>
    <col min="13086" max="13086" width="1" customWidth="1"/>
    <col min="13087" max="13087" width="2.7109375" customWidth="1"/>
    <col min="13088" max="13088" width="2" customWidth="1"/>
    <col min="13089" max="13089" width="2.5703125" customWidth="1"/>
    <col min="13091" max="13098" width="2.28515625" customWidth="1"/>
    <col min="13099" max="13099" width="1.7109375" customWidth="1"/>
    <col min="13101" max="13101" width="4.28515625" customWidth="1"/>
    <col min="13102" max="13102" width="7.42578125" customWidth="1"/>
    <col min="13312" max="13312" width="2.5703125" customWidth="1"/>
    <col min="13313" max="13313" width="5.5703125" customWidth="1"/>
    <col min="13314" max="13314" width="2" customWidth="1"/>
    <col min="13315" max="13315" width="3" customWidth="1"/>
    <col min="13326" max="13326" width="3" customWidth="1"/>
    <col min="13329" max="13329" width="2.5703125" bestFit="1" customWidth="1"/>
    <col min="13331" max="13333" width="2.140625" customWidth="1"/>
    <col min="13336" max="13336" width="2.42578125" customWidth="1"/>
    <col min="13339" max="13339" width="3" customWidth="1"/>
    <col min="13340" max="13340" width="2.28515625" customWidth="1"/>
    <col min="13341" max="13341" width="2.5703125" customWidth="1"/>
    <col min="13342" max="13342" width="1" customWidth="1"/>
    <col min="13343" max="13343" width="2.7109375" customWidth="1"/>
    <col min="13344" max="13344" width="2" customWidth="1"/>
    <col min="13345" max="13345" width="2.5703125" customWidth="1"/>
    <col min="13347" max="13354" width="2.28515625" customWidth="1"/>
    <col min="13355" max="13355" width="1.7109375" customWidth="1"/>
    <col min="13357" max="13357" width="4.28515625" customWidth="1"/>
    <col min="13358" max="13358" width="7.42578125" customWidth="1"/>
    <col min="13568" max="13568" width="2.5703125" customWidth="1"/>
    <col min="13569" max="13569" width="5.5703125" customWidth="1"/>
    <col min="13570" max="13570" width="2" customWidth="1"/>
    <col min="13571" max="13571" width="3" customWidth="1"/>
    <col min="13582" max="13582" width="3" customWidth="1"/>
    <col min="13585" max="13585" width="2.5703125" bestFit="1" customWidth="1"/>
    <col min="13587" max="13589" width="2.140625" customWidth="1"/>
    <col min="13592" max="13592" width="2.42578125" customWidth="1"/>
    <col min="13595" max="13595" width="3" customWidth="1"/>
    <col min="13596" max="13596" width="2.28515625" customWidth="1"/>
    <col min="13597" max="13597" width="2.5703125" customWidth="1"/>
    <col min="13598" max="13598" width="1" customWidth="1"/>
    <col min="13599" max="13599" width="2.7109375" customWidth="1"/>
    <col min="13600" max="13600" width="2" customWidth="1"/>
    <col min="13601" max="13601" width="2.5703125" customWidth="1"/>
    <col min="13603" max="13610" width="2.28515625" customWidth="1"/>
    <col min="13611" max="13611" width="1.7109375" customWidth="1"/>
    <col min="13613" max="13613" width="4.28515625" customWidth="1"/>
    <col min="13614" max="13614" width="7.42578125" customWidth="1"/>
    <col min="13824" max="13824" width="2.5703125" customWidth="1"/>
    <col min="13825" max="13825" width="5.5703125" customWidth="1"/>
    <col min="13826" max="13826" width="2" customWidth="1"/>
    <col min="13827" max="13827" width="3" customWidth="1"/>
    <col min="13838" max="13838" width="3" customWidth="1"/>
    <col min="13841" max="13841" width="2.5703125" bestFit="1" customWidth="1"/>
    <col min="13843" max="13845" width="2.140625" customWidth="1"/>
    <col min="13848" max="13848" width="2.42578125" customWidth="1"/>
    <col min="13851" max="13851" width="3" customWidth="1"/>
    <col min="13852" max="13852" width="2.28515625" customWidth="1"/>
    <col min="13853" max="13853" width="2.5703125" customWidth="1"/>
    <col min="13854" max="13854" width="1" customWidth="1"/>
    <col min="13855" max="13855" width="2.7109375" customWidth="1"/>
    <col min="13856" max="13856" width="2" customWidth="1"/>
    <col min="13857" max="13857" width="2.5703125" customWidth="1"/>
    <col min="13859" max="13866" width="2.28515625" customWidth="1"/>
    <col min="13867" max="13867" width="1.7109375" customWidth="1"/>
    <col min="13869" max="13869" width="4.28515625" customWidth="1"/>
    <col min="13870" max="13870" width="7.42578125" customWidth="1"/>
    <col min="14080" max="14080" width="2.5703125" customWidth="1"/>
    <col min="14081" max="14081" width="5.5703125" customWidth="1"/>
    <col min="14082" max="14082" width="2" customWidth="1"/>
    <col min="14083" max="14083" width="3" customWidth="1"/>
    <col min="14094" max="14094" width="3" customWidth="1"/>
    <col min="14097" max="14097" width="2.5703125" bestFit="1" customWidth="1"/>
    <col min="14099" max="14101" width="2.140625" customWidth="1"/>
    <col min="14104" max="14104" width="2.42578125" customWidth="1"/>
    <col min="14107" max="14107" width="3" customWidth="1"/>
    <col min="14108" max="14108" width="2.28515625" customWidth="1"/>
    <col min="14109" max="14109" width="2.5703125" customWidth="1"/>
    <col min="14110" max="14110" width="1" customWidth="1"/>
    <col min="14111" max="14111" width="2.7109375" customWidth="1"/>
    <col min="14112" max="14112" width="2" customWidth="1"/>
    <col min="14113" max="14113" width="2.5703125" customWidth="1"/>
    <col min="14115" max="14122" width="2.28515625" customWidth="1"/>
    <col min="14123" max="14123" width="1.7109375" customWidth="1"/>
    <col min="14125" max="14125" width="4.28515625" customWidth="1"/>
    <col min="14126" max="14126" width="7.42578125" customWidth="1"/>
    <col min="14336" max="14336" width="2.5703125" customWidth="1"/>
    <col min="14337" max="14337" width="5.5703125" customWidth="1"/>
    <col min="14338" max="14338" width="2" customWidth="1"/>
    <col min="14339" max="14339" width="3" customWidth="1"/>
    <col min="14350" max="14350" width="3" customWidth="1"/>
    <col min="14353" max="14353" width="2.5703125" bestFit="1" customWidth="1"/>
    <col min="14355" max="14357" width="2.140625" customWidth="1"/>
    <col min="14360" max="14360" width="2.42578125" customWidth="1"/>
    <col min="14363" max="14363" width="3" customWidth="1"/>
    <col min="14364" max="14364" width="2.28515625" customWidth="1"/>
    <col min="14365" max="14365" width="2.5703125" customWidth="1"/>
    <col min="14366" max="14366" width="1" customWidth="1"/>
    <col min="14367" max="14367" width="2.7109375" customWidth="1"/>
    <col min="14368" max="14368" width="2" customWidth="1"/>
    <col min="14369" max="14369" width="2.5703125" customWidth="1"/>
    <col min="14371" max="14378" width="2.28515625" customWidth="1"/>
    <col min="14379" max="14379" width="1.7109375" customWidth="1"/>
    <col min="14381" max="14381" width="4.28515625" customWidth="1"/>
    <col min="14382" max="14382" width="7.42578125" customWidth="1"/>
    <col min="14592" max="14592" width="2.5703125" customWidth="1"/>
    <col min="14593" max="14593" width="5.5703125" customWidth="1"/>
    <col min="14594" max="14594" width="2" customWidth="1"/>
    <col min="14595" max="14595" width="3" customWidth="1"/>
    <col min="14606" max="14606" width="3" customWidth="1"/>
    <col min="14609" max="14609" width="2.5703125" bestFit="1" customWidth="1"/>
    <col min="14611" max="14613" width="2.140625" customWidth="1"/>
    <col min="14616" max="14616" width="2.42578125" customWidth="1"/>
    <col min="14619" max="14619" width="3" customWidth="1"/>
    <col min="14620" max="14620" width="2.28515625" customWidth="1"/>
    <col min="14621" max="14621" width="2.5703125" customWidth="1"/>
    <col min="14622" max="14622" width="1" customWidth="1"/>
    <col min="14623" max="14623" width="2.7109375" customWidth="1"/>
    <col min="14624" max="14624" width="2" customWidth="1"/>
    <col min="14625" max="14625" width="2.5703125" customWidth="1"/>
    <col min="14627" max="14634" width="2.28515625" customWidth="1"/>
    <col min="14635" max="14635" width="1.7109375" customWidth="1"/>
    <col min="14637" max="14637" width="4.28515625" customWidth="1"/>
    <col min="14638" max="14638" width="7.42578125" customWidth="1"/>
    <col min="14848" max="14848" width="2.5703125" customWidth="1"/>
    <col min="14849" max="14849" width="5.5703125" customWidth="1"/>
    <col min="14850" max="14850" width="2" customWidth="1"/>
    <col min="14851" max="14851" width="3" customWidth="1"/>
    <col min="14862" max="14862" width="3" customWidth="1"/>
    <col min="14865" max="14865" width="2.5703125" bestFit="1" customWidth="1"/>
    <col min="14867" max="14869" width="2.140625" customWidth="1"/>
    <col min="14872" max="14872" width="2.42578125" customWidth="1"/>
    <col min="14875" max="14875" width="3" customWidth="1"/>
    <col min="14876" max="14876" width="2.28515625" customWidth="1"/>
    <col min="14877" max="14877" width="2.5703125" customWidth="1"/>
    <col min="14878" max="14878" width="1" customWidth="1"/>
    <col min="14879" max="14879" width="2.7109375" customWidth="1"/>
    <col min="14880" max="14880" width="2" customWidth="1"/>
    <col min="14881" max="14881" width="2.5703125" customWidth="1"/>
    <col min="14883" max="14890" width="2.28515625" customWidth="1"/>
    <col min="14891" max="14891" width="1.7109375" customWidth="1"/>
    <col min="14893" max="14893" width="4.28515625" customWidth="1"/>
    <col min="14894" max="14894" width="7.42578125" customWidth="1"/>
    <col min="15104" max="15104" width="2.5703125" customWidth="1"/>
    <col min="15105" max="15105" width="5.5703125" customWidth="1"/>
    <col min="15106" max="15106" width="2" customWidth="1"/>
    <col min="15107" max="15107" width="3" customWidth="1"/>
    <col min="15118" max="15118" width="3" customWidth="1"/>
    <col min="15121" max="15121" width="2.5703125" bestFit="1" customWidth="1"/>
    <col min="15123" max="15125" width="2.140625" customWidth="1"/>
    <col min="15128" max="15128" width="2.42578125" customWidth="1"/>
    <col min="15131" max="15131" width="3" customWidth="1"/>
    <col min="15132" max="15132" width="2.28515625" customWidth="1"/>
    <col min="15133" max="15133" width="2.5703125" customWidth="1"/>
    <col min="15134" max="15134" width="1" customWidth="1"/>
    <col min="15135" max="15135" width="2.7109375" customWidth="1"/>
    <col min="15136" max="15136" width="2" customWidth="1"/>
    <col min="15137" max="15137" width="2.5703125" customWidth="1"/>
    <col min="15139" max="15146" width="2.28515625" customWidth="1"/>
    <col min="15147" max="15147" width="1.7109375" customWidth="1"/>
    <col min="15149" max="15149" width="4.28515625" customWidth="1"/>
    <col min="15150" max="15150" width="7.42578125" customWidth="1"/>
    <col min="15360" max="15360" width="2.5703125" customWidth="1"/>
    <col min="15361" max="15361" width="5.5703125" customWidth="1"/>
    <col min="15362" max="15362" width="2" customWidth="1"/>
    <col min="15363" max="15363" width="3" customWidth="1"/>
    <col min="15374" max="15374" width="3" customWidth="1"/>
    <col min="15377" max="15377" width="2.5703125" bestFit="1" customWidth="1"/>
    <col min="15379" max="15381" width="2.140625" customWidth="1"/>
    <col min="15384" max="15384" width="2.42578125" customWidth="1"/>
    <col min="15387" max="15387" width="3" customWidth="1"/>
    <col min="15388" max="15388" width="2.28515625" customWidth="1"/>
    <col min="15389" max="15389" width="2.5703125" customWidth="1"/>
    <col min="15390" max="15390" width="1" customWidth="1"/>
    <col min="15391" max="15391" width="2.7109375" customWidth="1"/>
    <col min="15392" max="15392" width="2" customWidth="1"/>
    <col min="15393" max="15393" width="2.5703125" customWidth="1"/>
    <col min="15395" max="15402" width="2.28515625" customWidth="1"/>
    <col min="15403" max="15403" width="1.7109375" customWidth="1"/>
    <col min="15405" max="15405" width="4.28515625" customWidth="1"/>
    <col min="15406" max="15406" width="7.42578125" customWidth="1"/>
    <col min="15616" max="15616" width="2.5703125" customWidth="1"/>
    <col min="15617" max="15617" width="5.5703125" customWidth="1"/>
    <col min="15618" max="15618" width="2" customWidth="1"/>
    <col min="15619" max="15619" width="3" customWidth="1"/>
    <col min="15630" max="15630" width="3" customWidth="1"/>
    <col min="15633" max="15633" width="2.5703125" bestFit="1" customWidth="1"/>
    <col min="15635" max="15637" width="2.140625" customWidth="1"/>
    <col min="15640" max="15640" width="2.42578125" customWidth="1"/>
    <col min="15643" max="15643" width="3" customWidth="1"/>
    <col min="15644" max="15644" width="2.28515625" customWidth="1"/>
    <col min="15645" max="15645" width="2.5703125" customWidth="1"/>
    <col min="15646" max="15646" width="1" customWidth="1"/>
    <col min="15647" max="15647" width="2.7109375" customWidth="1"/>
    <col min="15648" max="15648" width="2" customWidth="1"/>
    <col min="15649" max="15649" width="2.5703125" customWidth="1"/>
    <col min="15651" max="15658" width="2.28515625" customWidth="1"/>
    <col min="15659" max="15659" width="1.7109375" customWidth="1"/>
    <col min="15661" max="15661" width="4.28515625" customWidth="1"/>
    <col min="15662" max="15662" width="7.42578125" customWidth="1"/>
    <col min="15872" max="15872" width="2.5703125" customWidth="1"/>
    <col min="15873" max="15873" width="5.5703125" customWidth="1"/>
    <col min="15874" max="15874" width="2" customWidth="1"/>
    <col min="15875" max="15875" width="3" customWidth="1"/>
    <col min="15886" max="15886" width="3" customWidth="1"/>
    <col min="15889" max="15889" width="2.5703125" bestFit="1" customWidth="1"/>
    <col min="15891" max="15893" width="2.140625" customWidth="1"/>
    <col min="15896" max="15896" width="2.42578125" customWidth="1"/>
    <col min="15899" max="15899" width="3" customWidth="1"/>
    <col min="15900" max="15900" width="2.28515625" customWidth="1"/>
    <col min="15901" max="15901" width="2.5703125" customWidth="1"/>
    <col min="15902" max="15902" width="1" customWidth="1"/>
    <col min="15903" max="15903" width="2.7109375" customWidth="1"/>
    <col min="15904" max="15904" width="2" customWidth="1"/>
    <col min="15905" max="15905" width="2.5703125" customWidth="1"/>
    <col min="15907" max="15914" width="2.28515625" customWidth="1"/>
    <col min="15915" max="15915" width="1.7109375" customWidth="1"/>
    <col min="15917" max="15917" width="4.28515625" customWidth="1"/>
    <col min="15918" max="15918" width="7.42578125" customWidth="1"/>
    <col min="16128" max="16128" width="2.5703125" customWidth="1"/>
    <col min="16129" max="16129" width="5.5703125" customWidth="1"/>
    <col min="16130" max="16130" width="2" customWidth="1"/>
    <col min="16131" max="16131" width="3" customWidth="1"/>
    <col min="16142" max="16142" width="3" customWidth="1"/>
    <col min="16145" max="16145" width="2.5703125" bestFit="1" customWidth="1"/>
    <col min="16147" max="16149" width="2.140625" customWidth="1"/>
    <col min="16152" max="16152" width="2.42578125" customWidth="1"/>
    <col min="16155" max="16155" width="3" customWidth="1"/>
    <col min="16156" max="16156" width="2.28515625" customWidth="1"/>
    <col min="16157" max="16157" width="2.5703125" customWidth="1"/>
    <col min="16158" max="16158" width="1" customWidth="1"/>
    <col min="16159" max="16159" width="2.7109375" customWidth="1"/>
    <col min="16160" max="16160" width="2" customWidth="1"/>
    <col min="16161" max="16161" width="2.5703125" customWidth="1"/>
    <col min="16163" max="16170" width="2.28515625" customWidth="1"/>
    <col min="16171" max="16171" width="1.7109375" customWidth="1"/>
    <col min="16173" max="16173" width="4.28515625" customWidth="1"/>
    <col min="16174" max="16174" width="7.42578125" customWidth="1"/>
  </cols>
  <sheetData>
    <row r="1" spans="1:99" ht="35.25" customHeight="1" x14ac:dyDescent="0.35">
      <c r="AE1" s="61"/>
      <c r="AF1" s="159" t="s">
        <v>23</v>
      </c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61"/>
      <c r="AV1" s="61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0"/>
      <c r="CJ1" s="160"/>
      <c r="CK1" s="160"/>
      <c r="CL1" s="160"/>
      <c r="CM1" s="160"/>
      <c r="CN1" s="160"/>
      <c r="CO1" s="160"/>
      <c r="CP1" s="160"/>
      <c r="CQ1" s="160"/>
      <c r="CR1" s="160"/>
      <c r="CS1" s="160"/>
      <c r="CT1" s="160"/>
      <c r="CU1" s="160"/>
    </row>
    <row r="2" spans="1:99" ht="33.75" customHeight="1" x14ac:dyDescent="0.6">
      <c r="A2" s="62" t="s">
        <v>62</v>
      </c>
      <c r="B2" s="63"/>
      <c r="C2" s="63"/>
      <c r="E2" s="64" t="s">
        <v>24</v>
      </c>
      <c r="F2" s="65" t="s">
        <v>52</v>
      </c>
      <c r="G2" s="66"/>
      <c r="AF2" s="159" t="s">
        <v>25</v>
      </c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61"/>
      <c r="AV2" s="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</row>
    <row r="3" spans="1:99" ht="24.75" customHeight="1" x14ac:dyDescent="0.6">
      <c r="A3" s="62" t="s">
        <v>26</v>
      </c>
      <c r="B3" s="63"/>
      <c r="C3" s="63"/>
      <c r="E3" t="s">
        <v>24</v>
      </c>
      <c r="F3" s="67" t="s">
        <v>60</v>
      </c>
      <c r="G3" s="66"/>
      <c r="AF3" s="162" t="s">
        <v>27</v>
      </c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68"/>
      <c r="AV3" s="68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  <c r="BR3" s="163"/>
      <c r="BS3" s="163"/>
      <c r="BT3" s="163"/>
      <c r="BU3" s="163"/>
      <c r="BV3" s="163"/>
      <c r="BW3" s="163"/>
      <c r="BX3" s="163"/>
      <c r="BY3" s="163"/>
      <c r="BZ3" s="163"/>
      <c r="CA3" s="163"/>
      <c r="CB3" s="163"/>
      <c r="CC3" s="163"/>
      <c r="CD3" s="163"/>
      <c r="CE3" s="163"/>
      <c r="CF3" s="163"/>
      <c r="CG3" s="163"/>
      <c r="CH3" s="163"/>
      <c r="CI3" s="163"/>
      <c r="CJ3" s="163"/>
      <c r="CK3" s="163"/>
      <c r="CL3" s="163"/>
      <c r="CM3" s="163"/>
      <c r="CN3" s="163"/>
      <c r="CO3" s="163"/>
      <c r="CP3" s="163"/>
      <c r="CQ3" s="163"/>
      <c r="CR3" s="163"/>
      <c r="CS3" s="163"/>
      <c r="CT3" s="163"/>
      <c r="CU3" s="163"/>
    </row>
    <row r="4" spans="1:99" ht="16.5" customHeight="1" x14ac:dyDescent="0.25">
      <c r="F4" s="67" t="s">
        <v>59</v>
      </c>
      <c r="G4" s="66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</row>
    <row r="5" spans="1:99" ht="28.5" customHeight="1" x14ac:dyDescent="0.9">
      <c r="F5" s="70" t="s">
        <v>54</v>
      </c>
      <c r="G5" s="66"/>
      <c r="AB5" s="135" t="str">
        <f>INVOICE!B41</f>
        <v>ថ្ងៃអង្គារ ៤កើត ខែភទ្របទ ឆ្នាំមមី អដ្ឋស័ក ពុទ្ធសករាជ ២៥៧០</v>
      </c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36"/>
      <c r="AV5" s="136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4"/>
      <c r="BL5" s="164"/>
      <c r="BM5" s="164"/>
      <c r="BN5" s="164"/>
      <c r="BO5" s="164"/>
      <c r="BP5" s="164"/>
      <c r="BQ5" s="164"/>
      <c r="BR5" s="164"/>
      <c r="BS5" s="164"/>
      <c r="BT5" s="164"/>
      <c r="BU5" s="164"/>
      <c r="BV5" s="164"/>
      <c r="BW5" s="164"/>
      <c r="BX5" s="164"/>
      <c r="BY5" s="164"/>
      <c r="BZ5" s="164"/>
      <c r="CA5" s="164"/>
      <c r="CB5" s="164"/>
      <c r="CC5" s="164"/>
      <c r="CD5" s="164"/>
      <c r="CE5" s="164"/>
      <c r="CF5" s="164"/>
      <c r="CG5" s="164"/>
      <c r="CH5" s="164"/>
      <c r="CI5" s="164"/>
      <c r="CJ5" s="164"/>
      <c r="CK5" s="164"/>
      <c r="CL5" s="164"/>
      <c r="CM5" s="164"/>
      <c r="CN5" s="164"/>
      <c r="CO5" s="164"/>
      <c r="CP5" s="164"/>
      <c r="CQ5" s="164"/>
      <c r="CR5" s="164"/>
      <c r="CS5" s="164"/>
      <c r="CT5" s="164"/>
      <c r="CU5" s="164"/>
    </row>
    <row r="6" spans="1:99" ht="28.5" customHeight="1" x14ac:dyDescent="0.9">
      <c r="F6" s="70"/>
      <c r="G6" s="66"/>
      <c r="AB6" s="136"/>
      <c r="AC6" s="136"/>
      <c r="AD6" s="145" t="str">
        <f>INVOICE!B42</f>
        <v>រាជធានីភ្នំពេញ ថ្ងៃទី១៥ ខែកញ្ញា ឆ្នាំ២០២៦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36"/>
      <c r="AV6" s="136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5"/>
      <c r="BU6" s="165"/>
      <c r="BV6" s="165"/>
      <c r="BW6" s="165"/>
      <c r="BX6" s="165"/>
      <c r="BY6" s="165"/>
      <c r="BZ6" s="165"/>
      <c r="CA6" s="165"/>
      <c r="CB6" s="165"/>
      <c r="CC6" s="165"/>
      <c r="CD6" s="165"/>
      <c r="CE6" s="165"/>
      <c r="CF6" s="165"/>
      <c r="CG6" s="165"/>
      <c r="CH6" s="165"/>
      <c r="CI6" s="165"/>
      <c r="CJ6" s="165"/>
      <c r="CK6" s="165"/>
      <c r="CL6" s="165"/>
      <c r="CM6" s="165"/>
      <c r="CN6" s="165"/>
      <c r="CO6" s="165"/>
      <c r="CP6" s="165"/>
      <c r="CQ6" s="165"/>
      <c r="CR6" s="165"/>
      <c r="CS6" s="165"/>
      <c r="CT6" s="165"/>
      <c r="CU6" s="165"/>
    </row>
    <row r="7" spans="1:99" ht="28.5" customHeight="1" x14ac:dyDescent="0.65">
      <c r="F7" s="71"/>
      <c r="G7" s="66"/>
      <c r="AG7" s="72"/>
      <c r="AH7" s="72"/>
      <c r="AI7" s="72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</row>
    <row r="8" spans="1:99" ht="20.25" customHeight="1" x14ac:dyDescent="0.65">
      <c r="A8" s="73"/>
      <c r="D8" s="74"/>
      <c r="F8" s="71"/>
      <c r="G8" s="66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</row>
    <row r="9" spans="1:99" ht="28.5" customHeight="1" x14ac:dyDescent="0.65">
      <c r="A9" s="159" t="s">
        <v>28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61"/>
      <c r="AV9" s="61"/>
      <c r="AW9" s="75"/>
      <c r="AZ9" s="76"/>
    </row>
    <row r="10" spans="1:99" ht="28.5" customHeight="1" x14ac:dyDescent="0.7">
      <c r="A10" s="169" t="s">
        <v>29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77"/>
      <c r="AV10" s="77"/>
      <c r="AY10" s="75"/>
      <c r="AZ10" s="73"/>
    </row>
    <row r="11" spans="1:99" ht="28.5" customHeight="1" x14ac:dyDescent="0.7">
      <c r="A11" s="169" t="s">
        <v>30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77"/>
      <c r="AV11" s="77"/>
      <c r="AY11" s="76"/>
      <c r="AZ11" s="78"/>
    </row>
    <row r="12" spans="1:99" ht="28.5" customHeight="1" x14ac:dyDescent="0.9">
      <c r="A12" s="77" t="s">
        <v>31</v>
      </c>
      <c r="B12" s="79"/>
      <c r="C12" s="80" t="s">
        <v>24</v>
      </c>
      <c r="D12" s="135" t="s">
        <v>32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70">
        <f>INVOICE!A41</f>
        <v>2</v>
      </c>
      <c r="T12" s="170"/>
      <c r="U12" s="170"/>
      <c r="V12" s="135" t="s">
        <v>33</v>
      </c>
      <c r="W12" s="136"/>
      <c r="X12" s="137"/>
      <c r="Y12" s="135" t="str">
        <f>INVOICE!E44</f>
        <v>635Rolls</v>
      </c>
      <c r="Z12" s="137"/>
      <c r="AA12" s="136"/>
      <c r="AB12" s="138"/>
      <c r="AC12" s="139" t="s">
        <v>34</v>
      </c>
      <c r="AD12" s="171">
        <f>INVOICE!L25</f>
        <v>18809.5</v>
      </c>
      <c r="AE12" s="171"/>
      <c r="AF12" s="171"/>
      <c r="AG12" s="171"/>
      <c r="AH12" s="171"/>
      <c r="AI12" s="171"/>
      <c r="AJ12" s="171"/>
      <c r="AK12" s="135" t="s">
        <v>35</v>
      </c>
      <c r="AL12" s="136"/>
      <c r="AM12" s="136"/>
      <c r="AN12" s="136"/>
      <c r="AO12" s="172">
        <f>INVOICE!G25</f>
        <v>33630.46</v>
      </c>
      <c r="AP12" s="172"/>
      <c r="AQ12" s="172"/>
      <c r="AR12" s="172"/>
      <c r="AS12" s="172"/>
      <c r="AT12" s="172"/>
      <c r="AU12" s="136"/>
      <c r="AV12" s="136"/>
      <c r="AW12" s="136"/>
      <c r="AX12" s="136"/>
      <c r="AY12" s="132"/>
      <c r="AZ12" s="133"/>
      <c r="BA12" s="133"/>
      <c r="BB12" s="133"/>
    </row>
    <row r="13" spans="1:99" ht="28.5" customHeight="1" x14ac:dyDescent="0.9">
      <c r="A13" s="77"/>
      <c r="C13" s="82"/>
      <c r="D13" s="135" t="s">
        <v>43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 t="str">
        <f>[2]INVOICE!B45</f>
        <v>កំពង់ផែក្រុងព្រះសីហនុ (បញ្ចេញទំនិញនៅមាត់ច្រក​ កំពង់ផែក្រុងព្រះសីហនុ)</v>
      </c>
      <c r="U13" s="135"/>
      <c r="V13" s="135"/>
      <c r="W13" s="135"/>
      <c r="X13" s="135"/>
      <c r="Y13" s="135"/>
      <c r="Z13" s="136"/>
      <c r="AA13" s="140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4"/>
      <c r="AZ13" s="133"/>
      <c r="BA13" s="133"/>
      <c r="BB13" s="133"/>
      <c r="BL13" s="67"/>
      <c r="BZ13" s="78"/>
    </row>
    <row r="14" spans="1:99" ht="28.5" customHeight="1" x14ac:dyDescent="0.9">
      <c r="A14" s="77" t="s">
        <v>36</v>
      </c>
      <c r="B14" s="79"/>
      <c r="C14" s="80" t="s">
        <v>24</v>
      </c>
      <c r="D14" s="141" t="s">
        <v>87</v>
      </c>
      <c r="E14" s="142"/>
      <c r="F14" s="142"/>
      <c r="G14" s="142"/>
      <c r="H14" s="143"/>
      <c r="I14" s="142"/>
      <c r="J14" s="142"/>
      <c r="K14" s="142"/>
      <c r="L14" s="142"/>
      <c r="M14" s="141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4"/>
      <c r="AZ14" s="133"/>
      <c r="BA14" s="133"/>
      <c r="BB14" s="133"/>
      <c r="BL14" s="67"/>
      <c r="BZ14" s="78"/>
    </row>
    <row r="15" spans="1:99" ht="28.5" customHeight="1" x14ac:dyDescent="0.9">
      <c r="A15" s="77"/>
      <c r="B15" s="79"/>
      <c r="C15" s="80"/>
      <c r="D15" s="141" t="s">
        <v>88</v>
      </c>
      <c r="E15" s="142"/>
      <c r="F15" s="142"/>
      <c r="G15" s="142"/>
      <c r="H15" s="143"/>
      <c r="I15" s="142"/>
      <c r="J15" s="142"/>
      <c r="K15" s="142"/>
      <c r="L15" s="142"/>
      <c r="M15" s="141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4"/>
      <c r="AZ15" s="133"/>
      <c r="BA15" s="133"/>
      <c r="BB15" s="133"/>
      <c r="BL15" s="67"/>
      <c r="BZ15" s="78"/>
    </row>
    <row r="16" spans="1:99" ht="28.5" customHeight="1" x14ac:dyDescent="0.9">
      <c r="D16" s="144" t="s">
        <v>37</v>
      </c>
      <c r="E16" s="136"/>
      <c r="F16" s="136"/>
      <c r="G16" s="136"/>
      <c r="H16" s="136"/>
      <c r="I16" s="136"/>
      <c r="J16" s="136"/>
      <c r="K16" s="136"/>
      <c r="L16" s="136"/>
      <c r="M16" s="144" t="s">
        <v>38</v>
      </c>
      <c r="N16" s="136"/>
      <c r="O16" s="165" t="str">
        <f>INVOICE!B7</f>
        <v>CNQ26044</v>
      </c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35" t="s">
        <v>39</v>
      </c>
      <c r="AC16" s="136"/>
      <c r="AD16" s="136"/>
      <c r="AE16" s="173">
        <f>INVOICE!G7</f>
        <v>46265</v>
      </c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36"/>
      <c r="AS16" s="136"/>
      <c r="AT16" s="136"/>
      <c r="AU16" s="136"/>
      <c r="AV16" s="136"/>
      <c r="AW16" s="136"/>
      <c r="AX16" s="136"/>
      <c r="AY16" s="132"/>
      <c r="AZ16" s="133"/>
      <c r="BA16" s="133"/>
      <c r="BB16" s="133"/>
    </row>
    <row r="17" spans="4:87" ht="28.5" customHeight="1" x14ac:dyDescent="0.9">
      <c r="D17" s="144" t="s">
        <v>51</v>
      </c>
      <c r="E17" s="136"/>
      <c r="F17" s="136"/>
      <c r="G17" s="136"/>
      <c r="H17" s="136"/>
      <c r="I17" s="136"/>
      <c r="J17" s="136"/>
      <c r="K17" s="136"/>
      <c r="L17" s="136"/>
      <c r="M17" s="144" t="s">
        <v>38</v>
      </c>
      <c r="N17" s="136"/>
      <c r="O17" s="165" t="str">
        <f>INVOICE!B43</f>
        <v>SHSIN6090031</v>
      </c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35" t="s">
        <v>39</v>
      </c>
      <c r="AC17" s="136"/>
      <c r="AD17" s="136"/>
      <c r="AE17" s="173">
        <f>INVOICE!B44</f>
        <v>46278</v>
      </c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36"/>
      <c r="AS17" s="136"/>
      <c r="AT17" s="136"/>
      <c r="AU17" s="136"/>
      <c r="AV17" s="136"/>
      <c r="AW17" s="136"/>
      <c r="AX17" s="136"/>
      <c r="AY17" s="133"/>
      <c r="AZ17" s="133"/>
      <c r="BA17" s="132"/>
      <c r="BB17" s="133"/>
    </row>
    <row r="18" spans="4:87" ht="29.25" x14ac:dyDescent="0.9">
      <c r="D18" s="136" t="s">
        <v>40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3"/>
      <c r="AZ18" s="133"/>
      <c r="BA18" s="132"/>
      <c r="BB18" s="132"/>
    </row>
    <row r="19" spans="4:87" ht="23.25" x14ac:dyDescent="0.65">
      <c r="D19" s="81"/>
      <c r="E19" s="81"/>
      <c r="F19" s="76"/>
      <c r="G19" s="81"/>
      <c r="H19" s="81"/>
      <c r="BA19" s="78"/>
      <c r="BB19" s="78"/>
    </row>
    <row r="20" spans="4:87" ht="17.25" customHeight="1" x14ac:dyDescent="0.6">
      <c r="F20" s="78"/>
    </row>
    <row r="21" spans="4:87" ht="15.75" customHeight="1" x14ac:dyDescent="0.6">
      <c r="F21" s="78"/>
      <c r="CC21" s="78"/>
    </row>
    <row r="22" spans="4:87" ht="28.5" customHeight="1" x14ac:dyDescent="0.7">
      <c r="AD22" s="73"/>
      <c r="AF22" s="174" t="s">
        <v>55</v>
      </c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84"/>
      <c r="AX22" s="175"/>
      <c r="AY22" s="175"/>
      <c r="AZ22" s="175"/>
      <c r="BA22" s="175"/>
      <c r="BB22" s="175"/>
      <c r="BC22" s="175"/>
      <c r="BD22" s="175"/>
      <c r="BE22" s="175"/>
      <c r="CE22" s="175"/>
      <c r="CF22" s="175"/>
      <c r="CG22" s="175"/>
      <c r="CH22" s="175"/>
      <c r="CI22" s="175"/>
    </row>
    <row r="23" spans="4:87" ht="28.5" customHeight="1" x14ac:dyDescent="0.75">
      <c r="AD23" s="78"/>
      <c r="AF23" s="167" t="s">
        <v>41</v>
      </c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84"/>
      <c r="AX23" s="78"/>
      <c r="AY23" s="78"/>
      <c r="AZ23" s="78"/>
      <c r="BA23" s="78"/>
      <c r="BB23" s="78"/>
      <c r="CE23" s="168"/>
      <c r="CF23" s="168"/>
      <c r="CG23" s="168"/>
      <c r="CH23" s="168"/>
      <c r="CI23" s="168"/>
    </row>
    <row r="24" spans="4:87" ht="28.5" customHeight="1" x14ac:dyDescent="0.25">
      <c r="AF24" s="176" t="s">
        <v>42</v>
      </c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84"/>
    </row>
    <row r="25" spans="4:87" ht="28.5" customHeight="1" x14ac:dyDescent="0.25">
      <c r="AJ25" s="85"/>
      <c r="AK25" s="85"/>
      <c r="AL25" s="85"/>
      <c r="AM25" s="85"/>
      <c r="AN25" s="85"/>
      <c r="AO25" s="85"/>
      <c r="AP25" s="85"/>
      <c r="AQ25" s="84"/>
      <c r="AR25" s="84"/>
      <c r="AS25" s="84"/>
      <c r="AT25" s="84"/>
      <c r="AU25" s="84"/>
    </row>
    <row r="26" spans="4:87" ht="28.5" customHeight="1" x14ac:dyDescent="0.25">
      <c r="AJ26" s="85"/>
      <c r="AK26" s="85"/>
      <c r="AL26" s="85"/>
      <c r="AM26" s="85"/>
      <c r="AN26" s="85"/>
      <c r="AO26" s="85"/>
      <c r="AP26" s="85"/>
      <c r="AQ26" s="84"/>
      <c r="AR26" s="84"/>
      <c r="AS26" s="84"/>
      <c r="AT26" s="84"/>
      <c r="AU26" s="84"/>
    </row>
    <row r="27" spans="4:87" ht="28.5" customHeight="1" x14ac:dyDescent="0.25">
      <c r="AJ27" s="85"/>
      <c r="AK27" s="85"/>
      <c r="AL27" s="85"/>
      <c r="AM27" s="85"/>
      <c r="AN27" s="85"/>
      <c r="AO27" s="85"/>
      <c r="AP27" s="85"/>
      <c r="AQ27" s="84"/>
      <c r="AR27" s="84"/>
      <c r="AS27" s="84"/>
      <c r="AT27" s="84"/>
      <c r="AU27" s="84"/>
    </row>
    <row r="29" spans="4:87" ht="28.5" customHeight="1" x14ac:dyDescent="0.25">
      <c r="AF29" s="177" t="s">
        <v>61</v>
      </c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</row>
    <row r="35" spans="1:46" ht="28.5" customHeight="1" x14ac:dyDescent="0.2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</row>
    <row r="36" spans="1:46" ht="28.5" customHeight="1" x14ac:dyDescent="0.65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</row>
    <row r="37" spans="1:46" ht="28.5" customHeight="1" x14ac:dyDescent="0.65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</row>
    <row r="38" spans="1:46" ht="28.5" customHeight="1" x14ac:dyDescent="0.6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</row>
    <row r="39" spans="1:46" ht="28.5" customHeight="1" x14ac:dyDescent="0.65">
      <c r="A39" s="73"/>
      <c r="D39" s="75"/>
    </row>
    <row r="40" spans="1:46" ht="28.5" customHeight="1" x14ac:dyDescent="0.65">
      <c r="C40" s="75"/>
      <c r="D40" s="73"/>
    </row>
    <row r="41" spans="1:46" ht="28.5" customHeight="1" x14ac:dyDescent="0.6">
      <c r="C41" s="78"/>
      <c r="D41" s="78"/>
    </row>
    <row r="42" spans="1:46" ht="28.5" customHeight="1" x14ac:dyDescent="0.6">
      <c r="C42" s="78"/>
    </row>
    <row r="43" spans="1:46" ht="28.5" customHeight="1" x14ac:dyDescent="0.6">
      <c r="C43" s="78"/>
    </row>
    <row r="44" spans="1:46" ht="28.5" customHeight="1" x14ac:dyDescent="0.6">
      <c r="C44" s="78"/>
    </row>
    <row r="45" spans="1:46" ht="28.5" customHeight="1" x14ac:dyDescent="0.6">
      <c r="C45" s="78"/>
    </row>
    <row r="46" spans="1:46" ht="28.5" customHeight="1" x14ac:dyDescent="0.6">
      <c r="C46" s="83"/>
      <c r="P46" s="67"/>
      <c r="AD46" s="78"/>
    </row>
    <row r="47" spans="1:46" ht="28.5" customHeight="1" x14ac:dyDescent="0.6">
      <c r="B47" t="s">
        <v>47</v>
      </c>
      <c r="C47" s="83"/>
      <c r="P47" s="67"/>
      <c r="AD47" s="78"/>
    </row>
    <row r="48" spans="1:46" ht="28.5" customHeight="1" x14ac:dyDescent="0.6">
      <c r="C48" s="83"/>
      <c r="P48" s="67"/>
      <c r="AD48" s="78"/>
    </row>
    <row r="49" spans="2:45" ht="28.5" customHeight="1" x14ac:dyDescent="0.6">
      <c r="C49" s="78"/>
    </row>
    <row r="50" spans="2:45" ht="28.5" customHeight="1" x14ac:dyDescent="0.6">
      <c r="E50" s="78"/>
    </row>
    <row r="51" spans="2:45" ht="28.5" customHeight="1" x14ac:dyDescent="0.6">
      <c r="E51" s="78"/>
      <c r="F51" s="78"/>
    </row>
    <row r="52" spans="2:45" ht="28.5" customHeight="1" x14ac:dyDescent="0.6">
      <c r="E52" s="78"/>
      <c r="F52" s="78"/>
    </row>
    <row r="54" spans="2:45" ht="28.5" customHeight="1" x14ac:dyDescent="0.6">
      <c r="AI54" s="78"/>
    </row>
    <row r="55" spans="2:45" ht="28.5" customHeight="1" x14ac:dyDescent="0.25">
      <c r="B55" s="86"/>
      <c r="C55" s="86"/>
      <c r="D55" s="86"/>
      <c r="E55" s="86"/>
      <c r="F55" s="86"/>
      <c r="AQ55" s="175"/>
      <c r="AR55" s="175"/>
      <c r="AS55" s="175"/>
    </row>
    <row r="56" spans="2:45" ht="28.5" customHeight="1" x14ac:dyDescent="0.25">
      <c r="B56" s="175"/>
      <c r="C56" s="175"/>
      <c r="D56" s="175"/>
      <c r="E56" s="175"/>
      <c r="F56" s="175"/>
      <c r="G56" s="175"/>
      <c r="H56" s="175"/>
      <c r="I56" s="175"/>
      <c r="AQ56" s="175"/>
      <c r="AR56" s="175"/>
      <c r="AS56" s="175"/>
    </row>
    <row r="57" spans="2:45" ht="28.5" customHeight="1" x14ac:dyDescent="0.6">
      <c r="B57" s="78"/>
      <c r="C57" s="78"/>
      <c r="D57" s="78"/>
      <c r="E57" s="78"/>
      <c r="F57" s="78"/>
      <c r="AQ57" s="168"/>
      <c r="AR57" s="168"/>
      <c r="AS57" s="168"/>
    </row>
    <row r="67" spans="1:46" ht="28.5" customHeight="1" x14ac:dyDescent="0.6">
      <c r="A67" s="8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</row>
  </sheetData>
  <mergeCells count="33">
    <mergeCell ref="B56:I56"/>
    <mergeCell ref="AQ56:AS56"/>
    <mergeCell ref="AQ57:AS57"/>
    <mergeCell ref="AF24:AT24"/>
    <mergeCell ref="AF29:AT29"/>
    <mergeCell ref="A35:AT35"/>
    <mergeCell ref="A36:AT36"/>
    <mergeCell ref="A37:AT37"/>
    <mergeCell ref="AQ55:AS55"/>
    <mergeCell ref="AF23:AT23"/>
    <mergeCell ref="CE23:CI23"/>
    <mergeCell ref="A10:AT10"/>
    <mergeCell ref="A11:AT11"/>
    <mergeCell ref="S12:U12"/>
    <mergeCell ref="AD12:AJ12"/>
    <mergeCell ref="AO12:AT12"/>
    <mergeCell ref="O16:AA16"/>
    <mergeCell ref="AE16:AQ16"/>
    <mergeCell ref="O17:AA17"/>
    <mergeCell ref="AE17:AQ17"/>
    <mergeCell ref="AF22:AT22"/>
    <mergeCell ref="AX22:BE22"/>
    <mergeCell ref="CE22:CI22"/>
    <mergeCell ref="A9:AT9"/>
    <mergeCell ref="AF1:AT1"/>
    <mergeCell ref="AW1:CU1"/>
    <mergeCell ref="AF2:AT2"/>
    <mergeCell ref="AW2:CU2"/>
    <mergeCell ref="AF3:AT3"/>
    <mergeCell ref="AW3:CU3"/>
    <mergeCell ref="AW5:CU5"/>
    <mergeCell ref="AW6:CU6"/>
    <mergeCell ref="AW7:CU7"/>
  </mergeCells>
  <printOptions horizontalCentered="1"/>
  <pageMargins left="0.25" right="0.25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5"/>
  <sheetViews>
    <sheetView view="pageBreakPreview" topLeftCell="A11" zoomScale="115" zoomScaleNormal="100" zoomScaleSheetLayoutView="115" workbookViewId="0">
      <selection activeCell="N23" sqref="N23"/>
    </sheetView>
  </sheetViews>
  <sheetFormatPr defaultColWidth="3.7109375" defaultRowHeight="15" x14ac:dyDescent="0.25"/>
  <cols>
    <col min="17" max="17" width="2.7109375" customWidth="1"/>
    <col min="19" max="19" width="4.7109375" customWidth="1"/>
    <col min="22" max="22" width="11.7109375" bestFit="1" customWidth="1"/>
    <col min="25" max="25" width="11.85546875" customWidth="1"/>
  </cols>
  <sheetData>
    <row r="1" spans="1:29" ht="39.75" x14ac:dyDescent="0.25">
      <c r="A1" s="181" t="s">
        <v>23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</row>
    <row r="2" spans="1:29" ht="39.75" x14ac:dyDescent="0.25">
      <c r="A2" s="181" t="s">
        <v>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4" spans="1:29" ht="35.25" x14ac:dyDescent="0.25">
      <c r="A4" s="182" t="s">
        <v>1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</row>
    <row r="6" spans="1:29" s="1" customFormat="1" ht="30" x14ac:dyDescent="0.9">
      <c r="E6" s="2" t="s">
        <v>66</v>
      </c>
      <c r="N6" s="2"/>
      <c r="R6" s="2"/>
    </row>
    <row r="7" spans="1:29" s="1" customFormat="1" ht="30" x14ac:dyDescent="0.9">
      <c r="C7" s="2" t="s">
        <v>67</v>
      </c>
      <c r="G7" s="129"/>
      <c r="H7" s="129"/>
      <c r="I7" s="129"/>
      <c r="J7" s="129"/>
      <c r="K7" s="129"/>
      <c r="L7" s="129"/>
      <c r="M7" s="129"/>
      <c r="N7" s="129"/>
      <c r="O7" s="2"/>
      <c r="Y7" s="124"/>
      <c r="AA7" s="3"/>
    </row>
    <row r="8" spans="1:29" s="1" customFormat="1" ht="34.5" x14ac:dyDescent="1.05">
      <c r="A8" s="2" t="s">
        <v>68</v>
      </c>
      <c r="F8" s="105"/>
      <c r="H8" s="2"/>
      <c r="P8" s="2"/>
      <c r="R8" s="2"/>
      <c r="S8" s="105"/>
      <c r="T8" s="2"/>
    </row>
    <row r="9" spans="1:29" s="1" customFormat="1" ht="30" x14ac:dyDescent="0.9">
      <c r="A9" s="130" t="s">
        <v>52</v>
      </c>
      <c r="H9" s="2" t="s">
        <v>69</v>
      </c>
      <c r="J9" s="65"/>
    </row>
    <row r="10" spans="1:29" s="1" customFormat="1" ht="30" x14ac:dyDescent="0.9">
      <c r="A10" s="2" t="s">
        <v>46</v>
      </c>
      <c r="J10" s="2" t="s">
        <v>70</v>
      </c>
      <c r="P10" s="6"/>
      <c r="Q10" s="6" t="s">
        <v>71</v>
      </c>
      <c r="X10" s="5"/>
    </row>
    <row r="11" spans="1:29" s="1" customFormat="1" ht="30" x14ac:dyDescent="0.9">
      <c r="A11" s="2" t="s">
        <v>72</v>
      </c>
      <c r="N11" s="3"/>
      <c r="O11" s="5"/>
      <c r="P11" s="5"/>
      <c r="Q11" s="5"/>
      <c r="R11" s="5"/>
      <c r="S11" s="5"/>
      <c r="T11" s="2"/>
      <c r="X11" s="5"/>
    </row>
    <row r="12" spans="1:29" s="1" customFormat="1" ht="30" x14ac:dyDescent="0.9">
      <c r="A12" s="2" t="s">
        <v>73</v>
      </c>
      <c r="K12" s="131"/>
      <c r="L12" s="131"/>
      <c r="M12" s="131"/>
      <c r="N12" s="131"/>
      <c r="O12" s="131"/>
      <c r="P12" s="131"/>
      <c r="Q12" s="131"/>
      <c r="R12" s="2"/>
      <c r="X12" s="180"/>
      <c r="Y12" s="180"/>
      <c r="Z12" s="180"/>
      <c r="AA12" s="180"/>
    </row>
    <row r="13" spans="1:29" s="1" customFormat="1" ht="30" x14ac:dyDescent="0.9">
      <c r="A13" s="2" t="s">
        <v>74</v>
      </c>
      <c r="K13" s="131"/>
      <c r="L13" s="131"/>
      <c r="M13" s="131"/>
      <c r="N13" s="131"/>
      <c r="O13" s="131"/>
      <c r="P13" s="131"/>
      <c r="Q13" s="131"/>
      <c r="R13" s="2"/>
      <c r="X13" s="128"/>
      <c r="Y13" s="128"/>
      <c r="Z13" s="128"/>
      <c r="AA13" s="128"/>
    </row>
    <row r="14" spans="1:29" s="1" customFormat="1" ht="30" x14ac:dyDescent="0.9">
      <c r="A14" s="2" t="s">
        <v>75</v>
      </c>
      <c r="K14" s="131"/>
      <c r="L14" s="131"/>
      <c r="M14" s="131"/>
      <c r="N14" s="131"/>
      <c r="O14" s="131"/>
      <c r="P14" s="131"/>
      <c r="Q14" s="131"/>
      <c r="R14" s="2"/>
      <c r="X14" s="128"/>
      <c r="Y14" s="128"/>
      <c r="Z14" s="128"/>
      <c r="AA14" s="128"/>
    </row>
    <row r="15" spans="1:29" s="1" customFormat="1" ht="30" x14ac:dyDescent="0.9">
      <c r="A15" s="2" t="s">
        <v>76</v>
      </c>
      <c r="K15" s="131"/>
      <c r="L15" s="131"/>
      <c r="M15" s="131"/>
      <c r="N15" s="131"/>
      <c r="O15" s="131"/>
      <c r="P15" s="131"/>
      <c r="Q15" s="131"/>
      <c r="R15" s="2"/>
      <c r="X15" s="128"/>
      <c r="Y15" s="128"/>
      <c r="Z15" s="128"/>
      <c r="AA15" s="128"/>
    </row>
    <row r="16" spans="1:29" s="1" customFormat="1" ht="30" x14ac:dyDescent="0.9">
      <c r="A16" s="5" t="s">
        <v>77</v>
      </c>
      <c r="N16" s="7"/>
    </row>
    <row r="17" spans="2:27" s="1" customFormat="1" ht="30" x14ac:dyDescent="0.9">
      <c r="B17" s="2" t="s">
        <v>2</v>
      </c>
    </row>
    <row r="18" spans="2:27" s="1" customFormat="1" ht="30" x14ac:dyDescent="0.9">
      <c r="C18" s="2" t="s">
        <v>3</v>
      </c>
      <c r="D18" s="2"/>
      <c r="E18" s="2"/>
      <c r="F18" s="2"/>
      <c r="G18" s="2"/>
      <c r="H18" s="2"/>
      <c r="I18" s="2"/>
      <c r="J18" s="2"/>
      <c r="K18" s="2"/>
      <c r="L18" s="2"/>
      <c r="M18" s="179" t="str">
        <f>INVOICE!B7</f>
        <v>CNQ26044</v>
      </c>
      <c r="N18" s="179"/>
      <c r="O18" s="179"/>
      <c r="P18" s="179"/>
      <c r="Q18" s="179"/>
      <c r="R18" s="179"/>
      <c r="S18" s="179"/>
      <c r="T18" s="179"/>
      <c r="U18" s="179"/>
      <c r="V18" s="2" t="s">
        <v>4</v>
      </c>
      <c r="W18" s="2"/>
      <c r="X18" s="2"/>
      <c r="Y18" s="147">
        <f>INVOICE!G7</f>
        <v>46265</v>
      </c>
      <c r="Z18" s="146"/>
      <c r="AA18" s="146"/>
    </row>
    <row r="19" spans="2:27" s="1" customFormat="1" ht="30" x14ac:dyDescent="0.9">
      <c r="C19" s="2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179" t="str">
        <f>+M18</f>
        <v>CNQ26044</v>
      </c>
      <c r="N19" s="179"/>
      <c r="O19" s="179"/>
      <c r="P19" s="179"/>
      <c r="Q19" s="179"/>
      <c r="R19" s="179"/>
      <c r="S19" s="179"/>
      <c r="T19" s="179"/>
      <c r="U19" s="179"/>
      <c r="V19" s="2" t="s">
        <v>4</v>
      </c>
      <c r="W19" s="2"/>
      <c r="X19" s="2"/>
      <c r="Y19" s="147">
        <f>Y18</f>
        <v>46265</v>
      </c>
      <c r="Z19" s="146"/>
      <c r="AA19" s="146"/>
    </row>
    <row r="20" spans="2:27" s="1" customFormat="1" ht="30" x14ac:dyDescent="0.9">
      <c r="C20" s="2" t="s">
        <v>6</v>
      </c>
      <c r="D20" s="2"/>
      <c r="E20" s="2"/>
      <c r="F20" s="2"/>
      <c r="G20" s="2"/>
      <c r="H20" s="2"/>
      <c r="I20" s="2"/>
      <c r="J20" s="2"/>
      <c r="K20" s="2"/>
      <c r="L20" s="2"/>
      <c r="M20" s="179" t="str">
        <f>INVOICE!B43</f>
        <v>SHSIN6090031</v>
      </c>
      <c r="N20" s="179"/>
      <c r="O20" s="179"/>
      <c r="P20" s="179"/>
      <c r="Q20" s="179"/>
      <c r="R20" s="179"/>
      <c r="S20" s="179"/>
      <c r="T20" s="179"/>
      <c r="U20" s="179"/>
      <c r="V20" s="2" t="s">
        <v>4</v>
      </c>
      <c r="W20" s="2"/>
      <c r="X20" s="2"/>
      <c r="Y20" s="147">
        <f>INVOICE!B44</f>
        <v>46278</v>
      </c>
      <c r="Z20" s="146"/>
      <c r="AA20" s="146"/>
    </row>
    <row r="21" spans="2:27" s="1" customFormat="1" ht="30" x14ac:dyDescent="0.9">
      <c r="C21" s="2" t="s">
        <v>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s="1" customFormat="1" ht="15.75" x14ac:dyDescent="0.25"/>
    <row r="23" spans="2:27" s="1" customFormat="1" ht="30" x14ac:dyDescent="0.9">
      <c r="F23" s="8"/>
      <c r="Q23" s="2" t="s">
        <v>78</v>
      </c>
    </row>
    <row r="24" spans="2:27" s="1" customFormat="1" ht="30" x14ac:dyDescent="0.9">
      <c r="F24" s="9"/>
      <c r="Q24" s="2" t="s">
        <v>79</v>
      </c>
    </row>
    <row r="25" spans="2:27" s="1" customFormat="1" ht="15.75" x14ac:dyDescent="0.25"/>
    <row r="26" spans="2:27" s="1" customFormat="1" ht="30" x14ac:dyDescent="0.9">
      <c r="C26" s="6" t="s">
        <v>80</v>
      </c>
      <c r="U26" s="6" t="s">
        <v>81</v>
      </c>
    </row>
    <row r="27" spans="2:27" s="1" customFormat="1" ht="15.75" x14ac:dyDescent="0.25"/>
    <row r="28" spans="2:27" s="1" customFormat="1" ht="15.75" x14ac:dyDescent="0.25"/>
    <row r="29" spans="2:27" s="1" customFormat="1" ht="15.75" x14ac:dyDescent="0.25"/>
    <row r="30" spans="2:27" s="1" customFormat="1" ht="15.75" x14ac:dyDescent="0.25"/>
    <row r="31" spans="2:27" s="1" customFormat="1" ht="15.75" x14ac:dyDescent="0.25"/>
    <row r="32" spans="2:27" s="1" customFormat="1" ht="30" x14ac:dyDescent="0.9">
      <c r="M32" s="6" t="s">
        <v>82</v>
      </c>
    </row>
    <row r="33" spans="4:25" s="1" customFormat="1" ht="30" x14ac:dyDescent="0.9">
      <c r="D33" s="6" t="s">
        <v>8</v>
      </c>
      <c r="E33" s="6"/>
      <c r="F33" s="6" t="s">
        <v>71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 t="s">
        <v>8</v>
      </c>
      <c r="W33" s="6" t="s">
        <v>61</v>
      </c>
      <c r="X33" s="6"/>
      <c r="Y33" s="6"/>
    </row>
    <row r="34" spans="4:25" s="1" customFormat="1" ht="15.6" customHeight="1" x14ac:dyDescent="0.9">
      <c r="M34" s="6"/>
    </row>
    <row r="35" spans="4:25" s="1" customFormat="1" ht="30" x14ac:dyDescent="0.9">
      <c r="D35" s="6"/>
      <c r="F35" s="6"/>
      <c r="O35" s="6" t="s">
        <v>83</v>
      </c>
      <c r="V35" s="106"/>
      <c r="W35" s="123"/>
      <c r="X35" s="4"/>
    </row>
  </sheetData>
  <mergeCells count="7">
    <mergeCell ref="M20:U20"/>
    <mergeCell ref="X12:AA12"/>
    <mergeCell ref="M18:U18"/>
    <mergeCell ref="M19:U19"/>
    <mergeCell ref="A1:AC1"/>
    <mergeCell ref="A2:AC2"/>
    <mergeCell ref="A4:AC4"/>
  </mergeCells>
  <pageMargins left="1.2" right="0.7" top="0.75" bottom="0.75" header="0.3" footer="0.3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view="pageBreakPreview" zoomScale="85" zoomScaleNormal="100" zoomScaleSheetLayoutView="85" workbookViewId="0">
      <selection activeCell="F52" sqref="F52"/>
    </sheetView>
  </sheetViews>
  <sheetFormatPr defaultRowHeight="15" x14ac:dyDescent="0.25"/>
  <sheetData/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INVOICE</vt:lpstr>
      <vt:lpstr>Cover</vt:lpstr>
      <vt:lpstr>AUTHOR </vt:lpstr>
      <vt:lpstr>ID</vt:lpstr>
      <vt:lpstr>'AUTHOR '!_Hlk86259791</vt:lpstr>
      <vt:lpstr>'AUTHOR '!Print_Area</vt:lpstr>
      <vt:lpstr>Cover!Print_Area</vt:lpstr>
      <vt:lpstr>ID!Print_Area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Rithy</dc:creator>
  <cp:lastModifiedBy>Alex Jay</cp:lastModifiedBy>
  <cp:lastPrinted>2026-09-12T01:35:39Z</cp:lastPrinted>
  <dcterms:created xsi:type="dcterms:W3CDTF">2021-11-24T04:43:51Z</dcterms:created>
  <dcterms:modified xsi:type="dcterms:W3CDTF">2026-10-11T13:44:05Z</dcterms:modified>
</cp:coreProperties>
</file>