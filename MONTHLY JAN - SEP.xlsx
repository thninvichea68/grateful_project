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580" tabRatio="715" firstSheet="5" activeTab="9"/>
  </bookViews>
  <sheets>
    <sheet name="01" sheetId="34" r:id="rId1"/>
    <sheet name="02" sheetId="37" r:id="rId2"/>
    <sheet name="03" sheetId="38" r:id="rId3"/>
    <sheet name="04" sheetId="39" r:id="rId4"/>
    <sheet name="05" sheetId="40" r:id="rId5"/>
    <sheet name="06" sheetId="41" r:id="rId6"/>
    <sheet name="07" sheetId="43" r:id="rId7"/>
    <sheet name="08" sheetId="45" r:id="rId8"/>
    <sheet name="09" sheetId="47" r:id="rId9"/>
    <sheet name="10" sheetId="48" r:id="rId10"/>
    <sheet name="PORT" sheetId="25" r:id="rId11"/>
    <sheet name="Sheet1" sheetId="35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'01'!$B$2:$V$50</definedName>
    <definedName name="_xlnm._FilterDatabase" localSheetId="1" hidden="1">'02'!$A$2:$V$43</definedName>
    <definedName name="_xlnm._FilterDatabase" localSheetId="2" hidden="1">'03'!$A$2:$V$61</definedName>
    <definedName name="_xlnm._FilterDatabase" localSheetId="3" hidden="1">'04'!$A$2:$V$57</definedName>
    <definedName name="_xlnm._FilterDatabase" localSheetId="4" hidden="1">'05'!$A$2:$V$58</definedName>
    <definedName name="_xlnm._FilterDatabase" localSheetId="5" hidden="1">'06'!$A$2:$W$68</definedName>
    <definedName name="_xlnm._FilterDatabase" localSheetId="6" hidden="1">'07'!$A$2:$W$79</definedName>
    <definedName name="_xlnm._FilterDatabase" localSheetId="7" hidden="1">'08'!$A$2:$W$41</definedName>
    <definedName name="_xlnm._FilterDatabase" localSheetId="8" hidden="1">'09'!$A$2:$W$42</definedName>
    <definedName name="_xlnm._FilterDatabase" localSheetId="9" hidden="1">'10'!$A$2:$W$42</definedName>
    <definedName name="_xlnm.Print_Area" localSheetId="0">'01'!$A$1:$V$60</definedName>
    <definedName name="_xlnm.Print_Area" localSheetId="3">'04'!$A$1:$V$82</definedName>
    <definedName name="_xlnm.Print_Area" localSheetId="4">'05'!$A$1:$V$83</definedName>
    <definedName name="_xlnm.Print_Area" localSheetId="5">'06'!$A$1:$W$93</definedName>
    <definedName name="_xlnm.Print_Area" localSheetId="6">'07'!$A$1:$W$104</definedName>
    <definedName name="_xlnm.Print_Area" localSheetId="7">'08'!$A$1:$W$67</definedName>
    <definedName name="_xlnm.Print_Area" localSheetId="8">'09'!$A$1:$W$67</definedName>
    <definedName name="_xlnm.Print_Area" localSheetId="9">'10'!$A$1:$W$67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1" i="48" l="1"/>
  <c r="N49" i="48"/>
  <c r="N46" i="48"/>
  <c r="N45" i="48"/>
  <c r="U44" i="48"/>
  <c r="T44" i="48"/>
  <c r="S44" i="48"/>
  <c r="R44" i="48"/>
  <c r="Q44" i="48"/>
  <c r="P44" i="48"/>
  <c r="O44" i="48"/>
  <c r="N44" i="48"/>
  <c r="N52" i="48" s="1"/>
  <c r="J44" i="48"/>
  <c r="I44" i="48"/>
  <c r="H44" i="48"/>
  <c r="B44" i="48"/>
  <c r="V39" i="48"/>
  <c r="M39" i="48"/>
  <c r="L39" i="48"/>
  <c r="V38" i="48"/>
  <c r="M38" i="48"/>
  <c r="L38" i="48"/>
  <c r="D38" i="48"/>
  <c r="C38" i="48"/>
  <c r="V37" i="48"/>
  <c r="M37" i="48"/>
  <c r="L37" i="48"/>
  <c r="D37" i="48"/>
  <c r="C37" i="48"/>
  <c r="V36" i="48"/>
  <c r="M36" i="48"/>
  <c r="L36" i="48"/>
  <c r="D36" i="48"/>
  <c r="C36" i="48"/>
  <c r="V35" i="48"/>
  <c r="M35" i="48"/>
  <c r="L35" i="48"/>
  <c r="D35" i="48"/>
  <c r="C35" i="48"/>
  <c r="V34" i="48"/>
  <c r="M34" i="48"/>
  <c r="L34" i="48"/>
  <c r="D34" i="48"/>
  <c r="C34" i="48"/>
  <c r="V33" i="48"/>
  <c r="M33" i="48"/>
  <c r="L33" i="48"/>
  <c r="D33" i="48"/>
  <c r="C33" i="48"/>
  <c r="V32" i="48"/>
  <c r="M32" i="48"/>
  <c r="L32" i="48"/>
  <c r="D32" i="48"/>
  <c r="C32" i="48"/>
  <c r="V31" i="48"/>
  <c r="M31" i="48"/>
  <c r="L31" i="48"/>
  <c r="D31" i="48"/>
  <c r="C31" i="48"/>
  <c r="V30" i="48"/>
  <c r="M30" i="48"/>
  <c r="L30" i="48"/>
  <c r="D30" i="48"/>
  <c r="C30" i="48"/>
  <c r="V29" i="48"/>
  <c r="M29" i="48"/>
  <c r="L29" i="48"/>
  <c r="D29" i="48"/>
  <c r="C29" i="48"/>
  <c r="V28" i="48"/>
  <c r="M28" i="48"/>
  <c r="L28" i="48"/>
  <c r="D28" i="48"/>
  <c r="C28" i="48"/>
  <c r="V27" i="48"/>
  <c r="M27" i="48"/>
  <c r="L27" i="48"/>
  <c r="D27" i="48"/>
  <c r="C27" i="48"/>
  <c r="V26" i="48"/>
  <c r="M26" i="48"/>
  <c r="L26" i="48"/>
  <c r="D26" i="48"/>
  <c r="C26" i="48"/>
  <c r="V25" i="48"/>
  <c r="M25" i="48"/>
  <c r="L25" i="48"/>
  <c r="D25" i="48"/>
  <c r="C25" i="48"/>
  <c r="V24" i="48"/>
  <c r="M24" i="48"/>
  <c r="L24" i="48"/>
  <c r="D24" i="48"/>
  <c r="C24" i="48"/>
  <c r="V23" i="48"/>
  <c r="M23" i="48"/>
  <c r="L23" i="48"/>
  <c r="D23" i="48"/>
  <c r="C23" i="48"/>
  <c r="V22" i="48"/>
  <c r="M22" i="48"/>
  <c r="L22" i="48"/>
  <c r="D22" i="48"/>
  <c r="C22" i="48"/>
  <c r="V21" i="48"/>
  <c r="M21" i="48"/>
  <c r="L21" i="48"/>
  <c r="D21" i="48"/>
  <c r="C21" i="48"/>
  <c r="V20" i="48"/>
  <c r="M20" i="48"/>
  <c r="L20" i="48"/>
  <c r="D20" i="48"/>
  <c r="C20" i="48"/>
  <c r="V19" i="48"/>
  <c r="M19" i="48"/>
  <c r="L19" i="48"/>
  <c r="D19" i="48"/>
  <c r="C19" i="48"/>
  <c r="V18" i="48"/>
  <c r="M18" i="48"/>
  <c r="L18" i="48"/>
  <c r="D18" i="48"/>
  <c r="C18" i="48"/>
  <c r="V17" i="48"/>
  <c r="M17" i="48"/>
  <c r="L17" i="48"/>
  <c r="D17" i="48"/>
  <c r="C17" i="48"/>
  <c r="V16" i="48"/>
  <c r="M16" i="48"/>
  <c r="L16" i="48"/>
  <c r="D16" i="48"/>
  <c r="C16" i="48"/>
  <c r="V15" i="48"/>
  <c r="M15" i="48"/>
  <c r="L15" i="48"/>
  <c r="D15" i="48"/>
  <c r="C15" i="48"/>
  <c r="V14" i="48"/>
  <c r="M14" i="48"/>
  <c r="L14" i="48"/>
  <c r="D14" i="48"/>
  <c r="C14" i="48"/>
  <c r="V13" i="48"/>
  <c r="M13" i="48"/>
  <c r="L13" i="48"/>
  <c r="D13" i="48"/>
  <c r="C13" i="48"/>
  <c r="V12" i="48"/>
  <c r="M12" i="48"/>
  <c r="L12" i="48"/>
  <c r="D12" i="48"/>
  <c r="C12" i="48"/>
  <c r="V11" i="48"/>
  <c r="M11" i="48"/>
  <c r="L11" i="48"/>
  <c r="D11" i="48"/>
  <c r="C11" i="48"/>
  <c r="V10" i="48"/>
  <c r="M10" i="48"/>
  <c r="L10" i="48"/>
  <c r="D10" i="48"/>
  <c r="C10" i="48"/>
  <c r="V9" i="48"/>
  <c r="M9" i="48"/>
  <c r="L9" i="48"/>
  <c r="V8" i="48"/>
  <c r="M8" i="48"/>
  <c r="L8" i="48"/>
  <c r="V7" i="48"/>
  <c r="M7" i="48"/>
  <c r="L7" i="48"/>
  <c r="D7" i="48"/>
  <c r="C7" i="48"/>
  <c r="V6" i="48"/>
  <c r="M6" i="48"/>
  <c r="L6" i="48"/>
  <c r="D6" i="48"/>
  <c r="C6" i="48"/>
  <c r="V5" i="48"/>
  <c r="M5" i="48"/>
  <c r="L5" i="48"/>
  <c r="D5" i="48"/>
  <c r="C5" i="48"/>
  <c r="V4" i="48"/>
  <c r="M4" i="48"/>
  <c r="L4" i="48"/>
  <c r="D4" i="48"/>
  <c r="C4" i="48"/>
  <c r="V3" i="48"/>
  <c r="M3" i="48"/>
  <c r="D3" i="48"/>
  <c r="C3" i="48"/>
  <c r="V44" i="48" l="1"/>
  <c r="N52" i="47"/>
  <c r="N51" i="47"/>
  <c r="D15" i="47" l="1"/>
  <c r="C11" i="47"/>
  <c r="C7" i="47"/>
  <c r="L4" i="47" l="1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1" i="47"/>
  <c r="L20" i="47"/>
  <c r="L22" i="47"/>
  <c r="L23" i="47"/>
  <c r="L24" i="47"/>
  <c r="L25" i="47"/>
  <c r="L26" i="47"/>
  <c r="L27" i="47"/>
  <c r="L28" i="47"/>
  <c r="L29" i="47"/>
  <c r="L30" i="47"/>
  <c r="L31" i="47"/>
  <c r="L32" i="47"/>
  <c r="L33" i="47"/>
  <c r="L34" i="47"/>
  <c r="L35" i="47"/>
  <c r="L36" i="47"/>
  <c r="L37" i="47"/>
  <c r="L38" i="47"/>
  <c r="L39" i="47"/>
  <c r="C4" i="47"/>
  <c r="D4" i="47"/>
  <c r="C5" i="47"/>
  <c r="D5" i="47"/>
  <c r="C6" i="47"/>
  <c r="D6" i="47"/>
  <c r="D7" i="47"/>
  <c r="C10" i="47"/>
  <c r="D10" i="47"/>
  <c r="D11" i="47"/>
  <c r="C12" i="47"/>
  <c r="D12" i="47"/>
  <c r="C13" i="47"/>
  <c r="D13" i="47"/>
  <c r="C14" i="47"/>
  <c r="D14" i="47"/>
  <c r="C15" i="47"/>
  <c r="C16" i="47"/>
  <c r="D16" i="47"/>
  <c r="C17" i="47"/>
  <c r="D17" i="47"/>
  <c r="C18" i="47"/>
  <c r="D18" i="47"/>
  <c r="C19" i="47"/>
  <c r="D19" i="47"/>
  <c r="C21" i="47"/>
  <c r="D21" i="47"/>
  <c r="C20" i="47"/>
  <c r="D20" i="47"/>
  <c r="C22" i="47"/>
  <c r="D22" i="47"/>
  <c r="C23" i="47"/>
  <c r="D23" i="47"/>
  <c r="C24" i="47"/>
  <c r="D24" i="47"/>
  <c r="C25" i="47"/>
  <c r="D25" i="47"/>
  <c r="C26" i="47"/>
  <c r="D26" i="47"/>
  <c r="C27" i="47"/>
  <c r="D27" i="47"/>
  <c r="C28" i="47"/>
  <c r="D28" i="47"/>
  <c r="C29" i="47"/>
  <c r="D29" i="47"/>
  <c r="C30" i="47"/>
  <c r="D30" i="47"/>
  <c r="C31" i="47"/>
  <c r="D31" i="47"/>
  <c r="C32" i="47"/>
  <c r="D32" i="47"/>
  <c r="C33" i="47"/>
  <c r="D33" i="47"/>
  <c r="C34" i="47"/>
  <c r="D34" i="47"/>
  <c r="C35" i="47"/>
  <c r="D35" i="47"/>
  <c r="C36" i="47"/>
  <c r="D36" i="47"/>
  <c r="C37" i="47"/>
  <c r="D37" i="47"/>
  <c r="C38" i="47"/>
  <c r="D38" i="47"/>
  <c r="V4" i="45" l="1"/>
  <c r="V5" i="45"/>
  <c r="V6" i="45"/>
  <c r="V7" i="45"/>
  <c r="V8" i="45"/>
  <c r="V9" i="45"/>
  <c r="V10" i="45"/>
  <c r="V11" i="45"/>
  <c r="V12" i="45"/>
  <c r="V13" i="45"/>
  <c r="V14" i="45"/>
  <c r="V15" i="45"/>
  <c r="V16" i="45"/>
  <c r="V17" i="45"/>
  <c r="V18" i="45"/>
  <c r="V19" i="45"/>
  <c r="V20" i="45"/>
  <c r="V21" i="45"/>
  <c r="V22" i="45"/>
  <c r="V23" i="45"/>
  <c r="V24" i="45"/>
  <c r="V25" i="45"/>
  <c r="V26" i="45"/>
  <c r="V27" i="45"/>
  <c r="V28" i="45"/>
  <c r="V29" i="45"/>
  <c r="V30" i="45"/>
  <c r="V31" i="45"/>
  <c r="V32" i="45"/>
  <c r="V33" i="45"/>
  <c r="V34" i="45"/>
  <c r="V35" i="45"/>
  <c r="V36" i="45"/>
  <c r="V37" i="45"/>
  <c r="V38" i="45"/>
  <c r="V39" i="45"/>
  <c r="V44" i="45"/>
  <c r="V3" i="45"/>
  <c r="M10" i="47" l="1"/>
  <c r="V10" i="47"/>
  <c r="R44" i="45" l="1"/>
  <c r="S44" i="45"/>
  <c r="U44" i="45"/>
  <c r="T39" i="45"/>
  <c r="M89" i="43"/>
  <c r="L3" i="47" l="1"/>
  <c r="D3" i="47" l="1"/>
  <c r="C3" i="47"/>
  <c r="V6" i="47" l="1"/>
  <c r="V7" i="47"/>
  <c r="V3" i="47"/>
  <c r="V4" i="47"/>
  <c r="V5" i="47"/>
  <c r="V11" i="47"/>
  <c r="V15" i="47"/>
  <c r="V13" i="47"/>
  <c r="V8" i="47"/>
  <c r="V17" i="47"/>
  <c r="V14" i="47"/>
  <c r="V9" i="47"/>
  <c r="V16" i="47"/>
  <c r="V12" i="47"/>
  <c r="V28" i="47"/>
  <c r="V29" i="47"/>
  <c r="V19" i="47"/>
  <c r="V30" i="47"/>
  <c r="V26" i="47"/>
  <c r="V21" i="47"/>
  <c r="V18" i="47"/>
  <c r="V27" i="47"/>
  <c r="V31" i="47"/>
  <c r="V23" i="47"/>
  <c r="V35" i="47"/>
  <c r="V36" i="47"/>
  <c r="V20" i="47"/>
  <c r="V32" i="47"/>
  <c r="V24" i="47"/>
  <c r="V22" i="47"/>
  <c r="V33" i="47"/>
  <c r="V34" i="47"/>
  <c r="V37" i="47"/>
  <c r="V25" i="47"/>
  <c r="V38" i="47"/>
  <c r="V39" i="47"/>
  <c r="N46" i="47"/>
  <c r="N45" i="47"/>
  <c r="U44" i="47"/>
  <c r="S44" i="47"/>
  <c r="R44" i="47"/>
  <c r="Q44" i="47"/>
  <c r="P44" i="47"/>
  <c r="O44" i="47"/>
  <c r="N44" i="47"/>
  <c r="J44" i="47"/>
  <c r="I44" i="47"/>
  <c r="H44" i="47"/>
  <c r="B44" i="47"/>
  <c r="M39" i="47"/>
  <c r="M38" i="47"/>
  <c r="M25" i="47"/>
  <c r="M37" i="47"/>
  <c r="M34" i="47"/>
  <c r="M33" i="47"/>
  <c r="M22" i="47"/>
  <c r="M24" i="47"/>
  <c r="M32" i="47"/>
  <c r="M20" i="47"/>
  <c r="M36" i="47"/>
  <c r="M35" i="47"/>
  <c r="M23" i="47"/>
  <c r="M31" i="47"/>
  <c r="M27" i="47"/>
  <c r="M18" i="47"/>
  <c r="M21" i="47"/>
  <c r="M26" i="47"/>
  <c r="M30" i="47"/>
  <c r="M19" i="47"/>
  <c r="M29" i="47"/>
  <c r="M28" i="47"/>
  <c r="M12" i="47"/>
  <c r="M16" i="47"/>
  <c r="M9" i="47"/>
  <c r="M14" i="47"/>
  <c r="M17" i="47"/>
  <c r="M8" i="47"/>
  <c r="M13" i="47"/>
  <c r="M15" i="47"/>
  <c r="M11" i="47"/>
  <c r="M5" i="47"/>
  <c r="M4" i="47"/>
  <c r="M3" i="47"/>
  <c r="M7" i="47"/>
  <c r="M6" i="47"/>
  <c r="T44" i="47"/>
  <c r="V44" i="47" l="1"/>
  <c r="P44" i="45"/>
  <c r="O44" i="45"/>
  <c r="L39" i="45"/>
  <c r="M39" i="45"/>
  <c r="C4" i="45" l="1"/>
  <c r="D4" i="45"/>
  <c r="C5" i="45"/>
  <c r="D5" i="45"/>
  <c r="C6" i="45"/>
  <c r="D6" i="45"/>
  <c r="C7" i="45"/>
  <c r="D7" i="45"/>
  <c r="C8" i="45"/>
  <c r="D8" i="45"/>
  <c r="C9" i="45"/>
  <c r="D9" i="45"/>
  <c r="C10" i="45"/>
  <c r="D10" i="45"/>
  <c r="C11" i="45"/>
  <c r="D11" i="45"/>
  <c r="C12" i="45"/>
  <c r="D12" i="45"/>
  <c r="C13" i="45"/>
  <c r="D13" i="45"/>
  <c r="C14" i="45"/>
  <c r="D14" i="45"/>
  <c r="C15" i="45"/>
  <c r="D15" i="45"/>
  <c r="C16" i="45"/>
  <c r="D16" i="45"/>
  <c r="C17" i="45"/>
  <c r="D17" i="45"/>
  <c r="C18" i="45"/>
  <c r="D18" i="45"/>
  <c r="C19" i="45"/>
  <c r="D19" i="45"/>
  <c r="C20" i="45"/>
  <c r="D20" i="45"/>
  <c r="C21" i="45"/>
  <c r="D21" i="45"/>
  <c r="C22" i="45"/>
  <c r="D22" i="45"/>
  <c r="C23" i="45"/>
  <c r="D23" i="45"/>
  <c r="C24" i="45"/>
  <c r="D24" i="45"/>
  <c r="C25" i="45"/>
  <c r="D25" i="45"/>
  <c r="C26" i="45"/>
  <c r="D26" i="45"/>
  <c r="C27" i="45"/>
  <c r="D27" i="45"/>
  <c r="C28" i="45"/>
  <c r="D28" i="45"/>
  <c r="C29" i="45"/>
  <c r="D29" i="45"/>
  <c r="C30" i="45"/>
  <c r="D30" i="45"/>
  <c r="C31" i="45"/>
  <c r="D31" i="45"/>
  <c r="C32" i="45"/>
  <c r="D32" i="45"/>
  <c r="C33" i="45"/>
  <c r="D33" i="45"/>
  <c r="C34" i="45"/>
  <c r="D34" i="45"/>
  <c r="C35" i="45"/>
  <c r="D35" i="45"/>
  <c r="C36" i="45"/>
  <c r="D36" i="45"/>
  <c r="C37" i="45"/>
  <c r="D37" i="45"/>
  <c r="C38" i="45"/>
  <c r="D38" i="45"/>
  <c r="N46" i="45" l="1"/>
  <c r="L53" i="45" s="1"/>
  <c r="N45" i="45"/>
  <c r="L52" i="45" s="1"/>
  <c r="Q44" i="45"/>
  <c r="N44" i="45"/>
  <c r="J44" i="45"/>
  <c r="I44" i="45"/>
  <c r="H44" i="45"/>
  <c r="B44" i="45"/>
  <c r="T38" i="45"/>
  <c r="M38" i="45"/>
  <c r="L38" i="45"/>
  <c r="T37" i="45"/>
  <c r="M37" i="45"/>
  <c r="L37" i="45"/>
  <c r="T36" i="45"/>
  <c r="M36" i="45"/>
  <c r="L36" i="45"/>
  <c r="T35" i="45"/>
  <c r="M35" i="45"/>
  <c r="L35" i="45"/>
  <c r="T33" i="45"/>
  <c r="M33" i="45"/>
  <c r="L33" i="45"/>
  <c r="T32" i="45"/>
  <c r="M32" i="45"/>
  <c r="L32" i="45"/>
  <c r="T34" i="45"/>
  <c r="M34" i="45"/>
  <c r="L34" i="45"/>
  <c r="T31" i="45"/>
  <c r="M31" i="45"/>
  <c r="L31" i="45"/>
  <c r="T30" i="45"/>
  <c r="M30" i="45"/>
  <c r="L30" i="45"/>
  <c r="T29" i="45"/>
  <c r="M29" i="45"/>
  <c r="L29" i="45"/>
  <c r="T28" i="45"/>
  <c r="M28" i="45"/>
  <c r="L28" i="45"/>
  <c r="T27" i="45"/>
  <c r="M27" i="45"/>
  <c r="L27" i="45"/>
  <c r="T26" i="45"/>
  <c r="M26" i="45"/>
  <c r="L26" i="45"/>
  <c r="T25" i="45"/>
  <c r="M25" i="45"/>
  <c r="L25" i="45"/>
  <c r="T24" i="45"/>
  <c r="M24" i="45"/>
  <c r="L24" i="45"/>
  <c r="T23" i="45"/>
  <c r="M23" i="45"/>
  <c r="L23" i="45"/>
  <c r="T22" i="45"/>
  <c r="M22" i="45"/>
  <c r="L22" i="45"/>
  <c r="T21" i="45"/>
  <c r="M21" i="45"/>
  <c r="L21" i="45"/>
  <c r="T20" i="45"/>
  <c r="M20" i="45"/>
  <c r="L20" i="45"/>
  <c r="T19" i="45"/>
  <c r="M19" i="45"/>
  <c r="L19" i="45"/>
  <c r="T18" i="45"/>
  <c r="M18" i="45"/>
  <c r="L18" i="45"/>
  <c r="T17" i="45"/>
  <c r="M17" i="45"/>
  <c r="L17" i="45"/>
  <c r="T16" i="45"/>
  <c r="M16" i="45"/>
  <c r="L16" i="45"/>
  <c r="T15" i="45"/>
  <c r="M15" i="45"/>
  <c r="L15" i="45"/>
  <c r="T14" i="45"/>
  <c r="M14" i="45"/>
  <c r="L14" i="45"/>
  <c r="T13" i="45"/>
  <c r="M13" i="45"/>
  <c r="L13" i="45"/>
  <c r="T12" i="45"/>
  <c r="M12" i="45"/>
  <c r="L12" i="45"/>
  <c r="T11" i="45"/>
  <c r="M11" i="45"/>
  <c r="L11" i="45"/>
  <c r="T10" i="45"/>
  <c r="M10" i="45"/>
  <c r="L10" i="45"/>
  <c r="T9" i="45"/>
  <c r="M9" i="45"/>
  <c r="L9" i="45"/>
  <c r="T8" i="45"/>
  <c r="M8" i="45"/>
  <c r="L8" i="45"/>
  <c r="T7" i="45"/>
  <c r="M7" i="45"/>
  <c r="L7" i="45"/>
  <c r="T6" i="45"/>
  <c r="M6" i="45"/>
  <c r="L6" i="45"/>
  <c r="T5" i="45"/>
  <c r="M5" i="45"/>
  <c r="L5" i="45"/>
  <c r="T4" i="45"/>
  <c r="M4" i="45"/>
  <c r="L4" i="45"/>
  <c r="T3" i="45"/>
  <c r="M3" i="45"/>
  <c r="L3" i="45"/>
  <c r="D3" i="45"/>
  <c r="C3" i="45"/>
  <c r="N49" i="47" l="1"/>
  <c r="T44" i="45"/>
  <c r="V70" i="43" l="1"/>
  <c r="S81" i="43" l="1"/>
  <c r="Q81" i="43"/>
  <c r="C4" i="43" l="1"/>
  <c r="D4" i="43"/>
  <c r="C5" i="43"/>
  <c r="D5" i="43"/>
  <c r="C6" i="43"/>
  <c r="D6" i="43"/>
  <c r="C7" i="43"/>
  <c r="D7" i="43"/>
  <c r="C8" i="43"/>
  <c r="D8" i="43"/>
  <c r="C9" i="43"/>
  <c r="D9" i="43"/>
  <c r="C10" i="43"/>
  <c r="D10" i="43"/>
  <c r="C11" i="43"/>
  <c r="D11" i="43"/>
  <c r="C12" i="43"/>
  <c r="D12" i="43"/>
  <c r="C13" i="43"/>
  <c r="D13" i="43"/>
  <c r="C14" i="43"/>
  <c r="D14" i="43"/>
  <c r="C15" i="43"/>
  <c r="D15" i="43"/>
  <c r="C16" i="43"/>
  <c r="D16" i="43"/>
  <c r="C17" i="43"/>
  <c r="D17" i="43"/>
  <c r="C18" i="43"/>
  <c r="D18" i="43"/>
  <c r="C19" i="43"/>
  <c r="D19" i="43"/>
  <c r="C20" i="43"/>
  <c r="D20" i="43"/>
  <c r="C21" i="43"/>
  <c r="D21" i="43"/>
  <c r="C22" i="43"/>
  <c r="D22" i="43"/>
  <c r="C23" i="43"/>
  <c r="D23" i="43"/>
  <c r="C24" i="43"/>
  <c r="D24" i="43"/>
  <c r="C25" i="43"/>
  <c r="D25" i="43"/>
  <c r="C26" i="43"/>
  <c r="D26" i="43"/>
  <c r="C27" i="43"/>
  <c r="D27" i="43"/>
  <c r="C28" i="43"/>
  <c r="D28" i="43"/>
  <c r="C29" i="43"/>
  <c r="D29" i="43"/>
  <c r="C30" i="43"/>
  <c r="D30" i="43"/>
  <c r="C31" i="43"/>
  <c r="D31" i="43"/>
  <c r="C32" i="43"/>
  <c r="D32" i="43"/>
  <c r="C33" i="43"/>
  <c r="D33" i="43"/>
  <c r="C34" i="43"/>
  <c r="D34" i="43"/>
  <c r="C35" i="43"/>
  <c r="D35" i="43"/>
  <c r="C36" i="43"/>
  <c r="D36" i="43"/>
  <c r="C37" i="43"/>
  <c r="D37" i="43"/>
  <c r="C38" i="43"/>
  <c r="D38" i="43"/>
  <c r="C39" i="43"/>
  <c r="D39" i="43"/>
  <c r="C40" i="43"/>
  <c r="D40" i="43"/>
  <c r="C41" i="43"/>
  <c r="D41" i="43"/>
  <c r="C42" i="43"/>
  <c r="D42" i="43"/>
  <c r="C43" i="43"/>
  <c r="D43" i="43"/>
  <c r="C44" i="43"/>
  <c r="D44" i="43"/>
  <c r="C45" i="43"/>
  <c r="D45" i="43"/>
  <c r="C46" i="43"/>
  <c r="D46" i="43"/>
  <c r="C47" i="43"/>
  <c r="D47" i="43"/>
  <c r="C48" i="43"/>
  <c r="D48" i="43"/>
  <c r="C49" i="43"/>
  <c r="D49" i="43"/>
  <c r="C50" i="43"/>
  <c r="D50" i="43"/>
  <c r="C51" i="43"/>
  <c r="D51" i="43"/>
  <c r="C52" i="43"/>
  <c r="D52" i="43"/>
  <c r="C53" i="43"/>
  <c r="D53" i="43"/>
  <c r="C54" i="43"/>
  <c r="D54" i="43"/>
  <c r="C55" i="43"/>
  <c r="D55" i="43"/>
  <c r="C56" i="43"/>
  <c r="D56" i="43"/>
  <c r="C57" i="43"/>
  <c r="D57" i="43"/>
  <c r="C58" i="43"/>
  <c r="D58" i="43"/>
  <c r="C59" i="43"/>
  <c r="D59" i="43"/>
  <c r="C60" i="43"/>
  <c r="D60" i="43"/>
  <c r="C61" i="43"/>
  <c r="D61" i="43"/>
  <c r="C62" i="43"/>
  <c r="D62" i="43"/>
  <c r="C63" i="43"/>
  <c r="D63" i="43"/>
  <c r="C64" i="43"/>
  <c r="D64" i="43"/>
  <c r="C65" i="43"/>
  <c r="D65" i="43"/>
  <c r="C66" i="43"/>
  <c r="D66" i="43"/>
  <c r="C67" i="43"/>
  <c r="D67" i="43"/>
  <c r="C68" i="43"/>
  <c r="D68" i="43"/>
  <c r="C69" i="43"/>
  <c r="D69" i="43"/>
  <c r="C70" i="43"/>
  <c r="D70" i="43"/>
  <c r="C71" i="43"/>
  <c r="D71" i="43"/>
  <c r="C72" i="43"/>
  <c r="D72" i="43"/>
  <c r="C73" i="43"/>
  <c r="D73" i="43"/>
  <c r="C74" i="43"/>
  <c r="D74" i="43"/>
  <c r="C75" i="43"/>
  <c r="D75" i="43"/>
  <c r="C76" i="43"/>
  <c r="D76" i="43"/>
  <c r="V72" i="43" l="1"/>
  <c r="T72" i="43"/>
  <c r="M72" i="43"/>
  <c r="L72" i="43"/>
  <c r="V71" i="43"/>
  <c r="T71" i="43"/>
  <c r="M71" i="43"/>
  <c r="L71" i="43"/>
  <c r="T70" i="43"/>
  <c r="M70" i="43"/>
  <c r="L70" i="43"/>
  <c r="V75" i="43" l="1"/>
  <c r="T75" i="43"/>
  <c r="M75" i="43"/>
  <c r="L75" i="43"/>
  <c r="V74" i="43"/>
  <c r="T74" i="43"/>
  <c r="M74" i="43"/>
  <c r="L74" i="43"/>
  <c r="V73" i="43"/>
  <c r="T73" i="43"/>
  <c r="M73" i="43"/>
  <c r="L73" i="43"/>
  <c r="L4" i="43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6" i="43"/>
  <c r="L3" i="43"/>
  <c r="V76" i="43"/>
  <c r="T76" i="43"/>
  <c r="M76" i="43"/>
  <c r="V61" i="43"/>
  <c r="T61" i="43"/>
  <c r="M61" i="43"/>
  <c r="V60" i="43"/>
  <c r="T60" i="43"/>
  <c r="M60" i="43"/>
  <c r="V48" i="43"/>
  <c r="T48" i="43"/>
  <c r="M48" i="43"/>
  <c r="V69" i="43"/>
  <c r="T69" i="43"/>
  <c r="M69" i="43"/>
  <c r="M63" i="43"/>
  <c r="M62" i="43"/>
  <c r="M64" i="43"/>
  <c r="V63" i="43" l="1"/>
  <c r="T63" i="43"/>
  <c r="V3" i="43" l="1"/>
  <c r="U70" i="41"/>
  <c r="S70" i="41"/>
  <c r="T8" i="41"/>
  <c r="V64" i="41"/>
  <c r="T64" i="41"/>
  <c r="M64" i="41"/>
  <c r="L64" i="41"/>
  <c r="T62" i="41"/>
  <c r="T63" i="41"/>
  <c r="T61" i="41"/>
  <c r="T60" i="41"/>
  <c r="T59" i="41"/>
  <c r="T58" i="41"/>
  <c r="N81" i="43" l="1"/>
  <c r="N83" i="43"/>
  <c r="M83" i="41"/>
  <c r="N82" i="43" l="1"/>
  <c r="U81" i="43"/>
  <c r="R81" i="43"/>
  <c r="P81" i="43"/>
  <c r="O81" i="43"/>
  <c r="J81" i="43"/>
  <c r="I81" i="43"/>
  <c r="H81" i="43"/>
  <c r="B81" i="43"/>
  <c r="V68" i="43"/>
  <c r="T68" i="43"/>
  <c r="M68" i="43"/>
  <c r="V59" i="43"/>
  <c r="T59" i="43"/>
  <c r="M59" i="43"/>
  <c r="V67" i="43"/>
  <c r="T67" i="43"/>
  <c r="M67" i="43"/>
  <c r="V66" i="43"/>
  <c r="T66" i="43"/>
  <c r="M66" i="43"/>
  <c r="V65" i="43"/>
  <c r="T65" i="43"/>
  <c r="M65" i="43"/>
  <c r="V64" i="43"/>
  <c r="T64" i="43"/>
  <c r="V62" i="43"/>
  <c r="T62" i="43"/>
  <c r="V51" i="43"/>
  <c r="T51" i="43"/>
  <c r="M51" i="43"/>
  <c r="V46" i="43"/>
  <c r="T46" i="43"/>
  <c r="M46" i="43"/>
  <c r="V45" i="43"/>
  <c r="T45" i="43"/>
  <c r="M45" i="43"/>
  <c r="V47" i="43"/>
  <c r="T47" i="43"/>
  <c r="M47" i="43"/>
  <c r="V54" i="43"/>
  <c r="T54" i="43"/>
  <c r="M54" i="43"/>
  <c r="V32" i="43"/>
  <c r="T32" i="43"/>
  <c r="M32" i="43"/>
  <c r="V50" i="43"/>
  <c r="T50" i="43"/>
  <c r="M50" i="43"/>
  <c r="V58" i="43"/>
  <c r="T58" i="43"/>
  <c r="M58" i="43"/>
  <c r="V57" i="43"/>
  <c r="T57" i="43"/>
  <c r="M57" i="43"/>
  <c r="V53" i="43"/>
  <c r="T53" i="43"/>
  <c r="M53" i="43"/>
  <c r="V49" i="43"/>
  <c r="T49" i="43"/>
  <c r="M49" i="43"/>
  <c r="V37" i="43"/>
  <c r="T37" i="43"/>
  <c r="M37" i="43"/>
  <c r="V56" i="43"/>
  <c r="T56" i="43"/>
  <c r="M56" i="43"/>
  <c r="V55" i="43"/>
  <c r="T55" i="43"/>
  <c r="M55" i="43"/>
  <c r="V52" i="43"/>
  <c r="T52" i="43"/>
  <c r="M52" i="43"/>
  <c r="V36" i="43"/>
  <c r="T36" i="43"/>
  <c r="M36" i="43"/>
  <c r="V44" i="43"/>
  <c r="T44" i="43"/>
  <c r="M44" i="43"/>
  <c r="V43" i="43"/>
  <c r="T43" i="43"/>
  <c r="M43" i="43"/>
  <c r="V40" i="43"/>
  <c r="T40" i="43"/>
  <c r="M40" i="43"/>
  <c r="V42" i="43"/>
  <c r="T42" i="43"/>
  <c r="M42" i="43"/>
  <c r="V41" i="43"/>
  <c r="T41" i="43"/>
  <c r="M41" i="43"/>
  <c r="V39" i="43"/>
  <c r="T39" i="43"/>
  <c r="M39" i="43"/>
  <c r="V25" i="43"/>
  <c r="T25" i="43"/>
  <c r="M25" i="43"/>
  <c r="V38" i="43"/>
  <c r="T38" i="43"/>
  <c r="M38" i="43"/>
  <c r="V35" i="43"/>
  <c r="T35" i="43"/>
  <c r="M35" i="43"/>
  <c r="V29" i="43"/>
  <c r="T29" i="43"/>
  <c r="M29" i="43"/>
  <c r="V27" i="43"/>
  <c r="T27" i="43"/>
  <c r="M27" i="43"/>
  <c r="V28" i="43"/>
  <c r="T28" i="43"/>
  <c r="M28" i="43"/>
  <c r="V31" i="43"/>
  <c r="T31" i="43"/>
  <c r="M31" i="43"/>
  <c r="V34" i="43"/>
  <c r="T34" i="43"/>
  <c r="M34" i="43"/>
  <c r="V24" i="43"/>
  <c r="T24" i="43"/>
  <c r="M24" i="43"/>
  <c r="V23" i="43"/>
  <c r="T23" i="43"/>
  <c r="M23" i="43"/>
  <c r="V21" i="43"/>
  <c r="T21" i="43"/>
  <c r="M21" i="43"/>
  <c r="V30" i="43"/>
  <c r="T30" i="43"/>
  <c r="M30" i="43"/>
  <c r="V26" i="43"/>
  <c r="T26" i="43"/>
  <c r="M26" i="43"/>
  <c r="V33" i="43"/>
  <c r="T33" i="43"/>
  <c r="M33" i="43"/>
  <c r="V22" i="43"/>
  <c r="T22" i="43"/>
  <c r="M22" i="43"/>
  <c r="V16" i="43"/>
  <c r="T16" i="43"/>
  <c r="M16" i="43"/>
  <c r="V20" i="43"/>
  <c r="T20" i="43"/>
  <c r="M20" i="43"/>
  <c r="V19" i="43"/>
  <c r="T19" i="43"/>
  <c r="M19" i="43"/>
  <c r="V15" i="43"/>
  <c r="T15" i="43"/>
  <c r="M15" i="43"/>
  <c r="V14" i="43"/>
  <c r="T14" i="43"/>
  <c r="M14" i="43"/>
  <c r="V13" i="43"/>
  <c r="T13" i="43"/>
  <c r="M13" i="43"/>
  <c r="V12" i="43"/>
  <c r="T12" i="43"/>
  <c r="M12" i="43"/>
  <c r="V18" i="43"/>
  <c r="T18" i="43"/>
  <c r="M18" i="43"/>
  <c r="V17" i="43"/>
  <c r="T17" i="43"/>
  <c r="M17" i="43"/>
  <c r="V11" i="43"/>
  <c r="T11" i="43"/>
  <c r="M11" i="43"/>
  <c r="V10" i="43"/>
  <c r="T10" i="43"/>
  <c r="M10" i="43"/>
  <c r="V9" i="43"/>
  <c r="T9" i="43"/>
  <c r="M9" i="43"/>
  <c r="V8" i="43"/>
  <c r="T8" i="43"/>
  <c r="M8" i="43"/>
  <c r="V7" i="43"/>
  <c r="T7" i="43"/>
  <c r="M7" i="43"/>
  <c r="V6" i="43"/>
  <c r="T6" i="43"/>
  <c r="M6" i="43"/>
  <c r="V5" i="43"/>
  <c r="T5" i="43"/>
  <c r="M5" i="43"/>
  <c r="V4" i="43"/>
  <c r="T4" i="43"/>
  <c r="M4" i="43"/>
  <c r="T3" i="43"/>
  <c r="M3" i="43"/>
  <c r="D3" i="43"/>
  <c r="C3" i="43"/>
  <c r="V81" i="43" l="1"/>
  <c r="T81" i="43"/>
  <c r="R86" i="43" s="1"/>
  <c r="N71" i="41" l="1"/>
  <c r="C57" i="41" l="1"/>
  <c r="V53" i="41"/>
  <c r="T53" i="41"/>
  <c r="M53" i="41"/>
  <c r="L53" i="41"/>
  <c r="D53" i="41"/>
  <c r="C53" i="41"/>
  <c r="V4" i="41" l="1"/>
  <c r="V5" i="41"/>
  <c r="V6" i="41"/>
  <c r="V7" i="41"/>
  <c r="V8" i="41"/>
  <c r="V9" i="41"/>
  <c r="V10" i="41"/>
  <c r="V11" i="41"/>
  <c r="V12" i="41"/>
  <c r="V13" i="41"/>
  <c r="V14" i="41"/>
  <c r="V15" i="41"/>
  <c r="V16" i="41"/>
  <c r="V17" i="41"/>
  <c r="V18" i="41"/>
  <c r="V19" i="41"/>
  <c r="V20" i="41"/>
  <c r="V21" i="41"/>
  <c r="V22" i="41"/>
  <c r="V23" i="41"/>
  <c r="V24" i="41"/>
  <c r="V25" i="41"/>
  <c r="V26" i="41"/>
  <c r="V27" i="41"/>
  <c r="V28" i="41"/>
  <c r="V29" i="41"/>
  <c r="V30" i="41"/>
  <c r="V31" i="41"/>
  <c r="V32" i="41"/>
  <c r="V33" i="41"/>
  <c r="V34" i="41"/>
  <c r="V35" i="41"/>
  <c r="V36" i="41"/>
  <c r="V37" i="41"/>
  <c r="V38" i="41"/>
  <c r="V39" i="41"/>
  <c r="V40" i="41"/>
  <c r="V41" i="41"/>
  <c r="V42" i="41"/>
  <c r="V43" i="41"/>
  <c r="V44" i="41"/>
  <c r="V45" i="41"/>
  <c r="V46" i="41"/>
  <c r="V47" i="41"/>
  <c r="V48" i="41"/>
  <c r="V49" i="41"/>
  <c r="V50" i="41"/>
  <c r="V51" i="41"/>
  <c r="V52" i="41"/>
  <c r="V54" i="41"/>
  <c r="V55" i="41"/>
  <c r="V56" i="41"/>
  <c r="V57" i="41"/>
  <c r="V58" i="41"/>
  <c r="V59" i="41"/>
  <c r="V60" i="41"/>
  <c r="V61" i="41"/>
  <c r="V62" i="41"/>
  <c r="V63" i="41"/>
  <c r="V65" i="41"/>
  <c r="V3" i="41"/>
  <c r="P70" i="41" l="1"/>
  <c r="M62" i="41" l="1"/>
  <c r="L62" i="41"/>
  <c r="D62" i="41"/>
  <c r="C62" i="41"/>
  <c r="C59" i="41"/>
  <c r="D59" i="41"/>
  <c r="L59" i="41"/>
  <c r="M59" i="41"/>
  <c r="C60" i="41"/>
  <c r="D60" i="41"/>
  <c r="L60" i="41"/>
  <c r="M60" i="41"/>
  <c r="C61" i="41"/>
  <c r="D61" i="41"/>
  <c r="L61" i="41"/>
  <c r="M61" i="41"/>
  <c r="C63" i="41"/>
  <c r="D63" i="41"/>
  <c r="L63" i="41"/>
  <c r="M63" i="41"/>
  <c r="T4" i="41"/>
  <c r="T5" i="41"/>
  <c r="T6" i="41"/>
  <c r="T7" i="41"/>
  <c r="T9" i="41"/>
  <c r="T10" i="41"/>
  <c r="T11" i="41"/>
  <c r="T12" i="41"/>
  <c r="T13" i="41"/>
  <c r="T14" i="41"/>
  <c r="T15" i="41"/>
  <c r="T16" i="41"/>
  <c r="T17" i="41"/>
  <c r="T18" i="41"/>
  <c r="T19" i="41"/>
  <c r="T20" i="41"/>
  <c r="T21" i="41"/>
  <c r="T22" i="41"/>
  <c r="T23" i="41"/>
  <c r="T24" i="41"/>
  <c r="T25" i="41"/>
  <c r="T26" i="41"/>
  <c r="T27" i="41"/>
  <c r="T28" i="41"/>
  <c r="T29" i="41"/>
  <c r="T30" i="41"/>
  <c r="T31" i="41"/>
  <c r="T32" i="41"/>
  <c r="T33" i="41"/>
  <c r="T34" i="41"/>
  <c r="T35" i="41"/>
  <c r="T36" i="41"/>
  <c r="T37" i="41"/>
  <c r="T38" i="41"/>
  <c r="T39" i="41"/>
  <c r="T40" i="41"/>
  <c r="T41" i="41"/>
  <c r="T42" i="41"/>
  <c r="T43" i="41"/>
  <c r="T44" i="41"/>
  <c r="T45" i="41"/>
  <c r="T46" i="41"/>
  <c r="T47" i="41"/>
  <c r="T48" i="41"/>
  <c r="T49" i="41"/>
  <c r="T50" i="41"/>
  <c r="T51" i="41"/>
  <c r="T52" i="41"/>
  <c r="T54" i="41"/>
  <c r="T55" i="41"/>
  <c r="T56" i="41"/>
  <c r="T57" i="41"/>
  <c r="T65" i="41"/>
  <c r="C4" i="41"/>
  <c r="D4" i="41"/>
  <c r="C5" i="41"/>
  <c r="D5" i="41"/>
  <c r="C6" i="41"/>
  <c r="D6" i="41"/>
  <c r="C7" i="41"/>
  <c r="D7" i="41"/>
  <c r="C8" i="41"/>
  <c r="D8" i="41"/>
  <c r="C9" i="41"/>
  <c r="D9" i="41"/>
  <c r="C10" i="41"/>
  <c r="D10" i="41"/>
  <c r="C11" i="41"/>
  <c r="D11" i="41"/>
  <c r="C12" i="41"/>
  <c r="D12" i="41"/>
  <c r="C13" i="41"/>
  <c r="D13" i="41"/>
  <c r="C14" i="41"/>
  <c r="D14" i="41"/>
  <c r="C15" i="41"/>
  <c r="D15" i="41"/>
  <c r="C16" i="41"/>
  <c r="D16" i="41"/>
  <c r="C17" i="41"/>
  <c r="D17" i="41"/>
  <c r="C18" i="41"/>
  <c r="D18" i="41"/>
  <c r="C19" i="41"/>
  <c r="D19" i="41"/>
  <c r="C20" i="41"/>
  <c r="D20" i="41"/>
  <c r="C21" i="41"/>
  <c r="D21" i="41"/>
  <c r="C22" i="41"/>
  <c r="D22" i="41"/>
  <c r="C23" i="41"/>
  <c r="D23" i="41"/>
  <c r="C24" i="41"/>
  <c r="D24" i="41"/>
  <c r="C25" i="41"/>
  <c r="D25" i="41"/>
  <c r="C26" i="41"/>
  <c r="D26" i="41"/>
  <c r="C27" i="41"/>
  <c r="D27" i="41"/>
  <c r="C28" i="41"/>
  <c r="D28" i="41"/>
  <c r="C29" i="41"/>
  <c r="D29" i="41"/>
  <c r="C30" i="41"/>
  <c r="D30" i="41"/>
  <c r="C31" i="41"/>
  <c r="D31" i="41"/>
  <c r="C32" i="41"/>
  <c r="D32" i="41"/>
  <c r="C33" i="41"/>
  <c r="D33" i="41"/>
  <c r="C34" i="41"/>
  <c r="D34" i="41"/>
  <c r="C35" i="41"/>
  <c r="D35" i="41"/>
  <c r="C36" i="41"/>
  <c r="D36" i="41"/>
  <c r="C37" i="41"/>
  <c r="D37" i="41"/>
  <c r="C38" i="41"/>
  <c r="D38" i="41"/>
  <c r="C39" i="41"/>
  <c r="D39" i="41"/>
  <c r="C40" i="41"/>
  <c r="D40" i="41"/>
  <c r="C41" i="41"/>
  <c r="D41" i="41"/>
  <c r="C42" i="41"/>
  <c r="D42" i="41"/>
  <c r="C43" i="41"/>
  <c r="D43" i="41"/>
  <c r="C44" i="41"/>
  <c r="D44" i="41"/>
  <c r="C45" i="41"/>
  <c r="D45" i="41"/>
  <c r="C46" i="41"/>
  <c r="D46" i="41"/>
  <c r="C47" i="41"/>
  <c r="D47" i="41"/>
  <c r="C48" i="41"/>
  <c r="D48" i="41"/>
  <c r="C49" i="41"/>
  <c r="D49" i="41"/>
  <c r="C50" i="41"/>
  <c r="D50" i="41"/>
  <c r="C51" i="41"/>
  <c r="D51" i="41"/>
  <c r="C52" i="41"/>
  <c r="D52" i="41"/>
  <c r="C54" i="41"/>
  <c r="D54" i="41"/>
  <c r="C55" i="41"/>
  <c r="D55" i="41"/>
  <c r="C56" i="41"/>
  <c r="D56" i="41"/>
  <c r="D57" i="41"/>
  <c r="C58" i="41"/>
  <c r="D58" i="41"/>
  <c r="L4" i="41" l="1"/>
  <c r="M4" i="41"/>
  <c r="L5" i="41"/>
  <c r="M5" i="41"/>
  <c r="L6" i="41"/>
  <c r="M6" i="41"/>
  <c r="L7" i="41"/>
  <c r="M7" i="41"/>
  <c r="L8" i="41"/>
  <c r="M8" i="41"/>
  <c r="L9" i="41"/>
  <c r="M9" i="41"/>
  <c r="L10" i="41"/>
  <c r="M10" i="41"/>
  <c r="L11" i="41"/>
  <c r="M11" i="41"/>
  <c r="L12" i="41"/>
  <c r="M12" i="41"/>
  <c r="L13" i="41"/>
  <c r="M13" i="41"/>
  <c r="L14" i="41"/>
  <c r="M14" i="41"/>
  <c r="L15" i="41"/>
  <c r="M15" i="41"/>
  <c r="L16" i="41"/>
  <c r="M16" i="41"/>
  <c r="L17" i="41"/>
  <c r="M17" i="41"/>
  <c r="L18" i="41"/>
  <c r="M18" i="41"/>
  <c r="L19" i="41"/>
  <c r="M19" i="41"/>
  <c r="L20" i="41"/>
  <c r="M20" i="41"/>
  <c r="L21" i="41"/>
  <c r="M21" i="41"/>
  <c r="L22" i="41"/>
  <c r="M22" i="41"/>
  <c r="L23" i="41"/>
  <c r="M23" i="41"/>
  <c r="L24" i="41"/>
  <c r="M24" i="41"/>
  <c r="L25" i="41"/>
  <c r="M25" i="41"/>
  <c r="L26" i="41"/>
  <c r="M26" i="41"/>
  <c r="L27" i="41"/>
  <c r="M27" i="41"/>
  <c r="L28" i="41"/>
  <c r="M28" i="41"/>
  <c r="L29" i="41"/>
  <c r="M29" i="41"/>
  <c r="L30" i="41"/>
  <c r="M30" i="41"/>
  <c r="L31" i="41"/>
  <c r="M31" i="41"/>
  <c r="L32" i="41"/>
  <c r="M32" i="41"/>
  <c r="L33" i="41"/>
  <c r="M33" i="41"/>
  <c r="L34" i="41"/>
  <c r="M34" i="41"/>
  <c r="L35" i="41"/>
  <c r="M35" i="41"/>
  <c r="L36" i="41"/>
  <c r="M36" i="41"/>
  <c r="L37" i="41"/>
  <c r="M37" i="41"/>
  <c r="L38" i="41"/>
  <c r="M38" i="41"/>
  <c r="L39" i="41"/>
  <c r="M39" i="41"/>
  <c r="L40" i="41"/>
  <c r="M40" i="41"/>
  <c r="L41" i="41"/>
  <c r="M41" i="41"/>
  <c r="L42" i="41"/>
  <c r="M42" i="41"/>
  <c r="L43" i="41"/>
  <c r="M43" i="41"/>
  <c r="L44" i="41"/>
  <c r="M44" i="41"/>
  <c r="L45" i="41"/>
  <c r="M45" i="41"/>
  <c r="L46" i="41"/>
  <c r="M46" i="41"/>
  <c r="L47" i="41"/>
  <c r="M47" i="41"/>
  <c r="L48" i="41"/>
  <c r="M48" i="41"/>
  <c r="L49" i="41"/>
  <c r="M49" i="41"/>
  <c r="L50" i="41"/>
  <c r="M50" i="41"/>
  <c r="L51" i="41"/>
  <c r="M51" i="41"/>
  <c r="L52" i="41"/>
  <c r="M52" i="41"/>
  <c r="L65" i="41"/>
  <c r="M65" i="41"/>
  <c r="L58" i="41"/>
  <c r="M58" i="41"/>
  <c r="L54" i="41"/>
  <c r="M54" i="41"/>
  <c r="L55" i="41"/>
  <c r="M55" i="41"/>
  <c r="L56" i="41"/>
  <c r="M56" i="41"/>
  <c r="L57" i="41"/>
  <c r="M57" i="41"/>
  <c r="B70" i="41"/>
  <c r="N70" i="41"/>
  <c r="M84" i="41" s="1"/>
  <c r="L3" i="41" l="1"/>
  <c r="S53" i="40" l="1"/>
  <c r="U4" i="40" l="1"/>
  <c r="U5" i="40"/>
  <c r="U6" i="40"/>
  <c r="U7" i="40"/>
  <c r="U8" i="40"/>
  <c r="U9" i="40"/>
  <c r="U10" i="40"/>
  <c r="U11" i="40"/>
  <c r="U12" i="40"/>
  <c r="U13" i="40"/>
  <c r="U14" i="40"/>
  <c r="U15" i="40"/>
  <c r="U16" i="40"/>
  <c r="U17" i="40"/>
  <c r="U18" i="40"/>
  <c r="U19" i="40"/>
  <c r="U20" i="40"/>
  <c r="U21" i="40"/>
  <c r="U22" i="40"/>
  <c r="U23" i="40"/>
  <c r="U24" i="40"/>
  <c r="U25" i="40"/>
  <c r="U26" i="40"/>
  <c r="U27" i="40"/>
  <c r="U28" i="40"/>
  <c r="U29" i="40"/>
  <c r="U30" i="40"/>
  <c r="U31" i="40"/>
  <c r="U32" i="40"/>
  <c r="U33" i="40"/>
  <c r="U34" i="40"/>
  <c r="U35" i="40"/>
  <c r="U36" i="40"/>
  <c r="U37" i="40"/>
  <c r="U38" i="40"/>
  <c r="U39" i="40"/>
  <c r="U40" i="40"/>
  <c r="U41" i="40"/>
  <c r="U42" i="40"/>
  <c r="U43" i="40"/>
  <c r="U44" i="40"/>
  <c r="U45" i="40"/>
  <c r="U46" i="40"/>
  <c r="U47" i="40"/>
  <c r="U48" i="40"/>
  <c r="U49" i="40"/>
  <c r="U50" i="40"/>
  <c r="U51" i="40"/>
  <c r="U52" i="40"/>
  <c r="U53" i="40"/>
  <c r="U54" i="40"/>
  <c r="U55" i="40"/>
  <c r="R60" i="40"/>
  <c r="Q60" i="40"/>
  <c r="T60" i="40"/>
  <c r="S54" i="40" l="1"/>
  <c r="M54" i="40"/>
  <c r="L54" i="40"/>
  <c r="D54" i="40"/>
  <c r="C54" i="40"/>
  <c r="S55" i="40"/>
  <c r="S52" i="40"/>
  <c r="C4" i="40" l="1"/>
  <c r="D4" i="40"/>
  <c r="C5" i="40"/>
  <c r="D5" i="40"/>
  <c r="C6" i="40"/>
  <c r="D6" i="40"/>
  <c r="C7" i="40"/>
  <c r="D7" i="40"/>
  <c r="C8" i="40"/>
  <c r="D8" i="40"/>
  <c r="C9" i="40"/>
  <c r="D9" i="40"/>
  <c r="C10" i="40"/>
  <c r="D10" i="40"/>
  <c r="C11" i="40"/>
  <c r="D11" i="40"/>
  <c r="C12" i="40"/>
  <c r="D12" i="40"/>
  <c r="C13" i="40"/>
  <c r="D13" i="40"/>
  <c r="C14" i="40"/>
  <c r="D14" i="40"/>
  <c r="C15" i="40"/>
  <c r="D15" i="40"/>
  <c r="C16" i="40"/>
  <c r="D16" i="40"/>
  <c r="C17" i="40"/>
  <c r="D17" i="40"/>
  <c r="C18" i="40"/>
  <c r="D18" i="40"/>
  <c r="C19" i="40"/>
  <c r="D19" i="40"/>
  <c r="C20" i="40"/>
  <c r="D20" i="40"/>
  <c r="C21" i="40"/>
  <c r="D21" i="40"/>
  <c r="C22" i="40"/>
  <c r="D22" i="40"/>
  <c r="C23" i="40"/>
  <c r="D23" i="40"/>
  <c r="C24" i="40"/>
  <c r="D24" i="40"/>
  <c r="C25" i="40"/>
  <c r="D25" i="40"/>
  <c r="C26" i="40"/>
  <c r="D26" i="40"/>
  <c r="C27" i="40"/>
  <c r="D27" i="40"/>
  <c r="C28" i="40"/>
  <c r="D28" i="40"/>
  <c r="C29" i="40"/>
  <c r="D29" i="40"/>
  <c r="C30" i="40"/>
  <c r="D30" i="40"/>
  <c r="C31" i="40"/>
  <c r="D31" i="40"/>
  <c r="C32" i="40"/>
  <c r="D32" i="40"/>
  <c r="C33" i="40"/>
  <c r="D33" i="40"/>
  <c r="C34" i="40"/>
  <c r="D34" i="40"/>
  <c r="C35" i="40"/>
  <c r="D35" i="40"/>
  <c r="C36" i="40"/>
  <c r="D36" i="40"/>
  <c r="C37" i="40"/>
  <c r="D37" i="40"/>
  <c r="C38" i="40"/>
  <c r="D38" i="40"/>
  <c r="C39" i="40"/>
  <c r="D39" i="40"/>
  <c r="C40" i="40"/>
  <c r="D40" i="40"/>
  <c r="C41" i="40"/>
  <c r="D41" i="40"/>
  <c r="C42" i="40"/>
  <c r="D42" i="40"/>
  <c r="C43" i="40"/>
  <c r="D43" i="40"/>
  <c r="C44" i="40"/>
  <c r="D44" i="40"/>
  <c r="C45" i="40"/>
  <c r="D45" i="40"/>
  <c r="C46" i="40"/>
  <c r="D46" i="40"/>
  <c r="C47" i="40"/>
  <c r="D47" i="40"/>
  <c r="C48" i="40"/>
  <c r="D48" i="40"/>
  <c r="C49" i="40"/>
  <c r="D49" i="40"/>
  <c r="C50" i="40"/>
  <c r="D50" i="40"/>
  <c r="C51" i="40"/>
  <c r="D51" i="40"/>
  <c r="C52" i="40"/>
  <c r="D52" i="40"/>
  <c r="C53" i="40"/>
  <c r="D53" i="40"/>
  <c r="T3" i="41" l="1"/>
  <c r="T70" i="41" s="1"/>
  <c r="N72" i="41" l="1"/>
  <c r="R70" i="41"/>
  <c r="Q70" i="41"/>
  <c r="O70" i="41"/>
  <c r="J70" i="41"/>
  <c r="I70" i="41"/>
  <c r="H70" i="41"/>
  <c r="V70" i="41"/>
  <c r="M3" i="41"/>
  <c r="D3" i="41"/>
  <c r="C3" i="41"/>
  <c r="L46" i="40" l="1"/>
  <c r="M46" i="40"/>
  <c r="L53" i="40"/>
  <c r="M53" i="40"/>
  <c r="N61" i="40" l="1"/>
  <c r="N70" i="40"/>
  <c r="L4" i="40" l="1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36" i="40"/>
  <c r="L37" i="40"/>
  <c r="L38" i="40"/>
  <c r="L39" i="40"/>
  <c r="L40" i="40"/>
  <c r="L41" i="40"/>
  <c r="L42" i="40"/>
  <c r="L43" i="40"/>
  <c r="L44" i="40"/>
  <c r="L45" i="40"/>
  <c r="L47" i="40"/>
  <c r="L48" i="40"/>
  <c r="L49" i="40"/>
  <c r="L50" i="40"/>
  <c r="L51" i="40"/>
  <c r="L55" i="40"/>
  <c r="L52" i="40"/>
  <c r="L3" i="40"/>
  <c r="M52" i="40"/>
  <c r="M55" i="40" l="1"/>
  <c r="P60" i="40" l="1"/>
  <c r="N62" i="40" l="1"/>
  <c r="N60" i="40"/>
  <c r="S39" i="40" l="1"/>
  <c r="M39" i="40"/>
  <c r="S38" i="40"/>
  <c r="M38" i="40"/>
  <c r="S37" i="40"/>
  <c r="M37" i="40"/>
  <c r="S36" i="40"/>
  <c r="M36" i="40"/>
  <c r="S35" i="40"/>
  <c r="M35" i="40"/>
  <c r="S34" i="40"/>
  <c r="M34" i="40"/>
  <c r="S33" i="40"/>
  <c r="M33" i="40"/>
  <c r="S32" i="40"/>
  <c r="M32" i="40"/>
  <c r="S31" i="40"/>
  <c r="M31" i="40"/>
  <c r="M4" i="40" l="1"/>
  <c r="M5" i="40"/>
  <c r="M6" i="40"/>
  <c r="M7" i="40"/>
  <c r="M8" i="40"/>
  <c r="M9" i="40"/>
  <c r="M10" i="40"/>
  <c r="M11" i="40"/>
  <c r="M12" i="40"/>
  <c r="M13" i="40"/>
  <c r="M14" i="40"/>
  <c r="M15" i="40"/>
  <c r="M16" i="40"/>
  <c r="M17" i="40"/>
  <c r="M18" i="40"/>
  <c r="M19" i="40"/>
  <c r="M20" i="40"/>
  <c r="M21" i="40"/>
  <c r="M22" i="40"/>
  <c r="M23" i="40"/>
  <c r="M24" i="40"/>
  <c r="M25" i="40"/>
  <c r="M41" i="40"/>
  <c r="M42" i="40"/>
  <c r="M26" i="40"/>
  <c r="M43" i="40"/>
  <c r="M40" i="40"/>
  <c r="M27" i="40"/>
  <c r="M28" i="40"/>
  <c r="M44" i="40"/>
  <c r="M29" i="40"/>
  <c r="M30" i="40"/>
  <c r="M45" i="40"/>
  <c r="M47" i="40"/>
  <c r="M48" i="40"/>
  <c r="M49" i="40"/>
  <c r="M50" i="40"/>
  <c r="M51" i="40"/>
  <c r="L5" i="39" l="1"/>
  <c r="L6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M68" i="39" l="1"/>
  <c r="S54" i="39"/>
  <c r="S53" i="39"/>
  <c r="S52" i="39"/>
  <c r="S51" i="39"/>
  <c r="S50" i="39"/>
  <c r="S49" i="39"/>
  <c r="S48" i="39"/>
  <c r="S47" i="39"/>
  <c r="S46" i="39"/>
  <c r="S45" i="39"/>
  <c r="S44" i="39"/>
  <c r="S43" i="39"/>
  <c r="S42" i="39"/>
  <c r="S41" i="39"/>
  <c r="S40" i="39"/>
  <c r="S39" i="39"/>
  <c r="S38" i="39"/>
  <c r="S37" i="39"/>
  <c r="S36" i="39"/>
  <c r="S35" i="39"/>
  <c r="S34" i="39"/>
  <c r="S33" i="39"/>
  <c r="S32" i="39"/>
  <c r="S31" i="39"/>
  <c r="S30" i="39"/>
  <c r="S29" i="39"/>
  <c r="S28" i="39"/>
  <c r="S27" i="39"/>
  <c r="S26" i="39"/>
  <c r="S25" i="39"/>
  <c r="S24" i="39"/>
  <c r="S23" i="39"/>
  <c r="S22" i="39"/>
  <c r="S21" i="39"/>
  <c r="S20" i="39"/>
  <c r="S19" i="39"/>
  <c r="S18" i="39"/>
  <c r="S17" i="39"/>
  <c r="S16" i="39"/>
  <c r="S15" i="39"/>
  <c r="S14" i="39"/>
  <c r="S13" i="39"/>
  <c r="S12" i="39"/>
  <c r="S11" i="39"/>
  <c r="S10" i="39"/>
  <c r="S9" i="39"/>
  <c r="S8" i="39"/>
  <c r="S7" i="39"/>
  <c r="S6" i="39"/>
  <c r="S5" i="39"/>
  <c r="S4" i="39"/>
  <c r="S3" i="39"/>
  <c r="O60" i="40" l="1"/>
  <c r="J60" i="40"/>
  <c r="I60" i="40"/>
  <c r="H60" i="40"/>
  <c r="B60" i="40"/>
  <c r="S51" i="40"/>
  <c r="S50" i="40"/>
  <c r="S49" i="40"/>
  <c r="S48" i="40"/>
  <c r="S47" i="40"/>
  <c r="S45" i="40"/>
  <c r="S30" i="40"/>
  <c r="S29" i="40"/>
  <c r="S44" i="40"/>
  <c r="S28" i="40"/>
  <c r="S27" i="40"/>
  <c r="S40" i="40"/>
  <c r="S43" i="40"/>
  <c r="S26" i="40"/>
  <c r="S42" i="40"/>
  <c r="S41" i="40"/>
  <c r="S17" i="40"/>
  <c r="S21" i="40"/>
  <c r="S16" i="40"/>
  <c r="S25" i="40"/>
  <c r="S15" i="40"/>
  <c r="S14" i="40"/>
  <c r="S20" i="40"/>
  <c r="S24" i="40"/>
  <c r="S13" i="40"/>
  <c r="S23" i="40"/>
  <c r="S19" i="40"/>
  <c r="S12" i="40"/>
  <c r="S22" i="40"/>
  <c r="S18" i="40"/>
  <c r="S11" i="40"/>
  <c r="S10" i="40"/>
  <c r="S9" i="40"/>
  <c r="S8" i="40"/>
  <c r="S7" i="40"/>
  <c r="S6" i="40"/>
  <c r="S5" i="40"/>
  <c r="S4" i="40"/>
  <c r="U3" i="40"/>
  <c r="U60" i="40" s="1"/>
  <c r="S3" i="40"/>
  <c r="M3" i="40"/>
  <c r="D3" i="40"/>
  <c r="C3" i="40"/>
  <c r="S60" i="40" l="1"/>
  <c r="R64" i="40" s="1"/>
  <c r="U3" i="39"/>
  <c r="M3" i="39"/>
  <c r="L3" i="39"/>
  <c r="D3" i="39"/>
  <c r="C3" i="39"/>
  <c r="D54" i="39" l="1"/>
  <c r="C54" i="39"/>
  <c r="C44" i="39" l="1"/>
  <c r="D44" i="39"/>
  <c r="C45" i="39"/>
  <c r="D45" i="39"/>
  <c r="C46" i="39"/>
  <c r="D46" i="39"/>
  <c r="C47" i="39"/>
  <c r="D47" i="39"/>
  <c r="C48" i="39"/>
  <c r="D48" i="39"/>
  <c r="C49" i="39"/>
  <c r="D49" i="39"/>
  <c r="C50" i="39"/>
  <c r="D50" i="39"/>
  <c r="C51" i="39"/>
  <c r="D51" i="39"/>
  <c r="C52" i="39"/>
  <c r="D52" i="39"/>
  <c r="C53" i="39"/>
  <c r="D53" i="39"/>
  <c r="L4" i="39"/>
  <c r="U25" i="39"/>
  <c r="U12" i="39"/>
  <c r="U11" i="39"/>
  <c r="U52" i="39"/>
  <c r="M52" i="39"/>
  <c r="U51" i="39"/>
  <c r="M51" i="39"/>
  <c r="U50" i="39"/>
  <c r="M50" i="39"/>
  <c r="U49" i="39"/>
  <c r="M49" i="39"/>
  <c r="U48" i="39"/>
  <c r="M48" i="39"/>
  <c r="U47" i="39"/>
  <c r="M47" i="39"/>
  <c r="U46" i="39"/>
  <c r="M46" i="39"/>
  <c r="U45" i="39"/>
  <c r="M45" i="39"/>
  <c r="U44" i="39"/>
  <c r="M44" i="39"/>
  <c r="N59" i="39" l="1"/>
  <c r="N65" i="38" l="1"/>
  <c r="C4" i="39"/>
  <c r="D4" i="39"/>
  <c r="C5" i="39"/>
  <c r="D5" i="39"/>
  <c r="C6" i="39"/>
  <c r="D6" i="39"/>
  <c r="C7" i="39"/>
  <c r="D7" i="39"/>
  <c r="C8" i="39"/>
  <c r="D8" i="39"/>
  <c r="C9" i="39"/>
  <c r="D9" i="39"/>
  <c r="C10" i="39"/>
  <c r="D10" i="39"/>
  <c r="C11" i="39"/>
  <c r="D11" i="39"/>
  <c r="C12" i="39"/>
  <c r="D12" i="39"/>
  <c r="C13" i="39"/>
  <c r="D13" i="39"/>
  <c r="C14" i="39"/>
  <c r="D14" i="39"/>
  <c r="C15" i="39"/>
  <c r="D15" i="39"/>
  <c r="C16" i="39"/>
  <c r="D16" i="39"/>
  <c r="C17" i="39"/>
  <c r="D17" i="39"/>
  <c r="C18" i="39"/>
  <c r="D18" i="39"/>
  <c r="C19" i="39"/>
  <c r="D19" i="39"/>
  <c r="C20" i="39"/>
  <c r="D20" i="39"/>
  <c r="C21" i="39"/>
  <c r="D21" i="39"/>
  <c r="C22" i="39"/>
  <c r="D22" i="39"/>
  <c r="C23" i="39"/>
  <c r="D23" i="39"/>
  <c r="C24" i="39"/>
  <c r="D24" i="39"/>
  <c r="C25" i="39"/>
  <c r="D25" i="39"/>
  <c r="C26" i="39"/>
  <c r="D26" i="39"/>
  <c r="C27" i="39"/>
  <c r="D27" i="39"/>
  <c r="C28" i="39"/>
  <c r="D28" i="39"/>
  <c r="C29" i="39"/>
  <c r="D29" i="39"/>
  <c r="C30" i="39"/>
  <c r="D30" i="39"/>
  <c r="C31" i="39"/>
  <c r="D31" i="39"/>
  <c r="C32" i="39"/>
  <c r="D32" i="39"/>
  <c r="C33" i="39"/>
  <c r="D33" i="39"/>
  <c r="C34" i="39"/>
  <c r="D34" i="39"/>
  <c r="C35" i="39"/>
  <c r="D35" i="39"/>
  <c r="C36" i="39"/>
  <c r="D36" i="39"/>
  <c r="C37" i="39"/>
  <c r="D37" i="39"/>
  <c r="C38" i="39"/>
  <c r="D38" i="39"/>
  <c r="C39" i="39"/>
  <c r="D39" i="39"/>
  <c r="C40" i="39"/>
  <c r="D40" i="39"/>
  <c r="C41" i="39"/>
  <c r="D41" i="39"/>
  <c r="C42" i="39"/>
  <c r="D42" i="39"/>
  <c r="C43" i="39"/>
  <c r="D43" i="39"/>
  <c r="S57" i="38" l="1"/>
  <c r="S56" i="38"/>
  <c r="S55" i="38"/>
  <c r="S54" i="38"/>
  <c r="S53" i="38"/>
  <c r="S52" i="38"/>
  <c r="S51" i="38"/>
  <c r="S50" i="38"/>
  <c r="S49" i="38"/>
  <c r="S48" i="38"/>
  <c r="S47" i="38"/>
  <c r="S46" i="38"/>
  <c r="S45" i="38"/>
  <c r="S44" i="38"/>
  <c r="S43" i="38"/>
  <c r="S42" i="38"/>
  <c r="S41" i="38"/>
  <c r="S40" i="38"/>
  <c r="S39" i="38"/>
  <c r="S38" i="38"/>
  <c r="S37" i="38"/>
  <c r="S36" i="38"/>
  <c r="S35" i="38"/>
  <c r="S34" i="38"/>
  <c r="S33" i="38"/>
  <c r="S32" i="38"/>
  <c r="S31" i="38"/>
  <c r="S30" i="38"/>
  <c r="S29" i="38"/>
  <c r="S28" i="38"/>
  <c r="S27" i="38"/>
  <c r="S26" i="38"/>
  <c r="S25" i="38"/>
  <c r="S24" i="38"/>
  <c r="S23" i="38"/>
  <c r="S22" i="38"/>
  <c r="S21" i="38"/>
  <c r="S20" i="38"/>
  <c r="S19" i="38"/>
  <c r="S18" i="38"/>
  <c r="S17" i="38"/>
  <c r="S16" i="38"/>
  <c r="S15" i="38"/>
  <c r="S14" i="38"/>
  <c r="S13" i="38"/>
  <c r="R13" i="38"/>
  <c r="S12" i="38"/>
  <c r="S11" i="38"/>
  <c r="R11" i="38"/>
  <c r="S10" i="38"/>
  <c r="S9" i="38"/>
  <c r="S8" i="38"/>
  <c r="S7" i="38"/>
  <c r="S6" i="38"/>
  <c r="S5" i="38"/>
  <c r="S4" i="38"/>
  <c r="S3" i="38"/>
  <c r="U11" i="38" l="1"/>
  <c r="M13" i="39" l="1"/>
  <c r="N61" i="39"/>
  <c r="M63" i="39" s="1"/>
  <c r="N60" i="39"/>
  <c r="T59" i="39"/>
  <c r="R59" i="39"/>
  <c r="Q59" i="39"/>
  <c r="P59" i="39"/>
  <c r="O59" i="39"/>
  <c r="J59" i="39"/>
  <c r="I59" i="39"/>
  <c r="H59" i="39"/>
  <c r="B59" i="39"/>
  <c r="U54" i="39"/>
  <c r="M54" i="39"/>
  <c r="U53" i="39"/>
  <c r="M53" i="39"/>
  <c r="U31" i="39"/>
  <c r="M31" i="39"/>
  <c r="U30" i="39"/>
  <c r="M30" i="39"/>
  <c r="U38" i="39"/>
  <c r="M38" i="39"/>
  <c r="U33" i="39"/>
  <c r="M33" i="39"/>
  <c r="U43" i="39"/>
  <c r="M43" i="39"/>
  <c r="U42" i="39"/>
  <c r="M42" i="39"/>
  <c r="U37" i="39"/>
  <c r="M37" i="39"/>
  <c r="U34" i="39"/>
  <c r="M34" i="39"/>
  <c r="U32" i="39"/>
  <c r="M32" i="39"/>
  <c r="U29" i="39"/>
  <c r="M29" i="39"/>
  <c r="U28" i="39"/>
  <c r="M28" i="39"/>
  <c r="U41" i="39"/>
  <c r="M41" i="39"/>
  <c r="U36" i="39"/>
  <c r="M36" i="39"/>
  <c r="U35" i="39"/>
  <c r="M35" i="39"/>
  <c r="U40" i="39"/>
  <c r="M40" i="39"/>
  <c r="U39" i="39"/>
  <c r="M39" i="39"/>
  <c r="U5" i="39"/>
  <c r="M5" i="39"/>
  <c r="U27" i="39"/>
  <c r="M27" i="39"/>
  <c r="U19" i="39"/>
  <c r="M19" i="39"/>
  <c r="U14" i="39"/>
  <c r="M14" i="39"/>
  <c r="U26" i="39"/>
  <c r="M26" i="39"/>
  <c r="U4" i="39"/>
  <c r="M4" i="39"/>
  <c r="U15" i="39"/>
  <c r="M15" i="39"/>
  <c r="M25" i="39"/>
  <c r="M12" i="39"/>
  <c r="M11" i="39"/>
  <c r="U18" i="39"/>
  <c r="M18" i="39"/>
  <c r="U13" i="39"/>
  <c r="U24" i="39"/>
  <c r="M24" i="39"/>
  <c r="U17" i="39"/>
  <c r="M17" i="39"/>
  <c r="U23" i="39"/>
  <c r="M23" i="39"/>
  <c r="U22" i="39"/>
  <c r="M22" i="39"/>
  <c r="U21" i="39"/>
  <c r="M21" i="39"/>
  <c r="U20" i="39"/>
  <c r="M20" i="39"/>
  <c r="U16" i="39"/>
  <c r="M16" i="39"/>
  <c r="U10" i="39"/>
  <c r="M10" i="39"/>
  <c r="U9" i="39"/>
  <c r="M9" i="39"/>
  <c r="U8" i="39"/>
  <c r="M8" i="39"/>
  <c r="U7" i="39"/>
  <c r="M7" i="39"/>
  <c r="U6" i="39"/>
  <c r="M6" i="39"/>
  <c r="S59" i="39" l="1"/>
  <c r="U60" i="39" s="1"/>
  <c r="U59" i="39"/>
  <c r="N63" i="38"/>
  <c r="O63" i="38"/>
  <c r="U50" i="38" l="1"/>
  <c r="U51" i="38"/>
  <c r="U52" i="38"/>
  <c r="U53" i="38"/>
  <c r="U54" i="38"/>
  <c r="U55" i="38"/>
  <c r="U56" i="38"/>
  <c r="U57" i="38"/>
  <c r="C57" i="38" l="1"/>
  <c r="D57" i="38"/>
  <c r="L57" i="38"/>
  <c r="M57" i="38"/>
  <c r="C4" i="38" l="1"/>
  <c r="D4" i="38"/>
  <c r="C5" i="38"/>
  <c r="D5" i="38"/>
  <c r="C6" i="38"/>
  <c r="D6" i="38"/>
  <c r="C7" i="38"/>
  <c r="D7" i="38"/>
  <c r="C8" i="38"/>
  <c r="D8" i="38"/>
  <c r="C9" i="38"/>
  <c r="D9" i="38"/>
  <c r="C10" i="38"/>
  <c r="D10" i="38"/>
  <c r="C11" i="38"/>
  <c r="D11" i="38"/>
  <c r="C12" i="38"/>
  <c r="D12" i="38"/>
  <c r="C13" i="38"/>
  <c r="D13" i="38"/>
  <c r="C14" i="38"/>
  <c r="D14" i="38"/>
  <c r="C15" i="38"/>
  <c r="D15" i="38"/>
  <c r="C16" i="38"/>
  <c r="D16" i="38"/>
  <c r="C17" i="38"/>
  <c r="D17" i="38"/>
  <c r="C18" i="38"/>
  <c r="D18" i="38"/>
  <c r="C19" i="38"/>
  <c r="D19" i="38"/>
  <c r="C20" i="38"/>
  <c r="D20" i="38"/>
  <c r="C21" i="38"/>
  <c r="D21" i="38"/>
  <c r="C22" i="38"/>
  <c r="D22" i="38"/>
  <c r="C23" i="38"/>
  <c r="D23" i="38"/>
  <c r="C24" i="38"/>
  <c r="D24" i="38"/>
  <c r="C25" i="38"/>
  <c r="D25" i="38"/>
  <c r="C26" i="38"/>
  <c r="D26" i="38"/>
  <c r="C27" i="38"/>
  <c r="D27" i="38"/>
  <c r="C28" i="38"/>
  <c r="D28" i="38"/>
  <c r="C29" i="38"/>
  <c r="D29" i="38"/>
  <c r="C30" i="38"/>
  <c r="D30" i="38"/>
  <c r="C31" i="38"/>
  <c r="D31" i="38"/>
  <c r="C32" i="38"/>
  <c r="D32" i="38"/>
  <c r="C33" i="38"/>
  <c r="D33" i="38"/>
  <c r="C34" i="38"/>
  <c r="D34" i="38"/>
  <c r="C35" i="38"/>
  <c r="D35" i="38"/>
  <c r="C36" i="38"/>
  <c r="D36" i="38"/>
  <c r="C37" i="38"/>
  <c r="D37" i="38"/>
  <c r="C38" i="38"/>
  <c r="D38" i="38"/>
  <c r="C39" i="38"/>
  <c r="D39" i="38"/>
  <c r="C40" i="38"/>
  <c r="D40" i="38"/>
  <c r="C41" i="38"/>
  <c r="D41" i="38"/>
  <c r="C42" i="38"/>
  <c r="D42" i="38"/>
  <c r="C43" i="38"/>
  <c r="D43" i="38"/>
  <c r="C44" i="38"/>
  <c r="D44" i="38"/>
  <c r="C45" i="38"/>
  <c r="D45" i="38"/>
  <c r="C46" i="38"/>
  <c r="D46" i="38"/>
  <c r="C47" i="38"/>
  <c r="D47" i="38"/>
  <c r="C48" i="38"/>
  <c r="D48" i="38"/>
  <c r="C49" i="38"/>
  <c r="D49" i="38"/>
  <c r="C50" i="38"/>
  <c r="D50" i="38"/>
  <c r="C51" i="38"/>
  <c r="D51" i="38"/>
  <c r="C52" i="38"/>
  <c r="D52" i="38"/>
  <c r="C53" i="38"/>
  <c r="D53" i="38"/>
  <c r="C54" i="38"/>
  <c r="D54" i="38"/>
  <c r="C55" i="38"/>
  <c r="D55" i="38"/>
  <c r="C56" i="38"/>
  <c r="D56" i="38"/>
  <c r="M56" i="38"/>
  <c r="L56" i="38"/>
  <c r="L55" i="38"/>
  <c r="M55" i="38"/>
  <c r="L12" i="38" l="1"/>
  <c r="M12" i="38"/>
  <c r="U12" i="38"/>
  <c r="L14" i="38"/>
  <c r="M14" i="38"/>
  <c r="U14" i="38"/>
  <c r="L4" i="38"/>
  <c r="L5" i="38"/>
  <c r="L6" i="38"/>
  <c r="L7" i="38"/>
  <c r="L8" i="38"/>
  <c r="L9" i="38"/>
  <c r="L10" i="38"/>
  <c r="L11" i="38"/>
  <c r="L13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27" i="38"/>
  <c r="L28" i="38"/>
  <c r="L29" i="38"/>
  <c r="L30" i="38"/>
  <c r="L31" i="38"/>
  <c r="L32" i="38"/>
  <c r="L33" i="38"/>
  <c r="L34" i="38"/>
  <c r="L35" i="38"/>
  <c r="L36" i="38"/>
  <c r="L37" i="38"/>
  <c r="L38" i="38"/>
  <c r="L39" i="38"/>
  <c r="L40" i="38"/>
  <c r="L41" i="38"/>
  <c r="L42" i="38"/>
  <c r="L43" i="38"/>
  <c r="L44" i="38"/>
  <c r="L50" i="38"/>
  <c r="L51" i="38"/>
  <c r="L52" i="38"/>
  <c r="L53" i="38"/>
  <c r="L54" i="38"/>
  <c r="L46" i="38"/>
  <c r="L45" i="38"/>
  <c r="L47" i="38"/>
  <c r="L48" i="38"/>
  <c r="L49" i="38"/>
  <c r="L3" i="38"/>
  <c r="M45" i="38"/>
  <c r="U45" i="38"/>
  <c r="M47" i="38"/>
  <c r="U47" i="38"/>
  <c r="M48" i="38"/>
  <c r="U48" i="38"/>
  <c r="M49" i="38"/>
  <c r="U49" i="38"/>
  <c r="U46" i="38"/>
  <c r="M46" i="38"/>
  <c r="M50" i="38" l="1"/>
  <c r="M51" i="38"/>
  <c r="M52" i="38"/>
  <c r="M53" i="38"/>
  <c r="M54" i="38"/>
  <c r="B63" i="38" l="1"/>
  <c r="U41" i="38"/>
  <c r="M3" i="38" l="1"/>
  <c r="P63" i="38"/>
  <c r="M35" i="38"/>
  <c r="M43" i="38"/>
  <c r="M40" i="38"/>
  <c r="U35" i="38"/>
  <c r="U43" i="38"/>
  <c r="U40" i="38"/>
  <c r="M4" i="38" l="1"/>
  <c r="M5" i="38"/>
  <c r="M6" i="38"/>
  <c r="M7" i="38"/>
  <c r="M8" i="38"/>
  <c r="M9" i="38"/>
  <c r="M10" i="38"/>
  <c r="M11" i="38"/>
  <c r="M13" i="38"/>
  <c r="M15" i="38"/>
  <c r="M16" i="38"/>
  <c r="M17" i="38"/>
  <c r="M19" i="38"/>
  <c r="M20" i="38"/>
  <c r="M23" i="38"/>
  <c r="M24" i="38"/>
  <c r="M25" i="38"/>
  <c r="M26" i="38"/>
  <c r="M27" i="38"/>
  <c r="M28" i="38"/>
  <c r="M29" i="38"/>
  <c r="M18" i="38"/>
  <c r="M21" i="38"/>
  <c r="M22" i="38"/>
  <c r="M30" i="38"/>
  <c r="M31" i="38"/>
  <c r="M33" i="38"/>
  <c r="M34" i="38"/>
  <c r="M37" i="38"/>
  <c r="M38" i="38"/>
  <c r="M41" i="38"/>
  <c r="M42" i="38"/>
  <c r="M36" i="38"/>
  <c r="M39" i="38"/>
  <c r="M32" i="38"/>
  <c r="M44" i="38"/>
  <c r="U4" i="37" l="1"/>
  <c r="U5" i="37"/>
  <c r="U4" i="38"/>
  <c r="U7" i="38"/>
  <c r="U19" i="38"/>
  <c r="U23" i="38"/>
  <c r="U24" i="38"/>
  <c r="U25" i="38"/>
  <c r="U17" i="38"/>
  <c r="U15" i="38"/>
  <c r="U16" i="38"/>
  <c r="U20" i="38"/>
  <c r="U26" i="38"/>
  <c r="U8" i="38"/>
  <c r="U9" i="38"/>
  <c r="U10" i="38"/>
  <c r="U27" i="38"/>
  <c r="U28" i="38"/>
  <c r="U13" i="38"/>
  <c r="U29" i="38"/>
  <c r="U5" i="38"/>
  <c r="U6" i="38"/>
  <c r="U18" i="38"/>
  <c r="U21" i="38"/>
  <c r="U22" i="38"/>
  <c r="U30" i="38"/>
  <c r="U31" i="38"/>
  <c r="U33" i="38"/>
  <c r="U34" i="38"/>
  <c r="U37" i="38"/>
  <c r="U38" i="38"/>
  <c r="U42" i="38"/>
  <c r="U36" i="38"/>
  <c r="U39" i="38"/>
  <c r="U32" i="38"/>
  <c r="U44" i="38"/>
  <c r="N64" i="38"/>
  <c r="T63" i="38"/>
  <c r="R63" i="38"/>
  <c r="Q63" i="38"/>
  <c r="J63" i="38"/>
  <c r="I63" i="38"/>
  <c r="H63" i="38"/>
  <c r="U3" i="38"/>
  <c r="D3" i="38"/>
  <c r="C3" i="38"/>
  <c r="U63" i="38" l="1"/>
  <c r="S63" i="38"/>
  <c r="T45" i="37"/>
  <c r="U36" i="37"/>
  <c r="U30" i="37"/>
  <c r="U29" i="37"/>
  <c r="U15" i="37"/>
  <c r="R45" i="37" l="1"/>
  <c r="Q45" i="37"/>
  <c r="S40" i="37"/>
  <c r="S39" i="37"/>
  <c r="S32" i="37"/>
  <c r="S31" i="37"/>
  <c r="S28" i="37"/>
  <c r="S27" i="37"/>
  <c r="S26" i="37"/>
  <c r="S24" i="37"/>
  <c r="S21" i="37"/>
  <c r="S20" i="37"/>
  <c r="S17" i="37"/>
  <c r="S12" i="37"/>
  <c r="S11" i="37"/>
  <c r="S23" i="37" l="1"/>
  <c r="S22" i="37"/>
  <c r="M39" i="37" l="1"/>
  <c r="B45" i="37"/>
  <c r="C28" i="37"/>
  <c r="D28" i="37"/>
  <c r="U28" i="37"/>
  <c r="C38" i="37"/>
  <c r="D38" i="37"/>
  <c r="S38" i="37"/>
  <c r="U38" i="37"/>
  <c r="M15" i="37"/>
  <c r="C22" i="37" l="1"/>
  <c r="D22" i="37"/>
  <c r="C23" i="37"/>
  <c r="D23" i="37"/>
  <c r="C24" i="37"/>
  <c r="D24" i="37"/>
  <c r="C25" i="37"/>
  <c r="D25" i="37"/>
  <c r="C26" i="37"/>
  <c r="D26" i="37"/>
  <c r="C27" i="37"/>
  <c r="D27" i="37"/>
  <c r="C29" i="37"/>
  <c r="D29" i="37"/>
  <c r="C30" i="37"/>
  <c r="D30" i="37"/>
  <c r="C31" i="37"/>
  <c r="D31" i="37"/>
  <c r="C32" i="37"/>
  <c r="D32" i="37"/>
  <c r="C40" i="37"/>
  <c r="D40" i="37"/>
  <c r="C34" i="37"/>
  <c r="D34" i="37"/>
  <c r="C35" i="37"/>
  <c r="D35" i="37"/>
  <c r="C36" i="37"/>
  <c r="D36" i="37"/>
  <c r="C33" i="37"/>
  <c r="D33" i="37"/>
  <c r="C37" i="37"/>
  <c r="D37" i="37"/>
  <c r="N45" i="37" l="1"/>
  <c r="N57" i="34"/>
  <c r="O45" i="37"/>
  <c r="P45" i="37"/>
  <c r="L22" i="37"/>
  <c r="L23" i="37"/>
  <c r="L26" i="37"/>
  <c r="L31" i="37"/>
  <c r="L32" i="37"/>
  <c r="L40" i="37"/>
  <c r="L27" i="37"/>
  <c r="L24" i="37"/>
  <c r="L35" i="37"/>
  <c r="L25" i="37"/>
  <c r="L29" i="37"/>
  <c r="L36" i="37"/>
  <c r="L30" i="37"/>
  <c r="L33" i="37"/>
  <c r="L37" i="37"/>
  <c r="L34" i="37"/>
  <c r="M34" i="37"/>
  <c r="M22" i="37"/>
  <c r="M23" i="37"/>
  <c r="M26" i="37"/>
  <c r="M31" i="37"/>
  <c r="M32" i="37"/>
  <c r="M40" i="37"/>
  <c r="M27" i="37"/>
  <c r="M24" i="37"/>
  <c r="M35" i="37"/>
  <c r="M25" i="37"/>
  <c r="M29" i="37"/>
  <c r="M36" i="37"/>
  <c r="M30" i="37"/>
  <c r="M33" i="37"/>
  <c r="M37" i="37"/>
  <c r="N47" i="37" l="1"/>
  <c r="N46" i="37"/>
  <c r="N59" i="34"/>
  <c r="L4" i="37"/>
  <c r="L5" i="37"/>
  <c r="L6" i="37"/>
  <c r="L7" i="37"/>
  <c r="L8" i="37"/>
  <c r="L9" i="37"/>
  <c r="L10" i="37"/>
  <c r="L11" i="37"/>
  <c r="L12" i="37"/>
  <c r="L13" i="37"/>
  <c r="L14" i="37"/>
  <c r="L16" i="37"/>
  <c r="L17" i="37"/>
  <c r="L18" i="37"/>
  <c r="L19" i="37"/>
  <c r="L20" i="37"/>
  <c r="L21" i="37"/>
  <c r="L3" i="37"/>
  <c r="D3" i="37"/>
  <c r="M4" i="37" l="1"/>
  <c r="J45" i="37"/>
  <c r="I45" i="37"/>
  <c r="H45" i="37"/>
  <c r="U39" i="37"/>
  <c r="U37" i="37"/>
  <c r="S37" i="37"/>
  <c r="U33" i="37"/>
  <c r="S33" i="37"/>
  <c r="S30" i="37"/>
  <c r="S36" i="37"/>
  <c r="S29" i="37"/>
  <c r="U25" i="37"/>
  <c r="S25" i="37"/>
  <c r="U35" i="37"/>
  <c r="S35" i="37"/>
  <c r="U24" i="37"/>
  <c r="U27" i="37"/>
  <c r="U40" i="37"/>
  <c r="U32" i="37"/>
  <c r="U31" i="37"/>
  <c r="U26" i="37"/>
  <c r="U23" i="37"/>
  <c r="U22" i="37"/>
  <c r="U34" i="37"/>
  <c r="S34" i="37"/>
  <c r="U21" i="37"/>
  <c r="M21" i="37"/>
  <c r="D21" i="37"/>
  <c r="C21" i="37"/>
  <c r="U20" i="37"/>
  <c r="M20" i="37"/>
  <c r="D20" i="37"/>
  <c r="C20" i="37"/>
  <c r="U19" i="37"/>
  <c r="S19" i="37"/>
  <c r="M19" i="37"/>
  <c r="D19" i="37"/>
  <c r="C19" i="37"/>
  <c r="U18" i="37"/>
  <c r="S18" i="37"/>
  <c r="M18" i="37"/>
  <c r="D18" i="37"/>
  <c r="C18" i="37"/>
  <c r="U17" i="37"/>
  <c r="M17" i="37"/>
  <c r="D17" i="37"/>
  <c r="C17" i="37"/>
  <c r="U16" i="37"/>
  <c r="S16" i="37"/>
  <c r="M16" i="37"/>
  <c r="D16" i="37"/>
  <c r="C16" i="37"/>
  <c r="U14" i="37"/>
  <c r="S14" i="37"/>
  <c r="M14" i="37"/>
  <c r="D14" i="37"/>
  <c r="C14" i="37"/>
  <c r="U13" i="37"/>
  <c r="S13" i="37"/>
  <c r="M13" i="37"/>
  <c r="D13" i="37"/>
  <c r="C13" i="37"/>
  <c r="U12" i="37"/>
  <c r="M12" i="37"/>
  <c r="D12" i="37"/>
  <c r="C12" i="37"/>
  <c r="U11" i="37"/>
  <c r="M11" i="37"/>
  <c r="D11" i="37"/>
  <c r="C11" i="37"/>
  <c r="U10" i="37"/>
  <c r="S10" i="37"/>
  <c r="M10" i="37"/>
  <c r="D10" i="37"/>
  <c r="C10" i="37"/>
  <c r="U9" i="37"/>
  <c r="S9" i="37"/>
  <c r="M9" i="37"/>
  <c r="D9" i="37"/>
  <c r="C9" i="37"/>
  <c r="U8" i="37"/>
  <c r="S8" i="37"/>
  <c r="M8" i="37"/>
  <c r="D8" i="37"/>
  <c r="C8" i="37"/>
  <c r="U7" i="37"/>
  <c r="S7" i="37"/>
  <c r="M7" i="37"/>
  <c r="D7" i="37"/>
  <c r="C7" i="37"/>
  <c r="U6" i="37"/>
  <c r="S6" i="37"/>
  <c r="M6" i="37"/>
  <c r="D6" i="37"/>
  <c r="C6" i="37"/>
  <c r="S5" i="37"/>
  <c r="M5" i="37"/>
  <c r="D5" i="37"/>
  <c r="C5" i="37"/>
  <c r="S4" i="37"/>
  <c r="D4" i="37"/>
  <c r="C4" i="37"/>
  <c r="U3" i="37"/>
  <c r="S3" i="37"/>
  <c r="M3" i="37"/>
  <c r="C3" i="37"/>
  <c r="D3" i="34"/>
  <c r="C19" i="34"/>
  <c r="U45" i="37" l="1"/>
  <c r="S45" i="37"/>
  <c r="N58" i="34"/>
  <c r="U7" i="34"/>
  <c r="U5" i="34"/>
  <c r="U19" i="34"/>
  <c r="U3" i="34"/>
  <c r="U4" i="34"/>
  <c r="U6" i="34"/>
  <c r="U8" i="34"/>
  <c r="U9" i="34"/>
  <c r="U10" i="34"/>
  <c r="U11" i="34"/>
  <c r="U12" i="34"/>
  <c r="U13" i="34"/>
  <c r="U14" i="34"/>
  <c r="U15" i="34"/>
  <c r="U16" i="34"/>
  <c r="U17" i="34"/>
  <c r="U18" i="34"/>
  <c r="U20" i="34"/>
  <c r="U21" i="34"/>
  <c r="U22" i="34"/>
  <c r="U23" i="34"/>
  <c r="U24" i="34"/>
  <c r="U25" i="34"/>
  <c r="U26" i="34"/>
  <c r="U27" i="34"/>
  <c r="U28" i="34"/>
  <c r="U29" i="34"/>
  <c r="U30" i="34"/>
  <c r="U31" i="34"/>
  <c r="U32" i="34"/>
  <c r="U33" i="34"/>
  <c r="U34" i="34"/>
  <c r="U35" i="34"/>
  <c r="U36" i="34"/>
  <c r="U37" i="34"/>
  <c r="U38" i="34"/>
  <c r="U39" i="34"/>
  <c r="U40" i="34"/>
  <c r="U41" i="34"/>
  <c r="T57" i="34"/>
  <c r="R57" i="34"/>
  <c r="Q57" i="34"/>
  <c r="P57" i="34"/>
  <c r="O57" i="34"/>
  <c r="U57" i="34" l="1"/>
  <c r="M3" i="34"/>
  <c r="M4" i="34"/>
  <c r="M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20" i="34"/>
  <c r="M21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M35" i="34"/>
  <c r="M36" i="34"/>
  <c r="M37" i="34"/>
  <c r="M38" i="34"/>
  <c r="M39" i="34"/>
  <c r="M40" i="34"/>
  <c r="M41" i="34"/>
  <c r="S3" i="34"/>
  <c r="S4" i="34"/>
  <c r="S5" i="34"/>
  <c r="S6" i="34"/>
  <c r="S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23" i="34"/>
  <c r="S24" i="34"/>
  <c r="S25" i="34"/>
  <c r="S26" i="34"/>
  <c r="S27" i="34"/>
  <c r="S28" i="34"/>
  <c r="S29" i="34"/>
  <c r="S30" i="34"/>
  <c r="S31" i="34"/>
  <c r="S32" i="34"/>
  <c r="S33" i="34"/>
  <c r="S34" i="34"/>
  <c r="S35" i="34"/>
  <c r="S36" i="34"/>
  <c r="S37" i="34"/>
  <c r="S38" i="34"/>
  <c r="S39" i="34"/>
  <c r="S40" i="34"/>
  <c r="S41" i="34"/>
  <c r="S57" i="34" l="1"/>
  <c r="B57" i="34"/>
  <c r="H57" i="34"/>
  <c r="I57" i="34"/>
  <c r="J57" i="34"/>
  <c r="D41" i="34"/>
  <c r="D40" i="34"/>
  <c r="D39" i="34"/>
  <c r="D38" i="34"/>
  <c r="D37" i="34"/>
  <c r="D36" i="34"/>
  <c r="D35" i="34"/>
  <c r="D34" i="34"/>
  <c r="D33" i="34"/>
  <c r="D32" i="34"/>
  <c r="D31" i="34"/>
  <c r="D30" i="34"/>
  <c r="D29" i="34"/>
  <c r="D28" i="34"/>
  <c r="D27" i="34"/>
  <c r="D26" i="34"/>
  <c r="D25" i="34"/>
  <c r="D24" i="34"/>
  <c r="D23" i="34"/>
  <c r="D21" i="34"/>
  <c r="D20" i="34"/>
  <c r="D19" i="34"/>
  <c r="D18" i="34"/>
  <c r="D17" i="34"/>
  <c r="D16" i="34"/>
  <c r="D15" i="34"/>
  <c r="D14" i="34"/>
  <c r="D13" i="34"/>
  <c r="D12" i="34"/>
  <c r="D11" i="34"/>
  <c r="D10" i="34"/>
  <c r="D9" i="34"/>
  <c r="D8" i="34"/>
  <c r="D7" i="34"/>
  <c r="D6" i="34"/>
  <c r="D5" i="34"/>
  <c r="D4" i="34"/>
  <c r="C3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1" i="34"/>
  <c r="C20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</calcChain>
</file>

<file path=xl/sharedStrings.xml><?xml version="1.0" encoding="utf-8"?>
<sst xmlns="http://schemas.openxmlformats.org/spreadsheetml/2006/main" count="3201" uniqueCount="1846">
  <si>
    <t>REVENUE &amp; EXPENSE</t>
  </si>
  <si>
    <t>DATE</t>
  </si>
  <si>
    <t>CM</t>
  </si>
  <si>
    <t>TOTAL:</t>
  </si>
  <si>
    <t>SPORTLINE</t>
  </si>
  <si>
    <t>DECLARE</t>
  </si>
  <si>
    <t>MARK</t>
  </si>
  <si>
    <t>THC</t>
  </si>
  <si>
    <t>NO</t>
  </si>
  <si>
    <t>LOLO</t>
  </si>
  <si>
    <t>VFL</t>
  </si>
  <si>
    <t>INV</t>
  </si>
  <si>
    <t>DN</t>
  </si>
  <si>
    <t>CLIENT</t>
  </si>
  <si>
    <t>PNH PORT</t>
  </si>
  <si>
    <t>REIM</t>
  </si>
  <si>
    <t>VAT 10%</t>
  </si>
  <si>
    <t>INV (REVENUE)</t>
  </si>
  <si>
    <t>PNH01</t>
  </si>
  <si>
    <t>PORT CODE</t>
  </si>
  <si>
    <t>PNH04</t>
  </si>
  <si>
    <t>PORT
CODE</t>
  </si>
  <si>
    <t>PORT
NAME</t>
  </si>
  <si>
    <t>SHV11</t>
  </si>
  <si>
    <t>SHV PORT</t>
  </si>
  <si>
    <t>PNH25</t>
  </si>
  <si>
    <t>HLH DRY PORT</t>
  </si>
  <si>
    <t>PNH21</t>
  </si>
  <si>
    <t>OLAIR DRY PORT</t>
  </si>
  <si>
    <t>PNH23</t>
  </si>
  <si>
    <t>UNION DRY PORT</t>
  </si>
  <si>
    <t>EXCHANGE RATE</t>
  </si>
  <si>
    <t>PNH19</t>
  </si>
  <si>
    <t>TEC SRUN DRYPORT</t>
  </si>
  <si>
    <t>weekday</t>
  </si>
  <si>
    <t>KTI AIR PORT</t>
  </si>
  <si>
    <t>I 14254</t>
  </si>
  <si>
    <t>I 15940</t>
  </si>
  <si>
    <t>I 4718</t>
  </si>
  <si>
    <t>I 4728</t>
  </si>
  <si>
    <t>GS26-017</t>
  </si>
  <si>
    <t>JR</t>
  </si>
  <si>
    <t xml:space="preserve">DISBURSEMENT </t>
  </si>
  <si>
    <t>DIS017</t>
  </si>
  <si>
    <t>DIS034</t>
  </si>
  <si>
    <t>DIS036</t>
  </si>
  <si>
    <t>GS26-034</t>
  </si>
  <si>
    <t>GS26-036</t>
  </si>
  <si>
    <t>JR2601001</t>
  </si>
  <si>
    <t>JR2601002</t>
  </si>
  <si>
    <t>JR2601003</t>
  </si>
  <si>
    <t>4026</t>
  </si>
  <si>
    <t>E 222</t>
  </si>
  <si>
    <t>E 4763</t>
  </si>
  <si>
    <t>I 672</t>
  </si>
  <si>
    <t>E 7388</t>
  </si>
  <si>
    <t>E 1215</t>
  </si>
  <si>
    <t>I 1438</t>
  </si>
  <si>
    <t>E 18060</t>
  </si>
  <si>
    <t>E 19191</t>
  </si>
  <si>
    <t>E 3591</t>
  </si>
  <si>
    <t>E 3640</t>
  </si>
  <si>
    <t>I 80</t>
  </si>
  <si>
    <t>I 3142</t>
  </si>
  <si>
    <t xml:space="preserve">JIN YUAN XI </t>
  </si>
  <si>
    <t>GS26-007</t>
  </si>
  <si>
    <t>DIS007</t>
  </si>
  <si>
    <t>JYX2601001</t>
  </si>
  <si>
    <t>GS26-008</t>
  </si>
  <si>
    <t>DIS008</t>
  </si>
  <si>
    <t>JYX2601002</t>
  </si>
  <si>
    <t>GS26-013</t>
  </si>
  <si>
    <t>DIS013</t>
  </si>
  <si>
    <t>JYX2601003</t>
  </si>
  <si>
    <t>GS26-015</t>
  </si>
  <si>
    <t>DIS015</t>
  </si>
  <si>
    <t>JYX2601004</t>
  </si>
  <si>
    <t>GS26-016</t>
  </si>
  <si>
    <t>DIS016</t>
  </si>
  <si>
    <t>JXY2601005</t>
  </si>
  <si>
    <t>GS26-021</t>
  </si>
  <si>
    <t>DIS021</t>
  </si>
  <si>
    <t>JYX2601006</t>
  </si>
  <si>
    <t>GS26-022</t>
  </si>
  <si>
    <t>DIS022</t>
  </si>
  <si>
    <t>JYX2601007</t>
  </si>
  <si>
    <t>GS26-024</t>
  </si>
  <si>
    <t>DIS024</t>
  </si>
  <si>
    <t>JYX2601008</t>
  </si>
  <si>
    <t>GS26-030</t>
  </si>
  <si>
    <t>DIS030</t>
  </si>
  <si>
    <t>JYX2601009</t>
  </si>
  <si>
    <t>GS26-031</t>
  </si>
  <si>
    <t>DIS031</t>
  </si>
  <si>
    <t>JYX2601010</t>
  </si>
  <si>
    <t>GS26-032</t>
  </si>
  <si>
    <t>DIS032</t>
  </si>
  <si>
    <t>JYX2601011</t>
  </si>
  <si>
    <t>GS26-035</t>
  </si>
  <si>
    <t>DIS035</t>
  </si>
  <si>
    <t>JYX2601012</t>
  </si>
  <si>
    <t>I 30</t>
  </si>
  <si>
    <t>E 10353</t>
  </si>
  <si>
    <t>I 242</t>
  </si>
  <si>
    <t>GS26-006</t>
  </si>
  <si>
    <t>DIS006</t>
  </si>
  <si>
    <t>SAK2601001</t>
  </si>
  <si>
    <t>GS26-014</t>
  </si>
  <si>
    <t>DIS014</t>
  </si>
  <si>
    <t>SAK2601002</t>
  </si>
  <si>
    <t>GS26-019</t>
  </si>
  <si>
    <t>DIS019</t>
  </si>
  <si>
    <t>SAK2601003</t>
  </si>
  <si>
    <t>E 94</t>
  </si>
  <si>
    <t>E 3685</t>
  </si>
  <si>
    <t>I 21</t>
  </si>
  <si>
    <t>I 342</t>
  </si>
  <si>
    <t>E 575</t>
  </si>
  <si>
    <t>I 23</t>
  </si>
  <si>
    <t>I 432</t>
  </si>
  <si>
    <t>I 595</t>
  </si>
  <si>
    <t>I 1202</t>
  </si>
  <si>
    <t>E 1692</t>
  </si>
  <si>
    <t>I 1541</t>
  </si>
  <si>
    <t>E 2274</t>
  </si>
  <si>
    <t>E 2398</t>
  </si>
  <si>
    <t>I 361</t>
  </si>
  <si>
    <t>E 3105</t>
  </si>
  <si>
    <t>I 12059</t>
  </si>
  <si>
    <t>I 2739</t>
  </si>
  <si>
    <t xml:space="preserve">E 327402 </t>
  </si>
  <si>
    <t>GS26-001</t>
  </si>
  <si>
    <t>DIS001</t>
  </si>
  <si>
    <t>VFL2601001</t>
  </si>
  <si>
    <t>GS26-002</t>
  </si>
  <si>
    <t>DIS002</t>
  </si>
  <si>
    <t>VFL2601002</t>
  </si>
  <si>
    <t>GS26-003</t>
  </si>
  <si>
    <t>DIS003</t>
  </si>
  <si>
    <t>VFL2601003</t>
  </si>
  <si>
    <t>GS26-004</t>
  </si>
  <si>
    <t>DIS004</t>
  </si>
  <si>
    <t>VFL2601004</t>
  </si>
  <si>
    <t>GS26-005</t>
  </si>
  <si>
    <t>DIS005</t>
  </si>
  <si>
    <t>VFL2601005</t>
  </si>
  <si>
    <t>GS26-009</t>
  </si>
  <si>
    <t>DIS009</t>
  </si>
  <si>
    <t>VFL2601006</t>
  </si>
  <si>
    <t>GS26-010</t>
  </si>
  <si>
    <t>DIS010</t>
  </si>
  <si>
    <t>VFL2601007</t>
  </si>
  <si>
    <t>GS26-011</t>
  </si>
  <si>
    <t>DIS011</t>
  </si>
  <si>
    <t>VFL2601008</t>
  </si>
  <si>
    <t>GS26-012</t>
  </si>
  <si>
    <t>DIS012</t>
  </si>
  <si>
    <t>VFL2601009</t>
  </si>
  <si>
    <t>GS26-018</t>
  </si>
  <si>
    <t>DIS018</t>
  </si>
  <si>
    <t>VFL2601010</t>
  </si>
  <si>
    <t>GS26-020</t>
  </si>
  <si>
    <t>DIS020</t>
  </si>
  <si>
    <t>VFL2601011</t>
  </si>
  <si>
    <t>GS26-023</t>
  </si>
  <si>
    <t>DIS023</t>
  </si>
  <si>
    <t>VFL2601012</t>
  </si>
  <si>
    <t>GS26-025</t>
  </si>
  <si>
    <t>DIS025</t>
  </si>
  <si>
    <t>VFL2601013</t>
  </si>
  <si>
    <t>GS26-026</t>
  </si>
  <si>
    <t>DIS026</t>
  </si>
  <si>
    <t>VFL2601014</t>
  </si>
  <si>
    <t>GS26-027</t>
  </si>
  <si>
    <t>DIS027</t>
  </si>
  <si>
    <t>VFL2601015</t>
  </si>
  <si>
    <t>GS26-028</t>
  </si>
  <si>
    <t>DIS028</t>
  </si>
  <si>
    <t>VFL2601016</t>
  </si>
  <si>
    <t>GS26-029</t>
  </si>
  <si>
    <t>DIS029</t>
  </si>
  <si>
    <t>VFL2601017</t>
  </si>
  <si>
    <t>GS26-033</t>
  </si>
  <si>
    <t>DIS033</t>
  </si>
  <si>
    <t>VFL2601018</t>
  </si>
  <si>
    <t>DIS037</t>
  </si>
  <si>
    <t>PNH16</t>
  </si>
  <si>
    <t>DRYPORT ROYAL RAILWAY</t>
  </si>
  <si>
    <t>SVR12</t>
  </si>
  <si>
    <t>PREY VOR CEO</t>
  </si>
  <si>
    <t>SVR11</t>
  </si>
  <si>
    <t>BAVET CEO</t>
  </si>
  <si>
    <t>11+</t>
  </si>
  <si>
    <t>Saturday</t>
  </si>
  <si>
    <t>NET 
PROFIT</t>
  </si>
  <si>
    <t>4025</t>
  </si>
  <si>
    <t>4027</t>
  </si>
  <si>
    <t>4018</t>
  </si>
  <si>
    <t>4021</t>
  </si>
  <si>
    <t>4029</t>
  </si>
  <si>
    <t>4030</t>
  </si>
  <si>
    <t>CLEAR
FEE</t>
  </si>
  <si>
    <t>DIS038</t>
  </si>
  <si>
    <t>HP260134-1/30</t>
  </si>
  <si>
    <t xml:space="preserve">INV </t>
  </si>
  <si>
    <t>DIS</t>
  </si>
  <si>
    <t>PORT
NUMBER</t>
  </si>
  <si>
    <t>PAID</t>
  </si>
  <si>
    <t>NOT YET</t>
  </si>
  <si>
    <t>CHEA
PAYMENT</t>
  </si>
  <si>
    <t>I 3370</t>
  </si>
  <si>
    <t>GS26-037</t>
  </si>
  <si>
    <t>DIS039</t>
  </si>
  <si>
    <t>JYX2602001</t>
  </si>
  <si>
    <t>GS26-038</t>
  </si>
  <si>
    <t>DIS040</t>
  </si>
  <si>
    <t>SAK2602001</t>
  </si>
  <si>
    <t>GS26-039</t>
  </si>
  <si>
    <t>DIS041</t>
  </si>
  <si>
    <t>SAK2602002</t>
  </si>
  <si>
    <t>GS26-040</t>
  </si>
  <si>
    <t>DIS042</t>
  </si>
  <si>
    <t>VFL2602001</t>
  </si>
  <si>
    <t>GS26-041</t>
  </si>
  <si>
    <t>DIS043</t>
  </si>
  <si>
    <t>VFL2602002</t>
  </si>
  <si>
    <t>GS26-042</t>
  </si>
  <si>
    <t>DIS044</t>
  </si>
  <si>
    <t>SAK2602003</t>
  </si>
  <si>
    <t>GS26-043</t>
  </si>
  <si>
    <t>DIS045</t>
  </si>
  <si>
    <t>VFL2602003</t>
  </si>
  <si>
    <t>GS26-044</t>
  </si>
  <si>
    <t>DIS046</t>
  </si>
  <si>
    <t>VFL2602004</t>
  </si>
  <si>
    <t>GS26-045</t>
  </si>
  <si>
    <t>DIS047</t>
  </si>
  <si>
    <t>JYX2602002</t>
  </si>
  <si>
    <t>GS26-046</t>
  </si>
  <si>
    <t>DIS048</t>
  </si>
  <si>
    <t>JYX2602003</t>
  </si>
  <si>
    <t>GS26-047</t>
  </si>
  <si>
    <t>DIS049</t>
  </si>
  <si>
    <t>SAK2602004</t>
  </si>
  <si>
    <t>GS26-048</t>
  </si>
  <si>
    <t>DIS050</t>
  </si>
  <si>
    <t>JR2602001</t>
  </si>
  <si>
    <t>GS26-049</t>
  </si>
  <si>
    <t>DIS051</t>
  </si>
  <si>
    <t>VFL2602005</t>
  </si>
  <si>
    <t>GS26-050</t>
  </si>
  <si>
    <t>DIS052</t>
  </si>
  <si>
    <t>JYX2602004</t>
  </si>
  <si>
    <t>GS26-051</t>
  </si>
  <si>
    <t>DIS053</t>
  </si>
  <si>
    <t>SAK2602005</t>
  </si>
  <si>
    <t>GS26-052</t>
  </si>
  <si>
    <t>DIS054</t>
  </si>
  <si>
    <t>VFL2602006</t>
  </si>
  <si>
    <t>GS26-053</t>
  </si>
  <si>
    <t>DIS055</t>
  </si>
  <si>
    <t>JYX2602005</t>
  </si>
  <si>
    <t>GS26-054</t>
  </si>
  <si>
    <t>DIS056</t>
  </si>
  <si>
    <t>JYX2602006</t>
  </si>
  <si>
    <t>I 491</t>
  </si>
  <si>
    <t>I 3378</t>
  </si>
  <si>
    <t>E 5316</t>
  </si>
  <si>
    <t>I 420</t>
  </si>
  <si>
    <t>I 421</t>
  </si>
  <si>
    <t>E 5458</t>
  </si>
  <si>
    <t>E 5466</t>
  </si>
  <si>
    <t>E 5467</t>
  </si>
  <si>
    <t>I 3813</t>
  </si>
  <si>
    <t>E 35089</t>
  </si>
  <si>
    <t>I 21065</t>
  </si>
  <si>
    <t>I 4343</t>
  </si>
  <si>
    <t>E 6104</t>
  </si>
  <si>
    <t>I 588</t>
  </si>
  <si>
    <t>I 586</t>
  </si>
  <si>
    <t>E 6539</t>
  </si>
  <si>
    <t>E 6710</t>
  </si>
  <si>
    <t>E 58276</t>
  </si>
  <si>
    <t>I 26265</t>
  </si>
  <si>
    <t>E 7615</t>
  </si>
  <si>
    <t>E 8171</t>
  </si>
  <si>
    <t>I 123</t>
  </si>
  <si>
    <t>E 55816</t>
  </si>
  <si>
    <t>E 58393</t>
  </si>
  <si>
    <t>GS26-055</t>
  </si>
  <si>
    <t>DIS057</t>
  </si>
  <si>
    <t>GS26-056</t>
  </si>
  <si>
    <t>DIS058</t>
  </si>
  <si>
    <t>GS26-057</t>
  </si>
  <si>
    <t>DIS059</t>
  </si>
  <si>
    <t>GS26-058</t>
  </si>
  <si>
    <t>DIS060</t>
  </si>
  <si>
    <t>GS26-059</t>
  </si>
  <si>
    <t>DIS061</t>
  </si>
  <si>
    <t>GS26-060</t>
  </si>
  <si>
    <t>DIS062</t>
  </si>
  <si>
    <t>GS26-061</t>
  </si>
  <si>
    <t>DIS063</t>
  </si>
  <si>
    <t>GS26-062</t>
  </si>
  <si>
    <t>DIS064</t>
  </si>
  <si>
    <t>GS26-063</t>
  </si>
  <si>
    <t>DIS065</t>
  </si>
  <si>
    <t>GS26-064</t>
  </si>
  <si>
    <t>DIS066</t>
  </si>
  <si>
    <t>GS26-065</t>
  </si>
  <si>
    <t>DIS067</t>
  </si>
  <si>
    <t>GS26-066</t>
  </si>
  <si>
    <t>DIS068</t>
  </si>
  <si>
    <t>GS26-067</t>
  </si>
  <si>
    <t>DIS069</t>
  </si>
  <si>
    <t>GS26-068</t>
  </si>
  <si>
    <t>DIS070</t>
  </si>
  <si>
    <t>GS26-069</t>
  </si>
  <si>
    <t>DIS071</t>
  </si>
  <si>
    <t>GS26-070</t>
  </si>
  <si>
    <t>DIS072</t>
  </si>
  <si>
    <t>VFL2602007</t>
  </si>
  <si>
    <t>VFL2602008</t>
  </si>
  <si>
    <t>JYX2602007</t>
  </si>
  <si>
    <t>SAK2602006</t>
  </si>
  <si>
    <t>JYX2602008</t>
  </si>
  <si>
    <t>JYX2602009</t>
  </si>
  <si>
    <t>JR2602002</t>
  </si>
  <si>
    <t>JR2602003</t>
  </si>
  <si>
    <t>JR2602004</t>
  </si>
  <si>
    <t>JYX2602010</t>
  </si>
  <si>
    <t>JYX2602011</t>
  </si>
  <si>
    <t>JYX2602012</t>
  </si>
  <si>
    <t>VFL2602009</t>
  </si>
  <si>
    <t>VFL2602010</t>
  </si>
  <si>
    <t>SAK2602007</t>
  </si>
  <si>
    <t>SAK2602008</t>
  </si>
  <si>
    <t>I 32164</t>
  </si>
  <si>
    <t>I 32162</t>
  </si>
  <si>
    <t>E 51647</t>
  </si>
  <si>
    <t>E 51619</t>
  </si>
  <si>
    <t>PART</t>
  </si>
  <si>
    <t>I 26260</t>
  </si>
  <si>
    <t>E 52971</t>
  </si>
  <si>
    <t>I 27779</t>
  </si>
  <si>
    <t>I 26270</t>
  </si>
  <si>
    <t>I 32157</t>
  </si>
  <si>
    <t>E 7265</t>
  </si>
  <si>
    <t>E 7616</t>
  </si>
  <si>
    <t>STORAGE</t>
  </si>
  <si>
    <t>I 30715</t>
  </si>
  <si>
    <t>JIN YUAN XI</t>
  </si>
  <si>
    <t>GS26-071</t>
  </si>
  <si>
    <t>DIS073</t>
  </si>
  <si>
    <t>JYX2602013</t>
  </si>
  <si>
    <t>4011</t>
  </si>
  <si>
    <t xml:space="preserve">Lack   </t>
  </si>
  <si>
    <t> $                 0.31 </t>
  </si>
  <si>
    <t>Shipment VFl (I 342) from Last Month</t>
  </si>
  <si>
    <t>Should pay </t>
  </si>
  <si>
    <t>            3,880.31 </t>
  </si>
  <si>
    <t>Paid</t>
  </si>
  <si>
    <t>E 8725</t>
  </si>
  <si>
    <t>E 9849</t>
  </si>
  <si>
    <t>I 6742</t>
  </si>
  <si>
    <t>I 7165</t>
  </si>
  <si>
    <t>E 9979</t>
  </si>
  <si>
    <t>E 64094</t>
  </si>
  <si>
    <t>I 32429</t>
  </si>
  <si>
    <t>GS26-072</t>
  </si>
  <si>
    <t>DIS074</t>
  </si>
  <si>
    <t>GS26-073</t>
  </si>
  <si>
    <t>DIS075</t>
  </si>
  <si>
    <t>GS26-074</t>
  </si>
  <si>
    <t>DIS076</t>
  </si>
  <si>
    <t>GS26-075</t>
  </si>
  <si>
    <t>DIS077</t>
  </si>
  <si>
    <t>GS26-076</t>
  </si>
  <si>
    <t>DIS078</t>
  </si>
  <si>
    <t>GS26-077</t>
  </si>
  <si>
    <t>DIS079</t>
  </si>
  <si>
    <t>GS26-078</t>
  </si>
  <si>
    <t>DIS080</t>
  </si>
  <si>
    <t>GS26-079</t>
  </si>
  <si>
    <t>DIS081</t>
  </si>
  <si>
    <t>GS26-080</t>
  </si>
  <si>
    <t>DIS082</t>
  </si>
  <si>
    <t>GS26-081</t>
  </si>
  <si>
    <t>DIS083</t>
  </si>
  <si>
    <t>GS26-082</t>
  </si>
  <si>
    <t>DIS084</t>
  </si>
  <si>
    <t>GS26-083</t>
  </si>
  <si>
    <t>DIS085</t>
  </si>
  <si>
    <t>GS26-084</t>
  </si>
  <si>
    <t>DIS086</t>
  </si>
  <si>
    <t>GS26-085</t>
  </si>
  <si>
    <t>DIS087</t>
  </si>
  <si>
    <t>GS26-086</t>
  </si>
  <si>
    <t>DIS088</t>
  </si>
  <si>
    <t>GS26-087</t>
  </si>
  <si>
    <t>DIS089</t>
  </si>
  <si>
    <t>GS26-088</t>
  </si>
  <si>
    <t>DIS090</t>
  </si>
  <si>
    <t>VFL2603001</t>
  </si>
  <si>
    <t>VFL2603002</t>
  </si>
  <si>
    <t>JR2603001</t>
  </si>
  <si>
    <t>JR2603002</t>
  </si>
  <si>
    <t>JR2603003</t>
  </si>
  <si>
    <t>JR2603004</t>
  </si>
  <si>
    <t>JR2603005</t>
  </si>
  <si>
    <t>VFL2603003</t>
  </si>
  <si>
    <t>VFL2603004</t>
  </si>
  <si>
    <t>VFL2603005</t>
  </si>
  <si>
    <t>VFL2603006</t>
  </si>
  <si>
    <t>VFL2603007</t>
  </si>
  <si>
    <t>VFL2603008</t>
  </si>
  <si>
    <t>VFL2603009</t>
  </si>
  <si>
    <t>VFL2603010</t>
  </si>
  <si>
    <t>VFL2603011</t>
  </si>
  <si>
    <t>VFL2603012</t>
  </si>
  <si>
    <t>JYX2603001</t>
  </si>
  <si>
    <t>JYX2603002</t>
  </si>
  <si>
    <t>JYX2603003</t>
  </si>
  <si>
    <t>JYX2603004</t>
  </si>
  <si>
    <t>JYX2603005</t>
  </si>
  <si>
    <t>I 839</t>
  </si>
  <si>
    <t>I 35751</t>
  </si>
  <si>
    <t>I 35753</t>
  </si>
  <si>
    <t>SAK2603001</t>
  </si>
  <si>
    <t>SAK2603002</t>
  </si>
  <si>
    <t>SAK2603003</t>
  </si>
  <si>
    <t>SAK2603004</t>
  </si>
  <si>
    <t>GS26-089</t>
  </si>
  <si>
    <t>DIS091</t>
  </si>
  <si>
    <t>GS26-090</t>
  </si>
  <si>
    <t>DIS092</t>
  </si>
  <si>
    <t>GS26-091</t>
  </si>
  <si>
    <t>DIS093</t>
  </si>
  <si>
    <t>GS26-092</t>
  </si>
  <si>
    <t>DIS094</t>
  </si>
  <si>
    <t xml:space="preserve">                                                                 </t>
  </si>
  <si>
    <t>E 11244</t>
  </si>
  <si>
    <t>E 74515</t>
  </si>
  <si>
    <t>E 78635</t>
  </si>
  <si>
    <t>I 770</t>
  </si>
  <si>
    <t>I 971</t>
  </si>
  <si>
    <t>I 8428</t>
  </si>
  <si>
    <t>E 79749</t>
  </si>
  <si>
    <t>GS26-093</t>
  </si>
  <si>
    <t>DIS095</t>
  </si>
  <si>
    <t>GS26-094</t>
  </si>
  <si>
    <t>DIS096</t>
  </si>
  <si>
    <t>GS26-095</t>
  </si>
  <si>
    <t>DIS097</t>
  </si>
  <si>
    <t>GS26-096</t>
  </si>
  <si>
    <t>DIS098</t>
  </si>
  <si>
    <t>GS26-097</t>
  </si>
  <si>
    <t>DIS099</t>
  </si>
  <si>
    <t>GS26-098</t>
  </si>
  <si>
    <t>DIS100</t>
  </si>
  <si>
    <t>GS26-099</t>
  </si>
  <si>
    <t>DIS101</t>
  </si>
  <si>
    <t>GS26-100</t>
  </si>
  <si>
    <t>DIS102</t>
  </si>
  <si>
    <t>GS26-101</t>
  </si>
  <si>
    <t>DIS103</t>
  </si>
  <si>
    <t>GS26-102</t>
  </si>
  <si>
    <t>DIS104</t>
  </si>
  <si>
    <t>GS26-103</t>
  </si>
  <si>
    <t>DIS105</t>
  </si>
  <si>
    <t>GS26-104</t>
  </si>
  <si>
    <t>DIS106</t>
  </si>
  <si>
    <t>GS26-105</t>
  </si>
  <si>
    <t>DIS107</t>
  </si>
  <si>
    <t>GS26-106</t>
  </si>
  <si>
    <t>DIS108</t>
  </si>
  <si>
    <t>VFL2603013</t>
  </si>
  <si>
    <t>VFL2603014</t>
  </si>
  <si>
    <t>VFL2603015</t>
  </si>
  <si>
    <t>VFL2603016</t>
  </si>
  <si>
    <t>JYX2603006</t>
  </si>
  <si>
    <t>JYX2603007</t>
  </si>
  <si>
    <t>JR2603006</t>
  </si>
  <si>
    <t>SAK2603005</t>
  </si>
  <si>
    <t>SAK2603006</t>
  </si>
  <si>
    <t>SAK2603007</t>
  </si>
  <si>
    <t>SAK2603008</t>
  </si>
  <si>
    <t>SAK2603009</t>
  </si>
  <si>
    <t>SAK2603010</t>
  </si>
  <si>
    <t>SAK2603011</t>
  </si>
  <si>
    <t>Lack storage fee</t>
  </si>
  <si>
    <t xml:space="preserve">JR </t>
  </si>
  <si>
    <t xml:space="preserve">Lack </t>
  </si>
  <si>
    <t>GS26-107</t>
  </si>
  <si>
    <t>DIS109</t>
  </si>
  <si>
    <t>GS26-108</t>
  </si>
  <si>
    <t>DIS110</t>
  </si>
  <si>
    <t>GS26-109</t>
  </si>
  <si>
    <t>DIS111</t>
  </si>
  <si>
    <t>GS26-110</t>
  </si>
  <si>
    <t>DIS112</t>
  </si>
  <si>
    <t>GS26-111</t>
  </si>
  <si>
    <t>DIS113</t>
  </si>
  <si>
    <t>VFL2603017</t>
  </si>
  <si>
    <t>VFL2603018</t>
  </si>
  <si>
    <t>SAK2603012</t>
  </si>
  <si>
    <t>SAK2603013</t>
  </si>
  <si>
    <t>JR2603007</t>
  </si>
  <si>
    <t>JR2603008</t>
  </si>
  <si>
    <t>JR2603009</t>
  </si>
  <si>
    <t>JR2603010</t>
  </si>
  <si>
    <t>JR2603011</t>
  </si>
  <si>
    <t>JR2603012</t>
  </si>
  <si>
    <t>E 11760</t>
  </si>
  <si>
    <t>JYX2603008</t>
  </si>
  <si>
    <t>HBL</t>
  </si>
  <si>
    <t>JR2603013</t>
  </si>
  <si>
    <t>GS26-112</t>
  </si>
  <si>
    <t>DIS114</t>
  </si>
  <si>
    <t>DIS115</t>
  </si>
  <si>
    <t>DIS116</t>
  </si>
  <si>
    <t>DIS117</t>
  </si>
  <si>
    <t>DIS118</t>
  </si>
  <si>
    <t>DIS119</t>
  </si>
  <si>
    <t>DIS120</t>
  </si>
  <si>
    <t>GS26-113</t>
  </si>
  <si>
    <t>GS26-114</t>
  </si>
  <si>
    <t>GS26-115</t>
  </si>
  <si>
    <t>GS26-116</t>
  </si>
  <si>
    <t>DIS121</t>
  </si>
  <si>
    <t>DIS122</t>
  </si>
  <si>
    <t>DIS123</t>
  </si>
  <si>
    <t>DIS124</t>
  </si>
  <si>
    <t>DIS125</t>
  </si>
  <si>
    <t>GS26-117</t>
  </si>
  <si>
    <t>DIS126</t>
  </si>
  <si>
    <t>DIS127</t>
  </si>
  <si>
    <t>I 44741</t>
  </si>
  <si>
    <t>I 44874</t>
  </si>
  <si>
    <t>E 52971​​​​​-2/20</t>
  </si>
  <si>
    <t>E 58393-2/27</t>
  </si>
  <si>
    <t>E 69968-3/13</t>
  </si>
  <si>
    <t>E 52039-2/20</t>
  </si>
  <si>
    <t>E 76799-3/20</t>
  </si>
  <si>
    <t>BLS26-0093 &amp; BLS26-0094</t>
  </si>
  <si>
    <t>BLS26-0106BLS26-0107</t>
  </si>
  <si>
    <t>CGL26-00592 &amp; RM26-00292</t>
  </si>
  <si>
    <t>LAT26-00088</t>
  </si>
  <si>
    <t>LAT2026-0047</t>
  </si>
  <si>
    <t>E 56303-2/27</t>
  </si>
  <si>
    <t>BLS26-0130 / RE26-0017</t>
  </si>
  <si>
    <t>E 8729</t>
  </si>
  <si>
    <t>I 32408</t>
  </si>
  <si>
    <t>E 9314</t>
  </si>
  <si>
    <t>E 9095</t>
  </si>
  <si>
    <t>E 9216</t>
  </si>
  <si>
    <t>E 9303</t>
  </si>
  <si>
    <t>E 65834</t>
  </si>
  <si>
    <t>I 6739</t>
  </si>
  <si>
    <t>I 837</t>
  </si>
  <si>
    <t>E 10005</t>
  </si>
  <si>
    <t>E 10184</t>
  </si>
  <si>
    <t>E 10205</t>
  </si>
  <si>
    <t>I 36325</t>
  </si>
  <si>
    <t>E 9977</t>
  </si>
  <si>
    <t>E 72299</t>
  </si>
  <si>
    <t>I 36309</t>
  </si>
  <si>
    <t>I 769</t>
  </si>
  <si>
    <t>I 37892</t>
  </si>
  <si>
    <t>I 37893</t>
  </si>
  <si>
    <t>I 37897</t>
  </si>
  <si>
    <t>E 11073</t>
  </si>
  <si>
    <t>E 11095</t>
  </si>
  <si>
    <t>E 11240</t>
  </si>
  <si>
    <t>I 40726</t>
  </si>
  <si>
    <t>I 879</t>
  </si>
  <si>
    <t>I 41824</t>
  </si>
  <si>
    <t>I 881</t>
  </si>
  <si>
    <t>I 43602</t>
  </si>
  <si>
    <t xml:space="preserve"> </t>
  </si>
  <si>
    <t>E 12814</t>
  </si>
  <si>
    <t>E 12666</t>
  </si>
  <si>
    <t>E 12839</t>
  </si>
  <si>
    <t>E 12840</t>
  </si>
  <si>
    <t>E 12841</t>
  </si>
  <si>
    <t>E 13592</t>
  </si>
  <si>
    <t>E 14148</t>
  </si>
  <si>
    <t>E 14154</t>
  </si>
  <si>
    <t>E 14162</t>
  </si>
  <si>
    <t>E 95300</t>
  </si>
  <si>
    <t>E 98669</t>
  </si>
  <si>
    <t>I 10151</t>
  </si>
  <si>
    <t>I 10534</t>
  </si>
  <si>
    <t>E 91660</t>
  </si>
  <si>
    <t>E 92324</t>
  </si>
  <si>
    <t>E 99067</t>
  </si>
  <si>
    <t>I 48322</t>
  </si>
  <si>
    <t>E 12322</t>
  </si>
  <si>
    <t>E 13648</t>
  </si>
  <si>
    <t>E 94582</t>
  </si>
  <si>
    <t>E 95135</t>
  </si>
  <si>
    <t>E 98786</t>
  </si>
  <si>
    <t>DIS128</t>
  </si>
  <si>
    <t>GS26-118</t>
  </si>
  <si>
    <t>GS26-119</t>
  </si>
  <si>
    <t>DIS129</t>
  </si>
  <si>
    <t>GS26-120</t>
  </si>
  <si>
    <t>DIS130</t>
  </si>
  <si>
    <t>GS26-121</t>
  </si>
  <si>
    <t>DIS131</t>
  </si>
  <si>
    <t>GS26-122</t>
  </si>
  <si>
    <t>DIS132</t>
  </si>
  <si>
    <t>GS26-123</t>
  </si>
  <si>
    <t>DIS133</t>
  </si>
  <si>
    <t>GS26-124</t>
  </si>
  <si>
    <t>DIS134</t>
  </si>
  <si>
    <t>GS26-125</t>
  </si>
  <si>
    <t>DIS135</t>
  </si>
  <si>
    <t>GS26-126</t>
  </si>
  <si>
    <t>DIS136</t>
  </si>
  <si>
    <t>GS26-127</t>
  </si>
  <si>
    <t>DIS137</t>
  </si>
  <si>
    <t>GS26-128</t>
  </si>
  <si>
    <t>DIS138</t>
  </si>
  <si>
    <t>GS26-129</t>
  </si>
  <si>
    <t>DIS139</t>
  </si>
  <si>
    <t>GS26-130</t>
  </si>
  <si>
    <t>DIS140</t>
  </si>
  <si>
    <t>GS26-131</t>
  </si>
  <si>
    <t>DIS141</t>
  </si>
  <si>
    <t>GS26-132</t>
  </si>
  <si>
    <t>DIS142</t>
  </si>
  <si>
    <t>GS26-133</t>
  </si>
  <si>
    <t>DIS143</t>
  </si>
  <si>
    <t>GS26-134</t>
  </si>
  <si>
    <t>DIS144</t>
  </si>
  <si>
    <t>GS26-135</t>
  </si>
  <si>
    <t>DIS145</t>
  </si>
  <si>
    <t>GS26-136</t>
  </si>
  <si>
    <t>DIS146</t>
  </si>
  <si>
    <t>GS26-137</t>
  </si>
  <si>
    <t>DIS147</t>
  </si>
  <si>
    <t>GS26-138</t>
  </si>
  <si>
    <t>DIS148</t>
  </si>
  <si>
    <t>GS26-139</t>
  </si>
  <si>
    <t>DIS149</t>
  </si>
  <si>
    <t>GS26-140</t>
  </si>
  <si>
    <t>DIS150</t>
  </si>
  <si>
    <t>GS26-141</t>
  </si>
  <si>
    <t>DIS151</t>
  </si>
  <si>
    <t>GS26-142</t>
  </si>
  <si>
    <t>DIS152</t>
  </si>
  <si>
    <t>JR2604001</t>
  </si>
  <si>
    <t>JR2604002</t>
  </si>
  <si>
    <t>JR2604003</t>
  </si>
  <si>
    <t>JR2604004</t>
  </si>
  <si>
    <t>JR2604005</t>
  </si>
  <si>
    <t>VFL2604001</t>
  </si>
  <si>
    <t>VFL2604002</t>
  </si>
  <si>
    <t>VFL2604003</t>
  </si>
  <si>
    <t>VFL2604004</t>
  </si>
  <si>
    <t>VFL2604005</t>
  </si>
  <si>
    <t>VFL2604006</t>
  </si>
  <si>
    <t>JYX2604001</t>
  </si>
  <si>
    <t>JYX2604002</t>
  </si>
  <si>
    <t>JYX2604003</t>
  </si>
  <si>
    <t>JYX2604004</t>
  </si>
  <si>
    <t>JYX2604005</t>
  </si>
  <si>
    <t>JYX2604006</t>
  </si>
  <si>
    <t>JYX2604008</t>
  </si>
  <si>
    <t>JYX2604007</t>
  </si>
  <si>
    <t>JYX2604009</t>
  </si>
  <si>
    <t>JYX2604010</t>
  </si>
  <si>
    <t>SAK2604001</t>
  </si>
  <si>
    <t>SAK2604002</t>
  </si>
  <si>
    <t>SAK2604003</t>
  </si>
  <si>
    <t>SAK2604004</t>
  </si>
  <si>
    <t>THC PAID ON MAR</t>
  </si>
  <si>
    <t>E 14158</t>
  </si>
  <si>
    <t>I 11660</t>
  </si>
  <si>
    <t>E 15150</t>
  </si>
  <si>
    <t>E 15092</t>
  </si>
  <si>
    <t>I 1160</t>
  </si>
  <si>
    <t>E 106314</t>
  </si>
  <si>
    <t>I 1211</t>
  </si>
  <si>
    <t>I 53023</t>
  </si>
  <si>
    <t>I 54125</t>
  </si>
  <si>
    <t>I 54535</t>
  </si>
  <si>
    <t>E 106324</t>
  </si>
  <si>
    <t>I 1157</t>
  </si>
  <si>
    <t>I 10242</t>
  </si>
  <si>
    <t>I 11292</t>
  </si>
  <si>
    <t>I 11632</t>
  </si>
  <si>
    <t>I 52781</t>
  </si>
  <si>
    <t>I 52998</t>
  </si>
  <si>
    <t>GS26-143</t>
  </si>
  <si>
    <t>DIS153</t>
  </si>
  <si>
    <t>GS26-144</t>
  </si>
  <si>
    <t>DIS154</t>
  </si>
  <si>
    <t>GS26-145</t>
  </si>
  <si>
    <t>DIS155</t>
  </si>
  <si>
    <t>GS26-146</t>
  </si>
  <si>
    <t>DIS156</t>
  </si>
  <si>
    <t>GS26-147</t>
  </si>
  <si>
    <t>DIS157</t>
  </si>
  <si>
    <t>GS26-148</t>
  </si>
  <si>
    <t>DIS158</t>
  </si>
  <si>
    <t>GS26-149</t>
  </si>
  <si>
    <t>DIS159</t>
  </si>
  <si>
    <t>GS26-150</t>
  </si>
  <si>
    <t>DIS160</t>
  </si>
  <si>
    <t>GS26-151</t>
  </si>
  <si>
    <t>DIS161</t>
  </si>
  <si>
    <t>GS26-152</t>
  </si>
  <si>
    <t>DIS162</t>
  </si>
  <si>
    <t>GS26-153</t>
  </si>
  <si>
    <t>DIS163</t>
  </si>
  <si>
    <t>GS26-154</t>
  </si>
  <si>
    <t>DIS164</t>
  </si>
  <si>
    <t>GS26-155</t>
  </si>
  <si>
    <t>DIS165</t>
  </si>
  <si>
    <t>GS26-156</t>
  </si>
  <si>
    <t>DIS166</t>
  </si>
  <si>
    <t>GS26-157</t>
  </si>
  <si>
    <t>DIS167</t>
  </si>
  <si>
    <t>GS26-158</t>
  </si>
  <si>
    <t>DIS168</t>
  </si>
  <si>
    <t>SAK2604005</t>
  </si>
  <si>
    <t>SAK2604006</t>
  </si>
  <si>
    <t>SAK2604007</t>
  </si>
  <si>
    <t>SAK2604008</t>
  </si>
  <si>
    <t>VFL2604007</t>
  </si>
  <si>
    <t>VFL2604008</t>
  </si>
  <si>
    <t>VFL2604009</t>
  </si>
  <si>
    <t>VFL2604010</t>
  </si>
  <si>
    <t>VFL2604011</t>
  </si>
  <si>
    <t>VFL2604012</t>
  </si>
  <si>
    <t>VFL2604013</t>
  </si>
  <si>
    <t>JR2604006</t>
  </si>
  <si>
    <t>JR2604007</t>
  </si>
  <si>
    <t>JYX2604011</t>
  </si>
  <si>
    <t>JYX2604013</t>
  </si>
  <si>
    <t>paid</t>
  </si>
  <si>
    <t>JYX2604012</t>
  </si>
  <si>
    <t>E 15217</t>
  </si>
  <si>
    <t>GS26-159</t>
  </si>
  <si>
    <t>DIS169</t>
  </si>
  <si>
    <t>JYX2604014</t>
  </si>
  <si>
    <t>I 12076</t>
  </si>
  <si>
    <t>GS26-160</t>
  </si>
  <si>
    <t>DIS170</t>
  </si>
  <si>
    <t>SAK2604009</t>
  </si>
  <si>
    <t>E 115285</t>
  </si>
  <si>
    <t>GS26-161</t>
  </si>
  <si>
    <t>DIS171</t>
  </si>
  <si>
    <t>JR2604008</t>
  </si>
  <si>
    <t>E 115341</t>
  </si>
  <si>
    <t>GS26-162</t>
  </si>
  <si>
    <t>DIS172</t>
  </si>
  <si>
    <t>JR2604009</t>
  </si>
  <si>
    <t>E 15672</t>
  </si>
  <si>
    <t>GS26-163</t>
  </si>
  <si>
    <t>DIS173</t>
  </si>
  <si>
    <t>VFL2604014</t>
  </si>
  <si>
    <t>GS26-164</t>
  </si>
  <si>
    <t>DIS174</t>
  </si>
  <si>
    <t>JYX2604015</t>
  </si>
  <si>
    <t>I 60060</t>
  </si>
  <si>
    <t>GS26-165</t>
  </si>
  <si>
    <t>DIS175</t>
  </si>
  <si>
    <t>SAK2604010</t>
  </si>
  <si>
    <t>I 60109</t>
  </si>
  <si>
    <t>GS26-166</t>
  </si>
  <si>
    <t>DIS176</t>
  </si>
  <si>
    <t>SAK2604011</t>
  </si>
  <si>
    <t>I 12297</t>
  </si>
  <si>
    <t>GS26-167</t>
  </si>
  <si>
    <t>DIS177</t>
  </si>
  <si>
    <t>JYX2604016</t>
  </si>
  <si>
    <t>LAT2026-00300</t>
  </si>
  <si>
    <t>BLS26-0158 &amp; BLS26-0159</t>
  </si>
  <si>
    <t>BLS26-0160 &amp; BLS26-0161</t>
  </si>
  <si>
    <t>LAT2026-00358 &amp; LAT2026-00359</t>
  </si>
  <si>
    <t>E 98601-4/10</t>
  </si>
  <si>
    <t>LAT2026-00379 &amp; RE260012</t>
  </si>
  <si>
    <t>E 110436-4/24</t>
  </si>
  <si>
    <t>DIS178</t>
  </si>
  <si>
    <t>JR2604010</t>
  </si>
  <si>
    <t>JR2604011</t>
  </si>
  <si>
    <t>E 15984</t>
  </si>
  <si>
    <t>Original 945.54 + 6.6 STORAGE FEE 'E 79749 = 952.14</t>
  </si>
  <si>
    <t>E 16039</t>
  </si>
  <si>
    <t>DIS179</t>
  </si>
  <si>
    <t>JYX2605001</t>
  </si>
  <si>
    <t>E 16045</t>
  </si>
  <si>
    <t>DIS180</t>
  </si>
  <si>
    <t>JYX2605002</t>
  </si>
  <si>
    <t>E 118697</t>
  </si>
  <si>
    <t>DIS181</t>
  </si>
  <si>
    <t>JR2605001</t>
  </si>
  <si>
    <t>I 12592</t>
  </si>
  <si>
    <t>DIS182</t>
  </si>
  <si>
    <t>SAK2605001</t>
  </si>
  <si>
    <t>E 16485</t>
  </si>
  <si>
    <t>DIS183</t>
  </si>
  <si>
    <t>JYX2605003</t>
  </si>
  <si>
    <t>E 16521</t>
  </si>
  <si>
    <t>DIS184</t>
  </si>
  <si>
    <t>VFL2605001</t>
  </si>
  <si>
    <t>E 119429</t>
  </si>
  <si>
    <t>DIS185</t>
  </si>
  <si>
    <t>SAK2605002</t>
  </si>
  <si>
    <t>FINISHED SAT WEEK 1 DATE 9/5/26</t>
  </si>
  <si>
    <t>E 16803</t>
  </si>
  <si>
    <t>E 16818</t>
  </si>
  <si>
    <t>E 17265</t>
  </si>
  <si>
    <t>JYX2605004</t>
  </si>
  <si>
    <t>JYX2605005</t>
  </si>
  <si>
    <t>JYX2605006</t>
  </si>
  <si>
    <t>Should Pay</t>
  </si>
  <si>
    <t>Total</t>
  </si>
  <si>
    <t>PAID DONE ALL</t>
  </si>
  <si>
    <t>E 18690</t>
  </si>
  <si>
    <t>I 64252</t>
  </si>
  <si>
    <t>E 126330</t>
  </si>
  <si>
    <t>E 129471</t>
  </si>
  <si>
    <t>JYX2605007</t>
  </si>
  <si>
    <t>JYX2605008</t>
  </si>
  <si>
    <t>JR2605002</t>
  </si>
  <si>
    <t>JR2605003</t>
  </si>
  <si>
    <t>DIS186</t>
  </si>
  <si>
    <t>DIS187</t>
  </si>
  <si>
    <t>DIS188</t>
  </si>
  <si>
    <t>DIS189</t>
  </si>
  <si>
    <t>DIS190</t>
  </si>
  <si>
    <t>DIS191</t>
  </si>
  <si>
    <t>DIS192</t>
  </si>
  <si>
    <t>I 1299</t>
  </si>
  <si>
    <t>I 1522</t>
  </si>
  <si>
    <t>I 1561</t>
  </si>
  <si>
    <t>I 64223</t>
  </si>
  <si>
    <t>I 64230</t>
  </si>
  <si>
    <t>I 1521</t>
  </si>
  <si>
    <t>I 1298</t>
  </si>
  <si>
    <t>I 1557</t>
  </si>
  <si>
    <t>I 64237</t>
  </si>
  <si>
    <t>DIS193</t>
  </si>
  <si>
    <t>DIS194</t>
  </si>
  <si>
    <t>DIS195</t>
  </si>
  <si>
    <t>DIS196</t>
  </si>
  <si>
    <t>DIS197</t>
  </si>
  <si>
    <t>DIS198</t>
  </si>
  <si>
    <t>DIS199</t>
  </si>
  <si>
    <t>DIS200</t>
  </si>
  <si>
    <t>DIS201</t>
  </si>
  <si>
    <t>VFL2605002</t>
  </si>
  <si>
    <t>VFL2605003</t>
  </si>
  <si>
    <t>VFL2605004</t>
  </si>
  <si>
    <t>VFL2605005</t>
  </si>
  <si>
    <t>SAK2605003</t>
  </si>
  <si>
    <t>SAK2605004</t>
  </si>
  <si>
    <t>SAK2605005</t>
  </si>
  <si>
    <t>SAK2605006</t>
  </si>
  <si>
    <t>SAK2605007</t>
  </si>
  <si>
    <t>lacking lolo E 94582 &amp; E 95135 (26.40*2)</t>
  </si>
  <si>
    <t>FINISHED SAT WEEK3 DATE 23/5/26</t>
  </si>
  <si>
    <t>Exceed warehouse last month (I 1211)</t>
  </si>
  <si>
    <t>E 19991</t>
  </si>
  <si>
    <t>E 19970</t>
  </si>
  <si>
    <t>E 19977</t>
  </si>
  <si>
    <t>E 19998</t>
  </si>
  <si>
    <t>E 2007</t>
  </si>
  <si>
    <t>E 20021</t>
  </si>
  <si>
    <t>E 20012</t>
  </si>
  <si>
    <t>E 20017</t>
  </si>
  <si>
    <t>E 20019</t>
  </si>
  <si>
    <t>VFL2605006</t>
  </si>
  <si>
    <t>VFL2605007</t>
  </si>
  <si>
    <t>VFL2605008</t>
  </si>
  <si>
    <t>VFL2605009</t>
  </si>
  <si>
    <t>VFL2605010</t>
  </si>
  <si>
    <t>SAK2605008</t>
  </si>
  <si>
    <t>SAK2605009</t>
  </si>
  <si>
    <t>SAK2605010</t>
  </si>
  <si>
    <t>SAK2605011</t>
  </si>
  <si>
    <t>DIS202</t>
  </si>
  <si>
    <t>DIS203</t>
  </si>
  <si>
    <t>DIS204</t>
  </si>
  <si>
    <t>DIS205</t>
  </si>
  <si>
    <t>DIS206</t>
  </si>
  <si>
    <t>DIS207</t>
  </si>
  <si>
    <t>DIS208</t>
  </si>
  <si>
    <t>DIS209</t>
  </si>
  <si>
    <t>DIS210</t>
  </si>
  <si>
    <t>E 20340</t>
  </si>
  <si>
    <t>E 20353</t>
  </si>
  <si>
    <t>I 14562</t>
  </si>
  <si>
    <t>I 15436</t>
  </si>
  <si>
    <t>DIS211</t>
  </si>
  <si>
    <t>DIS212</t>
  </si>
  <si>
    <t>DIS213</t>
  </si>
  <si>
    <t>DIS214</t>
  </si>
  <si>
    <t>JYX2605009</t>
  </si>
  <si>
    <t>JYX2605010</t>
  </si>
  <si>
    <t>JYX2605011</t>
  </si>
  <si>
    <t>JYX2605012</t>
  </si>
  <si>
    <t>E 19861</t>
  </si>
  <si>
    <t>DIS215</t>
  </si>
  <si>
    <t>JYX2605013</t>
  </si>
  <si>
    <t>E 135354</t>
  </si>
  <si>
    <t>E 135368</t>
  </si>
  <si>
    <t>E 143483</t>
  </si>
  <si>
    <t>I 71890</t>
  </si>
  <si>
    <t>I 72096</t>
  </si>
  <si>
    <t>DIS216</t>
  </si>
  <si>
    <t>DIS217</t>
  </si>
  <si>
    <t>DIS218</t>
  </si>
  <si>
    <t>DIS219</t>
  </si>
  <si>
    <t>DIS220</t>
  </si>
  <si>
    <t>SAK2605012</t>
  </si>
  <si>
    <t>SAK2605013</t>
  </si>
  <si>
    <t>SAK2605014</t>
  </si>
  <si>
    <t>SAK2605015</t>
  </si>
  <si>
    <t>VFL2605011</t>
  </si>
  <si>
    <t>BLS26-0193 &amp;  BLS26-0194</t>
  </si>
  <si>
    <t>BLS26-0209 &amp; BLS26-0210</t>
  </si>
  <si>
    <t>BLS26-0221 &amp; BLS26-0222</t>
  </si>
  <si>
    <t>E 115341-4/30/26</t>
  </si>
  <si>
    <t>LAT2026-00417</t>
  </si>
  <si>
    <t>LAT2026-00486 &amp; RE260015</t>
  </si>
  <si>
    <t>E 121009-5/8/26</t>
  </si>
  <si>
    <t>LAT2026-00491 &amp; LAT2026-00492</t>
  </si>
  <si>
    <t>E 122248-5/8/26</t>
  </si>
  <si>
    <t>CGL26-00972&amp;CGL26-00973&amp;RM26-00499</t>
  </si>
  <si>
    <t>LAT2026-00564 &amp; RE260016</t>
  </si>
  <si>
    <t>E 140456-5/22/26</t>
  </si>
  <si>
    <t>DIS221</t>
  </si>
  <si>
    <t>DIS222</t>
  </si>
  <si>
    <t>DIS223</t>
  </si>
  <si>
    <t>DIS224</t>
  </si>
  <si>
    <t>DIS225</t>
  </si>
  <si>
    <t>DIS226</t>
  </si>
  <si>
    <t>DIS227</t>
  </si>
  <si>
    <t>JR2605004</t>
  </si>
  <si>
    <t>JR2605005</t>
  </si>
  <si>
    <t>JR2605006</t>
  </si>
  <si>
    <t>JR2605007</t>
  </si>
  <si>
    <t>JR2605008</t>
  </si>
  <si>
    <t>JR2605009</t>
  </si>
  <si>
    <t>JR2605010</t>
  </si>
  <si>
    <t>E 141994-5/25/26</t>
  </si>
  <si>
    <t>APPLY EXTENSION CDC TO JR APPAREL</t>
  </si>
  <si>
    <t>GS26-169</t>
  </si>
  <si>
    <t>GS26-168</t>
  </si>
  <si>
    <t>GS26-170</t>
  </si>
  <si>
    <t>GS26-171</t>
  </si>
  <si>
    <t>GS26-172</t>
  </si>
  <si>
    <t>GS26-173</t>
  </si>
  <si>
    <t>GS26-174</t>
  </si>
  <si>
    <t>GS26-175</t>
  </si>
  <si>
    <t>GS26-176</t>
  </si>
  <si>
    <t>GS26-177</t>
  </si>
  <si>
    <t>GS26-178</t>
  </si>
  <si>
    <t>GS26-179</t>
  </si>
  <si>
    <t>GS26-180</t>
  </si>
  <si>
    <t>GS26-181</t>
  </si>
  <si>
    <t>GS26-182</t>
  </si>
  <si>
    <t>GS26-183</t>
  </si>
  <si>
    <t>GS26-184</t>
  </si>
  <si>
    <t>GS26-185</t>
  </si>
  <si>
    <t>GS26-186</t>
  </si>
  <si>
    <t>GS26-187</t>
  </si>
  <si>
    <t>GS26-188</t>
  </si>
  <si>
    <t>GS26-189</t>
  </si>
  <si>
    <t>GS26-190</t>
  </si>
  <si>
    <t>GS26-191</t>
  </si>
  <si>
    <t>GS26-192</t>
  </si>
  <si>
    <t>GS26-193</t>
  </si>
  <si>
    <t>GS26-194</t>
  </si>
  <si>
    <t>GS26-195</t>
  </si>
  <si>
    <t>GS26-196</t>
  </si>
  <si>
    <t>GS26-197</t>
  </si>
  <si>
    <t>GS26-198</t>
  </si>
  <si>
    <t>GS26-199</t>
  </si>
  <si>
    <t>GS26-200</t>
  </si>
  <si>
    <t>GS26-201</t>
  </si>
  <si>
    <t>GS26-202</t>
  </si>
  <si>
    <t>GS26-203</t>
  </si>
  <si>
    <t>GS26-204</t>
  </si>
  <si>
    <t>GS26-205</t>
  </si>
  <si>
    <t>GS26-206</t>
  </si>
  <si>
    <t>GS26-207</t>
  </si>
  <si>
    <t>GS26-208</t>
  </si>
  <si>
    <t>GS26-209</t>
  </si>
  <si>
    <t>E 131163-15/5/26</t>
  </si>
  <si>
    <t>5612521921</t>
  </si>
  <si>
    <t>CGL26-00991&amp;CGL26-00992&amp;RM26-00506</t>
  </si>
  <si>
    <t>E 149931-5/31/26</t>
  </si>
  <si>
    <t>TOTAL PAID</t>
  </si>
  <si>
    <t>JR2605011</t>
  </si>
  <si>
    <t>DIS228</t>
  </si>
  <si>
    <t>I 1733</t>
  </si>
  <si>
    <t>I 1735</t>
  </si>
  <si>
    <t>DIS229</t>
  </si>
  <si>
    <t>E 150950</t>
  </si>
  <si>
    <t>I 15967</t>
  </si>
  <si>
    <t>E 151650</t>
  </si>
  <si>
    <t>E 152290</t>
  </si>
  <si>
    <t>E 22236</t>
  </si>
  <si>
    <t>E 22413</t>
  </si>
  <si>
    <t>E 22600</t>
  </si>
  <si>
    <t>E 155508</t>
  </si>
  <si>
    <t>E 158607</t>
  </si>
  <si>
    <t>E 158594</t>
  </si>
  <si>
    <t>VFL2606001</t>
  </si>
  <si>
    <t>SAK2606001</t>
  </si>
  <si>
    <t>JR2606001</t>
  </si>
  <si>
    <t>JYX2606001</t>
  </si>
  <si>
    <t>VFL2606002</t>
  </si>
  <si>
    <t>SAK2606002</t>
  </si>
  <si>
    <t>JYX2606002</t>
  </si>
  <si>
    <t>VFL2606003</t>
  </si>
  <si>
    <t>VFL2606004</t>
  </si>
  <si>
    <t>JR2606002</t>
  </si>
  <si>
    <t>JR2606003</t>
  </si>
  <si>
    <t>JR2606004</t>
  </si>
  <si>
    <t>JYX2606003</t>
  </si>
  <si>
    <t>GS26-210</t>
  </si>
  <si>
    <t>DIS230</t>
  </si>
  <si>
    <t>GS26-211</t>
  </si>
  <si>
    <t>DIS231</t>
  </si>
  <si>
    <t>GS26-212</t>
  </si>
  <si>
    <t>DIS232</t>
  </si>
  <si>
    <t>GS26-213</t>
  </si>
  <si>
    <t>DIS233</t>
  </si>
  <si>
    <t>GS26-214</t>
  </si>
  <si>
    <t>DIS234</t>
  </si>
  <si>
    <t>GS26-215</t>
  </si>
  <si>
    <t>DIS235</t>
  </si>
  <si>
    <t>GS26-216</t>
  </si>
  <si>
    <t>DIS236</t>
  </si>
  <si>
    <t>GS26-217</t>
  </si>
  <si>
    <t>DIS237</t>
  </si>
  <si>
    <t>GS26-218</t>
  </si>
  <si>
    <t>DIS238</t>
  </si>
  <si>
    <t>GS26-219</t>
  </si>
  <si>
    <t>DIS239</t>
  </si>
  <si>
    <t>GS26-220</t>
  </si>
  <si>
    <t>DIS240</t>
  </si>
  <si>
    <t>GS26-221</t>
  </si>
  <si>
    <t>DIS241</t>
  </si>
  <si>
    <t>GS26-222</t>
  </si>
  <si>
    <t>DIS242</t>
  </si>
  <si>
    <t>THC PAID ON MAY</t>
  </si>
  <si>
    <t>E 23449</t>
  </si>
  <si>
    <t>E 23451</t>
  </si>
  <si>
    <t>E 23455</t>
  </si>
  <si>
    <t>E 23458</t>
  </si>
  <si>
    <t>E 23464</t>
  </si>
  <si>
    <t>E 23474</t>
  </si>
  <si>
    <t>E 23668</t>
  </si>
  <si>
    <t>E 160433</t>
  </si>
  <si>
    <t>E 23460</t>
  </si>
  <si>
    <t>E 22401</t>
  </si>
  <si>
    <t>VFL2606005</t>
  </si>
  <si>
    <t>VFL2606006</t>
  </si>
  <si>
    <t>VFL2606007</t>
  </si>
  <si>
    <t>VFL2606008</t>
  </si>
  <si>
    <t>VFL2606009</t>
  </si>
  <si>
    <t>VFL2606010</t>
  </si>
  <si>
    <t>VFL2606011</t>
  </si>
  <si>
    <t>VFL2606012</t>
  </si>
  <si>
    <t>VFL2606013</t>
  </si>
  <si>
    <t>GS26-223</t>
  </si>
  <si>
    <t>DIS243</t>
  </si>
  <si>
    <t>GS26-224</t>
  </si>
  <si>
    <t>DIS244</t>
  </si>
  <si>
    <t>GS26-225</t>
  </si>
  <si>
    <t>DIS245</t>
  </si>
  <si>
    <t>GS26-226</t>
  </si>
  <si>
    <t>DIS246</t>
  </si>
  <si>
    <t>GS26-227</t>
  </si>
  <si>
    <t>DIS247</t>
  </si>
  <si>
    <t>GS26-228</t>
  </si>
  <si>
    <t>DIS248</t>
  </si>
  <si>
    <t>GS26-229</t>
  </si>
  <si>
    <t>DIS249</t>
  </si>
  <si>
    <t>GS26-230</t>
  </si>
  <si>
    <t>DIS250</t>
  </si>
  <si>
    <t>GS26-231</t>
  </si>
  <si>
    <t>DIS251</t>
  </si>
  <si>
    <t>JR2605012</t>
  </si>
  <si>
    <t>E 160452</t>
  </si>
  <si>
    <t>E 162796</t>
  </si>
  <si>
    <t>E 168235</t>
  </si>
  <si>
    <t>I 626</t>
  </si>
  <si>
    <t>I 18502</t>
  </si>
  <si>
    <t>I 86496</t>
  </si>
  <si>
    <t>GS26-232</t>
  </si>
  <si>
    <t>DIS252</t>
  </si>
  <si>
    <t>GS26-233</t>
  </si>
  <si>
    <t>DIS253</t>
  </si>
  <si>
    <t>GS26-234</t>
  </si>
  <si>
    <t>DIS254</t>
  </si>
  <si>
    <t>GS26-235</t>
  </si>
  <si>
    <t>DIS255</t>
  </si>
  <si>
    <t>GS26-236</t>
  </si>
  <si>
    <t>DIS256</t>
  </si>
  <si>
    <t>GS26-237</t>
  </si>
  <si>
    <t>DIS257</t>
  </si>
  <si>
    <t>GS26-238</t>
  </si>
  <si>
    <t>DIS258</t>
  </si>
  <si>
    <t>SAK2606003</t>
  </si>
  <si>
    <t>SAK2606004</t>
  </si>
  <si>
    <t>SAK2606005</t>
  </si>
  <si>
    <t>SAK2606006</t>
  </si>
  <si>
    <t>SAK2606007</t>
  </si>
  <si>
    <t>SAK2606008</t>
  </si>
  <si>
    <t>SAK2606009</t>
  </si>
  <si>
    <t>E 165484</t>
  </si>
  <si>
    <t>JR2606005</t>
  </si>
  <si>
    <t>I 625</t>
  </si>
  <si>
    <t>E 24809</t>
  </si>
  <si>
    <t>GS26-239</t>
  </si>
  <si>
    <t>DIS259</t>
  </si>
  <si>
    <t>GS26-240</t>
  </si>
  <si>
    <t>DIS260</t>
  </si>
  <si>
    <t>GS26-241</t>
  </si>
  <si>
    <t>DIS261</t>
  </si>
  <si>
    <t>I 2091</t>
  </si>
  <si>
    <t>BLS26-0264 &amp; BLS26-0265</t>
  </si>
  <si>
    <t>CGL26-01170-1171&amp;RM26-00604</t>
  </si>
  <si>
    <t>CGL26-01103-1104-1107&amp;RM26-00571</t>
  </si>
  <si>
    <t>CGL26-01166-1167-RM26-00602</t>
  </si>
  <si>
    <t>APLL26007073</t>
  </si>
  <si>
    <t>APLL26007021</t>
  </si>
  <si>
    <t>BLS26-0281&amp;BLS26-0282&amp;RM26-0039</t>
  </si>
  <si>
    <t>DIS262</t>
  </si>
  <si>
    <t>DIS263</t>
  </si>
  <si>
    <t>DIS264</t>
  </si>
  <si>
    <t>DIS265</t>
  </si>
  <si>
    <t>DIS266</t>
  </si>
  <si>
    <t>DIS267</t>
  </si>
  <si>
    <t>JR2606006</t>
  </si>
  <si>
    <t>JR2606007</t>
  </si>
  <si>
    <t>JR2606008</t>
  </si>
  <si>
    <t>JR2606009</t>
  </si>
  <si>
    <t>JR2606010</t>
  </si>
  <si>
    <t>JR2606011</t>
  </si>
  <si>
    <t>JR2606012</t>
  </si>
  <si>
    <t>JR2606013</t>
  </si>
  <si>
    <t>INVENTORY FROM JAN TO JUN2026</t>
  </si>
  <si>
    <t>TIDM260483&amp;TIDM260484</t>
  </si>
  <si>
    <t>DIS268</t>
  </si>
  <si>
    <t>CGL26-01240-01241&amp;RM26-00642</t>
  </si>
  <si>
    <t>TI-26-008</t>
  </si>
  <si>
    <t>TICF20261610&amp;TICF20261611</t>
  </si>
  <si>
    <t>E 26895</t>
  </si>
  <si>
    <t>E 184114</t>
  </si>
  <si>
    <t>I 18959</t>
  </si>
  <si>
    <t>I 18962</t>
  </si>
  <si>
    <t>E 178756</t>
  </si>
  <si>
    <t>I 19067</t>
  </si>
  <si>
    <t>I 91062</t>
  </si>
  <si>
    <t>I 91069</t>
  </si>
  <si>
    <t>I 91080</t>
  </si>
  <si>
    <t>I 92883</t>
  </si>
  <si>
    <t>I 95338</t>
  </si>
  <si>
    <t>GS26-242</t>
  </si>
  <si>
    <t>GS26-243</t>
  </si>
  <si>
    <t>GS26-244</t>
  </si>
  <si>
    <t>GS26-245</t>
  </si>
  <si>
    <t>GS26-246</t>
  </si>
  <si>
    <t>GS26-247</t>
  </si>
  <si>
    <t>GS26-248</t>
  </si>
  <si>
    <t>GS26-249</t>
  </si>
  <si>
    <t>DIS269</t>
  </si>
  <si>
    <t>GS26-250</t>
  </si>
  <si>
    <t>DIS270</t>
  </si>
  <si>
    <t>GS26-251</t>
  </si>
  <si>
    <t>DIS271</t>
  </si>
  <si>
    <t>GS26-252</t>
  </si>
  <si>
    <t>DIS272</t>
  </si>
  <si>
    <t>DIS273</t>
  </si>
  <si>
    <t>DIS274</t>
  </si>
  <si>
    <t>DIS275</t>
  </si>
  <si>
    <t>DIS276</t>
  </si>
  <si>
    <t>DIS277</t>
  </si>
  <si>
    <t>DIS278</t>
  </si>
  <si>
    <t>DIS279</t>
  </si>
  <si>
    <t>DIS280</t>
  </si>
  <si>
    <t>JYX2606004</t>
  </si>
  <si>
    <t>JYX2606005</t>
  </si>
  <si>
    <t>JYX2606006</t>
  </si>
  <si>
    <t>JYX2606007</t>
  </si>
  <si>
    <t>SAK2606010</t>
  </si>
  <si>
    <t>SAK2606011</t>
  </si>
  <si>
    <t>SAK2606012</t>
  </si>
  <si>
    <t>SAK2606013</t>
  </si>
  <si>
    <t>VFL2606014</t>
  </si>
  <si>
    <t>VFL2606015</t>
  </si>
  <si>
    <t>VFL2606016</t>
  </si>
  <si>
    <t>VFL2606017</t>
  </si>
  <si>
    <t>VFL2606018</t>
  </si>
  <si>
    <t>I 95925</t>
  </si>
  <si>
    <t>DIS281</t>
  </si>
  <si>
    <t>DIS282</t>
  </si>
  <si>
    <t>DIS283</t>
  </si>
  <si>
    <t>DIS284</t>
  </si>
  <si>
    <t>LACKING STORAGE (13.20)</t>
  </si>
  <si>
    <t>I 95352</t>
  </si>
  <si>
    <t>GS26-253</t>
  </si>
  <si>
    <t>DIS285</t>
  </si>
  <si>
    <t>JYX2606008</t>
  </si>
  <si>
    <t>GS26-254</t>
  </si>
  <si>
    <t>DIS286</t>
  </si>
  <si>
    <t>JYX2606009</t>
  </si>
  <si>
    <t>GS26-255</t>
  </si>
  <si>
    <t>DIS287</t>
  </si>
  <si>
    <t>JYX2606010</t>
  </si>
  <si>
    <t>GS26-256</t>
  </si>
  <si>
    <t>DIS288</t>
  </si>
  <si>
    <t>JYX2606011</t>
  </si>
  <si>
    <t>GS26-257</t>
  </si>
  <si>
    <t>DIS289</t>
  </si>
  <si>
    <t>JYX2606012</t>
  </si>
  <si>
    <t>JYX2606013</t>
  </si>
  <si>
    <t>E 165443</t>
  </si>
  <si>
    <t>I 487</t>
  </si>
  <si>
    <t>E 174326</t>
  </si>
  <si>
    <t>E 26037</t>
  </si>
  <si>
    <t>I 18748</t>
  </si>
  <si>
    <t>GS26-258</t>
  </si>
  <si>
    <t>OTHER PAY</t>
  </si>
  <si>
    <t>I 2335</t>
  </si>
  <si>
    <t>I 96700</t>
  </si>
  <si>
    <t>DIS290</t>
  </si>
  <si>
    <t>E 157509</t>
  </si>
  <si>
    <t>E 166063</t>
  </si>
  <si>
    <t>E 167278</t>
  </si>
  <si>
    <t>E 168899</t>
  </si>
  <si>
    <t>E 173249</t>
  </si>
  <si>
    <t>E 168958</t>
  </si>
  <si>
    <t>E 175464</t>
  </si>
  <si>
    <t>PAID ON: 20-JUN-26</t>
  </si>
  <si>
    <t>PAID ON: 08-JUL-26</t>
  </si>
  <si>
    <t>SHOULD PAY:</t>
  </si>
  <si>
    <t>E 28011</t>
  </si>
  <si>
    <t>E 28017</t>
  </si>
  <si>
    <t>E 27975</t>
  </si>
  <si>
    <t>I 96707</t>
  </si>
  <si>
    <t>E 27979</t>
  </si>
  <si>
    <t>E 27991</t>
  </si>
  <si>
    <t>E 27998</t>
  </si>
  <si>
    <t>E 28634</t>
  </si>
  <si>
    <t>E 192693</t>
  </si>
  <si>
    <t>I 19496</t>
  </si>
  <si>
    <t>E 28287</t>
  </si>
  <si>
    <t>E 191506</t>
  </si>
  <si>
    <t>E 191579</t>
  </si>
  <si>
    <t>I 2332</t>
  </si>
  <si>
    <t>I 19480</t>
  </si>
  <si>
    <t>SAK2607001</t>
  </si>
  <si>
    <t>JYX2607001</t>
  </si>
  <si>
    <t>JYX2607002</t>
  </si>
  <si>
    <t>SAK2607002</t>
  </si>
  <si>
    <t>SAK2607003</t>
  </si>
  <si>
    <t>JR2607001</t>
  </si>
  <si>
    <t>VFL2607001</t>
  </si>
  <si>
    <t>VFL2607002</t>
  </si>
  <si>
    <t>VFL2607003</t>
  </si>
  <si>
    <t>JYX2607003</t>
  </si>
  <si>
    <t>JYX2607004</t>
  </si>
  <si>
    <t>JYX2607005</t>
  </si>
  <si>
    <t>SAK2607004</t>
  </si>
  <si>
    <t>SAK2607005</t>
  </si>
  <si>
    <t>SAK2607006</t>
  </si>
  <si>
    <t>SAK2607007</t>
  </si>
  <si>
    <t>VFL2607004</t>
  </si>
  <si>
    <t>VFL2607005</t>
  </si>
  <si>
    <t>GS26-259</t>
  </si>
  <si>
    <t>DIS291</t>
  </si>
  <si>
    <t>GS26-260</t>
  </si>
  <si>
    <t>DIS292</t>
  </si>
  <si>
    <t>GS26-261</t>
  </si>
  <si>
    <t>DIS293</t>
  </si>
  <si>
    <t>GS26-262</t>
  </si>
  <si>
    <t>DIS294</t>
  </si>
  <si>
    <t>GS26-263</t>
  </si>
  <si>
    <t>DIS295</t>
  </si>
  <si>
    <t>GS26-264</t>
  </si>
  <si>
    <t>DIS296</t>
  </si>
  <si>
    <t>GS26-265</t>
  </si>
  <si>
    <t>DIS297</t>
  </si>
  <si>
    <t>GS26-266</t>
  </si>
  <si>
    <t>DIS298</t>
  </si>
  <si>
    <t>GS26-267</t>
  </si>
  <si>
    <t>DIS299</t>
  </si>
  <si>
    <t>GS26-268</t>
  </si>
  <si>
    <t>DIS300</t>
  </si>
  <si>
    <t>GS26-269</t>
  </si>
  <si>
    <t>DIS301</t>
  </si>
  <si>
    <t>GS26-270</t>
  </si>
  <si>
    <t>DIS302</t>
  </si>
  <si>
    <t>GS26-271</t>
  </si>
  <si>
    <t>DIS303</t>
  </si>
  <si>
    <t>GS26-272</t>
  </si>
  <si>
    <t>DIS304</t>
  </si>
  <si>
    <t>GS26-273</t>
  </si>
  <si>
    <t>DIS305</t>
  </si>
  <si>
    <t>GS26-274</t>
  </si>
  <si>
    <t>DIS306</t>
  </si>
  <si>
    <t>GS26-275</t>
  </si>
  <si>
    <t>DIS307</t>
  </si>
  <si>
    <t>GS26-276</t>
  </si>
  <si>
    <t>DIS308</t>
  </si>
  <si>
    <t>PAID ON: 17-JUL-27</t>
  </si>
  <si>
    <t>PAID FOR NEXT MONTH</t>
  </si>
  <si>
    <t>PERMIT FE</t>
  </si>
  <si>
    <t>I 1768</t>
  </si>
  <si>
    <t>I 2482</t>
  </si>
  <si>
    <t>I 20128</t>
  </si>
  <si>
    <t>I 20586</t>
  </si>
  <si>
    <t>I 98539</t>
  </si>
  <si>
    <t>I 99763</t>
  </si>
  <si>
    <t>I 1767</t>
  </si>
  <si>
    <t>I 2483</t>
  </si>
  <si>
    <t>E 202564</t>
  </si>
  <si>
    <t>GS26-277</t>
  </si>
  <si>
    <t>DIS309</t>
  </si>
  <si>
    <t>GS26-278</t>
  </si>
  <si>
    <t>DIS310</t>
  </si>
  <si>
    <t>GS26-279</t>
  </si>
  <si>
    <t>DIS311</t>
  </si>
  <si>
    <t>GS26-280</t>
  </si>
  <si>
    <t>DIS312</t>
  </si>
  <si>
    <t>GS26-281</t>
  </si>
  <si>
    <t>DIS313</t>
  </si>
  <si>
    <t>GS26-282</t>
  </si>
  <si>
    <t>DIS314</t>
  </si>
  <si>
    <t>GS26-283</t>
  </si>
  <si>
    <t>DIS315</t>
  </si>
  <si>
    <t>GS26-284</t>
  </si>
  <si>
    <t>DIS316</t>
  </si>
  <si>
    <t>GS26-285</t>
  </si>
  <si>
    <t>DIS317</t>
  </si>
  <si>
    <t>VFL2607006</t>
  </si>
  <si>
    <t>VFL2607007</t>
  </si>
  <si>
    <t>VFL2607008</t>
  </si>
  <si>
    <t>VFL2607009</t>
  </si>
  <si>
    <t>VFL2607010</t>
  </si>
  <si>
    <t>VFL2607011</t>
  </si>
  <si>
    <t>SAK2607008</t>
  </si>
  <si>
    <t>JR2607002</t>
  </si>
  <si>
    <t>SAK2607009</t>
  </si>
  <si>
    <t>E 200982</t>
  </si>
  <si>
    <t>E 29708</t>
  </si>
  <si>
    <t>E 30246</t>
  </si>
  <si>
    <t>E 30999</t>
  </si>
  <si>
    <t>GS26-286</t>
  </si>
  <si>
    <t>DIS318</t>
  </si>
  <si>
    <t>GS26-287</t>
  </si>
  <si>
    <t>DIS319</t>
  </si>
  <si>
    <t>GS26-288</t>
  </si>
  <si>
    <t>DIS320</t>
  </si>
  <si>
    <t>GS26-289</t>
  </si>
  <si>
    <t>DIS321</t>
  </si>
  <si>
    <t>JYX2607006</t>
  </si>
  <si>
    <t>JYX2607007</t>
  </si>
  <si>
    <t>JYX2607008</t>
  </si>
  <si>
    <t>JYX2607009</t>
  </si>
  <si>
    <t>JR2606014</t>
  </si>
  <si>
    <t>PAID TO BRILLIANT LINE SERVICE</t>
  </si>
  <si>
    <t>Lack charge in ship I95352, but charge to factory done</t>
  </si>
  <si>
    <t>E 31674</t>
  </si>
  <si>
    <t>I 99578</t>
  </si>
  <si>
    <t>E 31681</t>
  </si>
  <si>
    <t>E 31867</t>
  </si>
  <si>
    <t>E 31871</t>
  </si>
  <si>
    <t>E 209077</t>
  </si>
  <si>
    <t>I 21349</t>
  </si>
  <si>
    <t>I 21352</t>
  </si>
  <si>
    <t>JYX2607010</t>
  </si>
  <si>
    <t>GS26-290</t>
  </si>
  <si>
    <t>DIS322</t>
  </si>
  <si>
    <t>GS26-291</t>
  </si>
  <si>
    <t>DIS323</t>
  </si>
  <si>
    <t>GS26-292</t>
  </si>
  <si>
    <t>DIS324</t>
  </si>
  <si>
    <t>GS26-293</t>
  </si>
  <si>
    <t>DIS325</t>
  </si>
  <si>
    <t>GS26-294</t>
  </si>
  <si>
    <t>DIS326</t>
  </si>
  <si>
    <t>GS26-295</t>
  </si>
  <si>
    <t>DIS327</t>
  </si>
  <si>
    <t>GS26-296</t>
  </si>
  <si>
    <t>DIS328</t>
  </si>
  <si>
    <t>GS26-297</t>
  </si>
  <si>
    <t>DIS329</t>
  </si>
  <si>
    <t>SAK2607010</t>
  </si>
  <si>
    <t>JYX2607011</t>
  </si>
  <si>
    <t>JYX2607012</t>
  </si>
  <si>
    <t>JYX2607013</t>
  </si>
  <si>
    <t>VFL2607012</t>
  </si>
  <si>
    <t>VFL2607013</t>
  </si>
  <si>
    <t>VFL2607014</t>
  </si>
  <si>
    <t>PAID ON: 24-JUL-27</t>
  </si>
  <si>
    <t>I 104042</t>
  </si>
  <si>
    <t>E 33198</t>
  </si>
  <si>
    <t>E 33605</t>
  </si>
  <si>
    <t>E 33601</t>
  </si>
  <si>
    <t>I 104056</t>
  </si>
  <si>
    <t>E 32759</t>
  </si>
  <si>
    <t>E 33201</t>
  </si>
  <si>
    <t>E 33594</t>
  </si>
  <si>
    <t>E 219417</t>
  </si>
  <si>
    <t>I 574</t>
  </si>
  <si>
    <t>I 102722</t>
  </si>
  <si>
    <t>GS26-298</t>
  </si>
  <si>
    <t>DIS330</t>
  </si>
  <si>
    <t>GS26-299</t>
  </si>
  <si>
    <t>DIS331</t>
  </si>
  <si>
    <t>GS26-300</t>
  </si>
  <si>
    <t>DIS332</t>
  </si>
  <si>
    <t>GS26-301</t>
  </si>
  <si>
    <t>DIS333</t>
  </si>
  <si>
    <t>GS26-302</t>
  </si>
  <si>
    <t>DIS334</t>
  </si>
  <si>
    <t>GS26-303</t>
  </si>
  <si>
    <t>DIS335</t>
  </si>
  <si>
    <t>GS26-304</t>
  </si>
  <si>
    <t>DIS336</t>
  </si>
  <si>
    <t>GS26-305</t>
  </si>
  <si>
    <t>DIS337</t>
  </si>
  <si>
    <t>GS26-306</t>
  </si>
  <si>
    <t>DIS338</t>
  </si>
  <si>
    <t>GS26-307</t>
  </si>
  <si>
    <t>DIS339</t>
  </si>
  <si>
    <t>GS26-308</t>
  </si>
  <si>
    <t>DIS340</t>
  </si>
  <si>
    <t>JYX2607014</t>
  </si>
  <si>
    <t>JYX2607017</t>
  </si>
  <si>
    <t>JYX2607018</t>
  </si>
  <si>
    <t>JYX2607019</t>
  </si>
  <si>
    <t>E 217726</t>
  </si>
  <si>
    <t>GS26-309</t>
  </si>
  <si>
    <t>DIS341</t>
  </si>
  <si>
    <t>SAK2607011</t>
  </si>
  <si>
    <t>SAK2607012</t>
  </si>
  <si>
    <t>SAK2607013</t>
  </si>
  <si>
    <t>SAK2607014</t>
  </si>
  <si>
    <t>SAK2607015</t>
  </si>
  <si>
    <t>VFL2607015</t>
  </si>
  <si>
    <t>I 1875</t>
  </si>
  <si>
    <t>GS26-310</t>
  </si>
  <si>
    <t>DIS342</t>
  </si>
  <si>
    <t>VFL2607016</t>
  </si>
  <si>
    <t>I 105711</t>
  </si>
  <si>
    <t>I 105712</t>
  </si>
  <si>
    <t>I 107653</t>
  </si>
  <si>
    <t>GS26-311</t>
  </si>
  <si>
    <t>DIS343</t>
  </si>
  <si>
    <t>GS26-312</t>
  </si>
  <si>
    <t>DIS344</t>
  </si>
  <si>
    <t>DIS345</t>
  </si>
  <si>
    <t>JR2607003</t>
  </si>
  <si>
    <t>JR2607004</t>
  </si>
  <si>
    <t>AOTAI Clear</t>
  </si>
  <si>
    <t>GS26-313</t>
  </si>
  <si>
    <t>E 208779</t>
  </si>
  <si>
    <t>CGL26-01529-1530&amp;RM26-00786</t>
  </si>
  <si>
    <t>E 195384</t>
  </si>
  <si>
    <t>E 214571</t>
  </si>
  <si>
    <t>CGL26-01574&amp;RM26-00802</t>
  </si>
  <si>
    <t>CGL26-01448&amp;RM26-00743</t>
  </si>
  <si>
    <t>DIS346</t>
  </si>
  <si>
    <t>DIS347</t>
  </si>
  <si>
    <t>DIS348</t>
  </si>
  <si>
    <t>JR2607006</t>
  </si>
  <si>
    <t>JR2607008</t>
  </si>
  <si>
    <t>JR2607007</t>
  </si>
  <si>
    <t>E 227550</t>
  </si>
  <si>
    <t>E 34482</t>
  </si>
  <si>
    <t>E 34987</t>
  </si>
  <si>
    <t>E 34991</t>
  </si>
  <si>
    <t>E 35018</t>
  </si>
  <si>
    <t>E 35042</t>
  </si>
  <si>
    <t>I 2651</t>
  </si>
  <si>
    <t>I 22648</t>
  </si>
  <si>
    <t>E 35115</t>
  </si>
  <si>
    <t>I 2652</t>
  </si>
  <si>
    <t>I 22282</t>
  </si>
  <si>
    <t>GS26-314</t>
  </si>
  <si>
    <t>GS26-315</t>
  </si>
  <si>
    <t>GS26-316</t>
  </si>
  <si>
    <t>GS26-317</t>
  </si>
  <si>
    <t>DIS349</t>
  </si>
  <si>
    <t>GS26-318</t>
  </si>
  <si>
    <t>DIS350</t>
  </si>
  <si>
    <t>GS26-319</t>
  </si>
  <si>
    <t>DIS351</t>
  </si>
  <si>
    <t>GS26-320</t>
  </si>
  <si>
    <t>DIS352</t>
  </si>
  <si>
    <t>GS26-321</t>
  </si>
  <si>
    <t>DIS353</t>
  </si>
  <si>
    <t>GS26-322</t>
  </si>
  <si>
    <t>DIS354</t>
  </si>
  <si>
    <t>GS26-323</t>
  </si>
  <si>
    <t>DIS355</t>
  </si>
  <si>
    <t>GS26-324</t>
  </si>
  <si>
    <t>DIS356</t>
  </si>
  <si>
    <t>GS26-325</t>
  </si>
  <si>
    <t>DIS357</t>
  </si>
  <si>
    <t>SAK2607016</t>
  </si>
  <si>
    <t>SAK2607017</t>
  </si>
  <si>
    <t>SAK2607018</t>
  </si>
  <si>
    <t>SAK2607019</t>
  </si>
  <si>
    <t>SAK2607020</t>
  </si>
  <si>
    <t>SAK2607021</t>
  </si>
  <si>
    <t>SAK2607023</t>
  </si>
  <si>
    <t>SAK2607022</t>
  </si>
  <si>
    <t>VFL2607017</t>
  </si>
  <si>
    <t>VFL2607018</t>
  </si>
  <si>
    <t>VFL2607019</t>
  </si>
  <si>
    <t>JYX2607020</t>
  </si>
  <si>
    <t>DIS358</t>
  </si>
  <si>
    <t>DIS359</t>
  </si>
  <si>
    <t>DIS360</t>
  </si>
  <si>
    <t>I 111738</t>
  </si>
  <si>
    <t>DIS361</t>
  </si>
  <si>
    <t>DIS362</t>
  </si>
  <si>
    <t>JR2607005</t>
  </si>
  <si>
    <t>E 189000</t>
  </si>
  <si>
    <t>JR2607009</t>
  </si>
  <si>
    <t>DIS363</t>
  </si>
  <si>
    <t>DIS364</t>
  </si>
  <si>
    <t>JR2607010</t>
  </si>
  <si>
    <t>TIDM260564/565</t>
  </si>
  <si>
    <t>I 1879</t>
  </si>
  <si>
    <t>E 36275</t>
  </si>
  <si>
    <t>E 36285</t>
  </si>
  <si>
    <t>I 1960</t>
  </si>
  <si>
    <t>I 23221</t>
  </si>
  <si>
    <t>I 1961</t>
  </si>
  <si>
    <t>I 23070</t>
  </si>
  <si>
    <t>I 23273</t>
  </si>
  <si>
    <t>VFL2608001</t>
  </si>
  <si>
    <t>SAK2608001</t>
  </si>
  <si>
    <t>VFL2608002</t>
  </si>
  <si>
    <t>VFL2608003</t>
  </si>
  <si>
    <t>SAK2608002</t>
  </si>
  <si>
    <t>SAK2608003</t>
  </si>
  <si>
    <t>SAK2608004</t>
  </si>
  <si>
    <t>VFL2608004</t>
  </si>
  <si>
    <t>JYX2608001</t>
  </si>
  <si>
    <t>JYX2608002</t>
  </si>
  <si>
    <t>GS26-326</t>
  </si>
  <si>
    <t>DIS365</t>
  </si>
  <si>
    <t>DECLARE/ INV F.W NO</t>
  </si>
  <si>
    <t>PAID ON: 10-AUG-28</t>
  </si>
  <si>
    <t>JYX2607015</t>
  </si>
  <si>
    <t>JYX2607016</t>
  </si>
  <si>
    <t>PAID ON: 13/8/26</t>
  </si>
  <si>
    <t>E 225809</t>
  </si>
  <si>
    <t>E 38165</t>
  </si>
  <si>
    <t>I 117276</t>
  </si>
  <si>
    <t>GS26-327</t>
  </si>
  <si>
    <t>DIS366</t>
  </si>
  <si>
    <t>GS26-328</t>
  </si>
  <si>
    <t>DIS367</t>
  </si>
  <si>
    <t>GS26-329</t>
  </si>
  <si>
    <t>DIS368</t>
  </si>
  <si>
    <t>GS26-330</t>
  </si>
  <si>
    <t>DIS369</t>
  </si>
  <si>
    <t>GS26-331</t>
  </si>
  <si>
    <t>DIS370</t>
  </si>
  <si>
    <t>GS26-332</t>
  </si>
  <si>
    <t>DIS371</t>
  </si>
  <si>
    <t>GS26-333</t>
  </si>
  <si>
    <t>DIS372</t>
  </si>
  <si>
    <t>GS26-334</t>
  </si>
  <si>
    <t>DIS373</t>
  </si>
  <si>
    <t>GS26-335</t>
  </si>
  <si>
    <t>DIS374</t>
  </si>
  <si>
    <t>GS26-336</t>
  </si>
  <si>
    <t>DIS375</t>
  </si>
  <si>
    <t>GS26-337</t>
  </si>
  <si>
    <t>DIS376</t>
  </si>
  <si>
    <t>GS26-338</t>
  </si>
  <si>
    <t>DIS377</t>
  </si>
  <si>
    <t>JYX2608003</t>
  </si>
  <si>
    <t>JYX2608004</t>
  </si>
  <si>
    <t>SAK2608005</t>
  </si>
  <si>
    <t>SAK2608006</t>
  </si>
  <si>
    <t>VFL2608005</t>
  </si>
  <si>
    <t>VFL2608006</t>
  </si>
  <si>
    <t>VFL2608007</t>
  </si>
  <si>
    <t>E 35466</t>
  </si>
  <si>
    <t>E 36706</t>
  </si>
  <si>
    <t>E 39116</t>
  </si>
  <si>
    <t>E 245475</t>
  </si>
  <si>
    <t>I 2792</t>
  </si>
  <si>
    <t>I 21609</t>
  </si>
  <si>
    <t>E 241907</t>
  </si>
  <si>
    <t>I 2793</t>
  </si>
  <si>
    <t>GS26-339</t>
  </si>
  <si>
    <t>DIS378</t>
  </si>
  <si>
    <t>GS26-340</t>
  </si>
  <si>
    <t>DIS379</t>
  </si>
  <si>
    <t>GS26-341</t>
  </si>
  <si>
    <t>DIS380</t>
  </si>
  <si>
    <t>GS26-342</t>
  </si>
  <si>
    <t>DIS381</t>
  </si>
  <si>
    <t>GS26-343</t>
  </si>
  <si>
    <t>DIS382</t>
  </si>
  <si>
    <t>GS26-344</t>
  </si>
  <si>
    <t>DIS383</t>
  </si>
  <si>
    <t>VFL2608008</t>
  </si>
  <si>
    <t>JYX2608005</t>
  </si>
  <si>
    <t>SHOULD PAY</t>
  </si>
  <si>
    <t>E 38185</t>
  </si>
  <si>
    <t>E 40020</t>
  </si>
  <si>
    <t>I 2063</t>
  </si>
  <si>
    <t>I 120893</t>
  </si>
  <si>
    <t>I 122050</t>
  </si>
  <si>
    <t>GS26-345</t>
  </si>
  <si>
    <t>DIS384</t>
  </si>
  <si>
    <t>GS26-346</t>
  </si>
  <si>
    <t>DIS385</t>
  </si>
  <si>
    <t>GS26-347</t>
  </si>
  <si>
    <t>DIS386</t>
  </si>
  <si>
    <t>GS26-348</t>
  </si>
  <si>
    <t>DIS387</t>
  </si>
  <si>
    <t>VFL2608009</t>
  </si>
  <si>
    <t>JYX2608006</t>
  </si>
  <si>
    <t>JR2608001</t>
  </si>
  <si>
    <t>JR2608002</t>
  </si>
  <si>
    <t>E 251185</t>
  </si>
  <si>
    <t>E 256765</t>
  </si>
  <si>
    <t>I 123321</t>
  </si>
  <si>
    <t>JR2608003</t>
  </si>
  <si>
    <t>JR2608004</t>
  </si>
  <si>
    <t>I 125081</t>
  </si>
  <si>
    <t>112-09026533</t>
  </si>
  <si>
    <t>VFL2608010</t>
  </si>
  <si>
    <t>VFL2608011</t>
  </si>
  <si>
    <t>VFL2608012</t>
  </si>
  <si>
    <t>JYX2608007</t>
  </si>
  <si>
    <t>E 241838</t>
  </si>
  <si>
    <t>JR2608005</t>
  </si>
  <si>
    <t>JR2608006</t>
  </si>
  <si>
    <t>GS26-349</t>
  </si>
  <si>
    <t>DIS388</t>
  </si>
  <si>
    <t>GS26-350</t>
  </si>
  <si>
    <t>DIS389</t>
  </si>
  <si>
    <t>GS26-351</t>
  </si>
  <si>
    <t>DIS390</t>
  </si>
  <si>
    <t>GS26-352</t>
  </si>
  <si>
    <t>DIS391</t>
  </si>
  <si>
    <t>GS26-353</t>
  </si>
  <si>
    <t>DIS392</t>
  </si>
  <si>
    <t>GS26-354</t>
  </si>
  <si>
    <t>DIS393</t>
  </si>
  <si>
    <t>JR2608007</t>
  </si>
  <si>
    <t>JR2608008</t>
  </si>
  <si>
    <t>DIS394</t>
  </si>
  <si>
    <t>E 245477</t>
  </si>
  <si>
    <t>E 41922</t>
  </si>
  <si>
    <t>I 25898</t>
  </si>
  <si>
    <t>GS26-355</t>
  </si>
  <si>
    <t>JYX2608008</t>
  </si>
  <si>
    <t>I 2934</t>
  </si>
  <si>
    <t>I 25544</t>
  </si>
  <si>
    <t>E 257554</t>
  </si>
  <si>
    <t>E 42843</t>
  </si>
  <si>
    <t>GS26-356</t>
  </si>
  <si>
    <t>DIS395</t>
  </si>
  <si>
    <t>GS26-357</t>
  </si>
  <si>
    <t>DIS396</t>
  </si>
  <si>
    <t>SAK2608007</t>
  </si>
  <si>
    <t>SAK2608008</t>
  </si>
  <si>
    <t>DIS397</t>
  </si>
  <si>
    <t>DIS398</t>
  </si>
  <si>
    <t>DIS399</t>
  </si>
  <si>
    <t>DIS400</t>
  </si>
  <si>
    <t>JR2608009</t>
  </si>
  <si>
    <t>pay to moc OFFICER 100 this invoice wrong q'ty of PCS</t>
  </si>
  <si>
    <t>MIH CHARGE FROM JAN TO AUG-2026</t>
  </si>
  <si>
    <t>PENDING BILL FEE FROM OPERATION</t>
  </si>
  <si>
    <t>E 44677</t>
  </si>
  <si>
    <t>E 44700</t>
  </si>
  <si>
    <t>I 129538</t>
  </si>
  <si>
    <t>E 259225</t>
  </si>
  <si>
    <t>E 264560</t>
  </si>
  <si>
    <t>OVERPAYMENT:</t>
  </si>
  <si>
    <t>E 264562</t>
  </si>
  <si>
    <t>E 272714</t>
  </si>
  <si>
    <t>E 275226</t>
  </si>
  <si>
    <t>E 273634</t>
  </si>
  <si>
    <t>I 1970</t>
  </si>
  <si>
    <t>E 273293</t>
  </si>
  <si>
    <t>I 1971</t>
  </si>
  <si>
    <t>I 26400</t>
  </si>
  <si>
    <t>I 27394</t>
  </si>
  <si>
    <t>I 130973</t>
  </si>
  <si>
    <t>GS26-358</t>
  </si>
  <si>
    <t>DIS401</t>
  </si>
  <si>
    <t>GS26-359</t>
  </si>
  <si>
    <t>DIS402</t>
  </si>
  <si>
    <t>GS26-360</t>
  </si>
  <si>
    <t>DIS403</t>
  </si>
  <si>
    <t>GS26-361</t>
  </si>
  <si>
    <t>DIS404</t>
  </si>
  <si>
    <t>GS26-362</t>
  </si>
  <si>
    <t>DIS405</t>
  </si>
  <si>
    <t>GS26-363</t>
  </si>
  <si>
    <t>DIS406</t>
  </si>
  <si>
    <t>GS26-364</t>
  </si>
  <si>
    <t>DIS407</t>
  </si>
  <si>
    <t>GS26-365</t>
  </si>
  <si>
    <t>DIS408</t>
  </si>
  <si>
    <t>GS26-366</t>
  </si>
  <si>
    <t>DIS409</t>
  </si>
  <si>
    <t>GS26-367</t>
  </si>
  <si>
    <t>DIS410</t>
  </si>
  <si>
    <t>GS26-368</t>
  </si>
  <si>
    <t>DIS411</t>
  </si>
  <si>
    <t>GS26-369</t>
  </si>
  <si>
    <t>DIS412</t>
  </si>
  <si>
    <t>GS26-370</t>
  </si>
  <si>
    <t>DIS413</t>
  </si>
  <si>
    <t>GS26-371</t>
  </si>
  <si>
    <t>DIS414</t>
  </si>
  <si>
    <t>GS26-372</t>
  </si>
  <si>
    <t>DIS415</t>
  </si>
  <si>
    <t>SAK2609001</t>
  </si>
  <si>
    <t>SAK2609002</t>
  </si>
  <si>
    <t>SAK2609003</t>
  </si>
  <si>
    <t>SAK2609004</t>
  </si>
  <si>
    <t>SAK2609005</t>
  </si>
  <si>
    <t>VFL2609001</t>
  </si>
  <si>
    <t>VFL2609002</t>
  </si>
  <si>
    <t>VFL2609003</t>
  </si>
  <si>
    <t>VFL2609004</t>
  </si>
  <si>
    <t>VFL2609005</t>
  </si>
  <si>
    <t>VFL2609006</t>
  </si>
  <si>
    <t>VFL2609007</t>
  </si>
  <si>
    <t>JR2609001</t>
  </si>
  <si>
    <t>JR2609002</t>
  </si>
  <si>
    <t>JR2609003</t>
  </si>
  <si>
    <t>I 132713</t>
  </si>
  <si>
    <t>CHAY DA CEO</t>
  </si>
  <si>
    <t xml:space="preserve">PAID ON: </t>
  </si>
  <si>
    <t xml:space="preserve"> 16-SEP-26</t>
  </si>
  <si>
    <t>E 281390</t>
  </si>
  <si>
    <t>I 139129</t>
  </si>
  <si>
    <t>GS26-373</t>
  </si>
  <si>
    <t>DIS416</t>
  </si>
  <si>
    <t>GS26-374</t>
  </si>
  <si>
    <t>DIS417</t>
  </si>
  <si>
    <t>GS26-375</t>
  </si>
  <si>
    <t>DIS418</t>
  </si>
  <si>
    <t>GS26-376</t>
  </si>
  <si>
    <t>DIS419</t>
  </si>
  <si>
    <t>GS26-377</t>
  </si>
  <si>
    <t>DIS420</t>
  </si>
  <si>
    <t>GS26-378</t>
  </si>
  <si>
    <t>DIS421</t>
  </si>
  <si>
    <t>SAK2609006</t>
  </si>
  <si>
    <t>SAK2609007</t>
  </si>
  <si>
    <t>SAK2609008</t>
  </si>
  <si>
    <t>VFL2609008</t>
  </si>
  <si>
    <t>VFL2609009</t>
  </si>
  <si>
    <t>VFL2609010</t>
  </si>
  <si>
    <t>VFL2609011</t>
  </si>
  <si>
    <t>VFL2609012</t>
  </si>
  <si>
    <t>VFL2609013</t>
  </si>
  <si>
    <t>VFL2609014</t>
  </si>
  <si>
    <t>I 141066</t>
  </si>
  <si>
    <t>I 141062</t>
  </si>
  <si>
    <t>SAK2609009</t>
  </si>
  <si>
    <t>VFL2609015</t>
  </si>
  <si>
    <t>E 284067</t>
  </si>
  <si>
    <t>E 291340</t>
  </si>
  <si>
    <t>I 136243</t>
  </si>
  <si>
    <t>I 136252</t>
  </si>
  <si>
    <t>I 138725</t>
  </si>
  <si>
    <t>I 138735</t>
  </si>
  <si>
    <t>E 50939</t>
  </si>
  <si>
    <t>I 28648</t>
  </si>
  <si>
    <t>E 291367</t>
  </si>
  <si>
    <t>I 2354</t>
  </si>
  <si>
    <t>I 3191</t>
  </si>
  <si>
    <t>GS26-379</t>
  </si>
  <si>
    <t>DIS422</t>
  </si>
  <si>
    <t>GS26-380</t>
  </si>
  <si>
    <t>DIS423</t>
  </si>
  <si>
    <t>GS26-381</t>
  </si>
  <si>
    <t>DIS424</t>
  </si>
  <si>
    <t>GS26-382</t>
  </si>
  <si>
    <t>DIS425</t>
  </si>
  <si>
    <t>GS26-383</t>
  </si>
  <si>
    <t>DIS426</t>
  </si>
  <si>
    <t>GS26-384</t>
  </si>
  <si>
    <t>DIS427</t>
  </si>
  <si>
    <t>GS26-385</t>
  </si>
  <si>
    <t>DIS428</t>
  </si>
  <si>
    <t>GS26-386</t>
  </si>
  <si>
    <t>DIS429</t>
  </si>
  <si>
    <t>GS26-387</t>
  </si>
  <si>
    <t>DIS430</t>
  </si>
  <si>
    <t>GS26-388</t>
  </si>
  <si>
    <t>DIS431</t>
  </si>
  <si>
    <t>GS26-389</t>
  </si>
  <si>
    <t>DIS432</t>
  </si>
  <si>
    <t>GS26-390</t>
  </si>
  <si>
    <t>DIS433</t>
  </si>
  <si>
    <t>GS26-391</t>
  </si>
  <si>
    <t>DIS434</t>
  </si>
  <si>
    <t>GS26-392</t>
  </si>
  <si>
    <t>DIS435</t>
  </si>
  <si>
    <t>DIS436</t>
  </si>
  <si>
    <t>JYX2609001</t>
  </si>
  <si>
    <t>JYX2609002</t>
  </si>
  <si>
    <t>JR2609004</t>
  </si>
  <si>
    <t>JR2609005</t>
  </si>
  <si>
    <t>JR2609006</t>
  </si>
  <si>
    <t>JR2609007</t>
  </si>
  <si>
    <t>JR2609008</t>
  </si>
  <si>
    <t>JR2609009</t>
  </si>
  <si>
    <t>JR2609010</t>
  </si>
  <si>
    <t>E 49795</t>
  </si>
  <si>
    <t>E 291460</t>
  </si>
  <si>
    <t>I 2352</t>
  </si>
  <si>
    <t>I 3190</t>
  </si>
  <si>
    <t>I 25555</t>
  </si>
  <si>
    <t>E 273997</t>
  </si>
  <si>
    <t>JR2609011</t>
  </si>
  <si>
    <t xml:space="preserve"> I 142374</t>
  </si>
  <si>
    <t>GS26-393</t>
  </si>
  <si>
    <t>JRA2610001</t>
  </si>
  <si>
    <t>I 142652</t>
  </si>
  <si>
    <t>GS26-394</t>
  </si>
  <si>
    <t>DIS437</t>
  </si>
  <si>
    <t>JRA2610002</t>
  </si>
  <si>
    <t>INV, DIS, DN 
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</si>
</sst>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[$-409]d\-mmm\-yyyy;@"/>
    <numFmt numFmtId="167" formatCode="[$-409]dd\-mmm\-yy;@"/>
    <numFmt numFmtId="168" formatCode="_(* #,##0.000_);_(* \(#,##0.000\);_(* &quot;-&quot;??_);_(@_)"/>
    <numFmt numFmtId="169" formatCode="_(* #,##0.000_);_(* \(#,##0.000\);_(* &quot;-&quot;???_);_(@_)"/>
    <numFmt numFmtId="170" formatCode="_([$$-409]* #,##0.00_);_([$$-409]* \(#,##0.00\);_([$$-409]* &quot;-&quot;??_);_(@_)"/>
    <numFmt numFmtId="171" formatCode="&quot;$&quot;#,##0.00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Aptos Narrow"/>
      <family val="2"/>
    </font>
    <font>
      <b/>
      <sz val="12"/>
      <color theme="0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2"/>
      <name val="Aptos Narrow"/>
      <family val="2"/>
    </font>
    <font>
      <sz val="12"/>
      <color rgb="FF0000FF"/>
      <name val="Aptos Narrow"/>
      <family val="2"/>
    </font>
    <font>
      <sz val="12"/>
      <color rgb="FFFF0000"/>
      <name val="Aptos Narrow"/>
      <family val="2"/>
    </font>
    <font>
      <sz val="12"/>
      <name val="Aptos Narrow"/>
      <family val="2"/>
    </font>
    <font>
      <sz val="12"/>
      <color theme="0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b/>
      <sz val="12"/>
      <color rgb="FFFF0000"/>
      <name val="Aptos Narrow"/>
      <family val="2"/>
    </font>
    <font>
      <b/>
      <sz val="11"/>
      <color rgb="FFFF0000"/>
      <name val="Aptos Narrow"/>
      <family val="2"/>
    </font>
    <font>
      <b/>
      <sz val="11"/>
      <name val="Aptos Narrow"/>
      <family val="2"/>
    </font>
    <font>
      <b/>
      <sz val="12"/>
      <name val="Aptos Narrow"/>
      <family val="2"/>
    </font>
    <font>
      <b/>
      <sz val="11"/>
      <color theme="1"/>
      <name val="Aptos Narrow"/>
      <family val="2"/>
    </font>
    <font>
      <sz val="12"/>
      <name val="Aptos Narrow"/>
      <family val="2"/>
    </font>
    <font>
      <sz val="8"/>
      <name val="Calibri"/>
      <family val="2"/>
      <scheme val="minor"/>
    </font>
    <font>
      <sz val="10"/>
      <color theme="1"/>
      <name val="Aptos Narrow"/>
      <family val="2"/>
    </font>
    <font>
      <sz val="8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rgb="FFFFFF00"/>
      <name val="Aptos Narrow"/>
      <family val="2"/>
    </font>
    <font>
      <b/>
      <sz val="12"/>
      <color rgb="FFFFFF00"/>
      <name val="Aptos Narrow"/>
      <family val="2"/>
    </font>
    <font>
      <sz val="12"/>
      <name val="Aptos Narrow"/>
      <family val="2"/>
    </font>
    <font>
      <sz val="12"/>
      <name val="Aptos Narrow"/>
      <family val="2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0" fontId="2" fillId="0" borderId="0" xfId="0" quotePrefix="1" applyFont="1" applyAlignment="1">
      <alignment horizontal="center"/>
    </xf>
    <xf numFmtId="0" fontId="0" fillId="2" borderId="0" xfId="0" applyFill="1"/>
    <xf numFmtId="165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horizontal="center" vertical="center"/>
    </xf>
    <xf numFmtId="43" fontId="5" fillId="2" borderId="1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43" fontId="3" fillId="0" borderId="1" xfId="0" quotePrefix="1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43" fontId="3" fillId="0" borderId="1" xfId="0" quotePrefix="1" applyNumberFormat="1" applyFont="1" applyBorder="1" applyAlignment="1">
      <alignment horizontal="center" vertical="center" wrapText="1"/>
    </xf>
    <xf numFmtId="43" fontId="3" fillId="0" borderId="1" xfId="0" applyNumberFormat="1" applyFont="1" applyBorder="1" applyAlignment="1">
      <alignment horizontal="center" vertical="center" wrapText="1"/>
    </xf>
    <xf numFmtId="165" fontId="3" fillId="0" borderId="1" xfId="0" quotePrefix="1" applyNumberFormat="1" applyFont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3" fontId="3" fillId="0" borderId="1" xfId="0" applyNumberFormat="1" applyFont="1" applyBorder="1" applyAlignment="1">
      <alignment vertical="center" wrapText="1"/>
    </xf>
    <xf numFmtId="168" fontId="3" fillId="0" borderId="2" xfId="1" applyNumberFormat="1" applyFont="1" applyBorder="1" applyAlignment="1">
      <alignment vertical="center" wrapText="1"/>
    </xf>
    <xf numFmtId="43" fontId="3" fillId="4" borderId="1" xfId="1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 wrapText="1"/>
    </xf>
    <xf numFmtId="43" fontId="3" fillId="0" borderId="1" xfId="0" applyNumberFormat="1" applyFont="1" applyBorder="1"/>
    <xf numFmtId="43" fontId="3" fillId="0" borderId="2" xfId="0" applyNumberFormat="1" applyFont="1" applyBorder="1"/>
    <xf numFmtId="0" fontId="7" fillId="0" borderId="1" xfId="0" quotePrefix="1" applyFont="1" applyBorder="1" applyAlignment="1">
      <alignment horizontal="center"/>
    </xf>
    <xf numFmtId="43" fontId="7" fillId="0" borderId="1" xfId="0" applyNumberFormat="1" applyFont="1" applyBorder="1" applyAlignment="1">
      <alignment horizontal="center" vertical="center" wrapText="1"/>
    </xf>
    <xf numFmtId="165" fontId="7" fillId="0" borderId="1" xfId="0" quotePrefix="1" applyNumberFormat="1" applyFont="1" applyBorder="1" applyAlignment="1">
      <alignment horizontal="center"/>
    </xf>
    <xf numFmtId="43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vertical="center" wrapText="1"/>
    </xf>
    <xf numFmtId="168" fontId="7" fillId="0" borderId="2" xfId="1" applyNumberFormat="1" applyFont="1" applyBorder="1" applyAlignment="1">
      <alignment vertical="center" wrapText="1"/>
    </xf>
    <xf numFmtId="0" fontId="5" fillId="0" borderId="0" xfId="0" applyFont="1"/>
    <xf numFmtId="43" fontId="7" fillId="0" borderId="1" xfId="0" quotePrefix="1" applyNumberFormat="1" applyFont="1" applyBorder="1" applyAlignment="1">
      <alignment horizontal="center" shrinkToFit="1"/>
    </xf>
    <xf numFmtId="43" fontId="7" fillId="0" borderId="2" xfId="1" applyFont="1" applyBorder="1"/>
    <xf numFmtId="43" fontId="7" fillId="0" borderId="7" xfId="0" applyNumberFormat="1" applyFont="1" applyBorder="1" applyAlignment="1">
      <alignment vertical="center" wrapText="1"/>
    </xf>
    <xf numFmtId="43" fontId="7" fillId="0" borderId="6" xfId="0" applyNumberFormat="1" applyFont="1" applyBorder="1" applyAlignment="1">
      <alignment vertical="center" wrapText="1"/>
    </xf>
    <xf numFmtId="43" fontId="3" fillId="0" borderId="2" xfId="1" applyFont="1" applyBorder="1"/>
    <xf numFmtId="43" fontId="7" fillId="0" borderId="1" xfId="0" applyNumberFormat="1" applyFont="1" applyBorder="1"/>
    <xf numFmtId="43" fontId="7" fillId="0" borderId="2" xfId="1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vertical="center"/>
    </xf>
    <xf numFmtId="165" fontId="7" fillId="0" borderId="1" xfId="0" quotePrefix="1" applyNumberFormat="1" applyFont="1" applyBorder="1" applyAlignment="1">
      <alignment horizontal="center" vertical="center"/>
    </xf>
    <xf numFmtId="43" fontId="7" fillId="0" borderId="1" xfId="0" applyNumberFormat="1" applyFont="1" applyBorder="1" applyAlignment="1">
      <alignment vertical="center"/>
    </xf>
    <xf numFmtId="43" fontId="7" fillId="0" borderId="2" xfId="1" applyFont="1" applyBorder="1" applyAlignment="1">
      <alignment vertical="center"/>
    </xf>
    <xf numFmtId="43" fontId="7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3" fillId="0" borderId="1" xfId="0" quotePrefix="1" applyNumberFormat="1" applyFont="1" applyBorder="1" applyAlignment="1">
      <alignment horizontal="center" shrinkToFit="1"/>
    </xf>
    <xf numFmtId="0" fontId="6" fillId="0" borderId="1" xfId="0" applyFont="1" applyBorder="1"/>
    <xf numFmtId="43" fontId="3" fillId="0" borderId="2" xfId="1" applyFont="1" applyBorder="1" applyAlignment="1">
      <alignment vertical="center" wrapText="1"/>
    </xf>
    <xf numFmtId="165" fontId="3" fillId="0" borderId="1" xfId="0" quotePrefix="1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1" applyFont="1" applyBorder="1" applyAlignment="1">
      <alignment vertical="center"/>
    </xf>
    <xf numFmtId="43" fontId="3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6" fontId="3" fillId="0" borderId="1" xfId="0" quotePrefix="1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5" borderId="0" xfId="0" applyFont="1" applyFill="1" applyAlignment="1">
      <alignment horizontal="left"/>
    </xf>
    <xf numFmtId="165" fontId="7" fillId="0" borderId="7" xfId="0" quotePrefix="1" applyNumberFormat="1" applyFont="1" applyBorder="1" applyAlignment="1">
      <alignment horizontal="center"/>
    </xf>
    <xf numFmtId="43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3" borderId="1" xfId="0" quotePrefix="1" applyFont="1" applyFill="1" applyBorder="1" applyAlignment="1">
      <alignment horizontal="center"/>
    </xf>
    <xf numFmtId="43" fontId="3" fillId="3" borderId="1" xfId="0" quotePrefix="1" applyNumberFormat="1" applyFont="1" applyFill="1" applyBorder="1" applyAlignment="1">
      <alignment horizontal="center" wrapText="1"/>
    </xf>
    <xf numFmtId="43" fontId="3" fillId="3" borderId="1" xfId="0" quotePrefix="1" applyNumberFormat="1" applyFont="1" applyFill="1" applyBorder="1" applyAlignment="1">
      <alignment horizontal="center" shrinkToFit="1"/>
    </xf>
    <xf numFmtId="165" fontId="3" fillId="3" borderId="1" xfId="0" quotePrefix="1" applyNumberFormat="1" applyFont="1" applyFill="1" applyBorder="1" applyAlignment="1">
      <alignment horizontal="center"/>
    </xf>
    <xf numFmtId="43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3" fillId="3" borderId="1" xfId="0" applyNumberFormat="1" applyFont="1" applyFill="1" applyBorder="1"/>
    <xf numFmtId="43" fontId="3" fillId="3" borderId="2" xfId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2" xfId="0" quotePrefix="1" applyNumberFormat="1" applyFont="1" applyFill="1" applyBorder="1" applyAlignment="1">
      <alignment horizontal="center" wrapText="1"/>
    </xf>
    <xf numFmtId="43" fontId="3" fillId="3" borderId="2" xfId="0" quotePrefix="1" applyNumberFormat="1" applyFont="1" applyFill="1" applyBorder="1" applyAlignment="1">
      <alignment horizontal="center" shrinkToFit="1"/>
    </xf>
    <xf numFmtId="165" fontId="3" fillId="3" borderId="2" xfId="0" quotePrefix="1" applyNumberFormat="1" applyFont="1" applyFill="1" applyBorder="1" applyAlignment="1">
      <alignment horizontal="center"/>
    </xf>
    <xf numFmtId="165" fontId="3" fillId="3" borderId="5" xfId="0" quotePrefix="1" applyNumberFormat="1" applyFont="1" applyFill="1" applyBorder="1" applyAlignment="1">
      <alignment horizontal="center"/>
    </xf>
    <xf numFmtId="43" fontId="3" fillId="3" borderId="4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3" fontId="3" fillId="3" borderId="2" xfId="0" applyNumberFormat="1" applyFont="1" applyFill="1" applyBorder="1"/>
    <xf numFmtId="0" fontId="6" fillId="2" borderId="2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shrinkToFit="1"/>
    </xf>
    <xf numFmtId="43" fontId="6" fillId="2" borderId="1" xfId="1" applyFont="1" applyFill="1" applyBorder="1" applyAlignment="1">
      <alignment horizontal="center"/>
    </xf>
    <xf numFmtId="167" fontId="6" fillId="2" borderId="1" xfId="1" applyNumberFormat="1" applyFont="1" applyFill="1" applyBorder="1" applyAlignment="1">
      <alignment horizontal="center"/>
    </xf>
    <xf numFmtId="43" fontId="5" fillId="0" borderId="1" xfId="1" applyFont="1" applyFill="1" applyBorder="1"/>
    <xf numFmtId="0" fontId="6" fillId="2" borderId="1" xfId="0" applyFont="1" applyFill="1" applyBorder="1"/>
    <xf numFmtId="0" fontId="3" fillId="0" borderId="0" xfId="0" applyFont="1" applyAlignment="1">
      <alignment horizontal="center"/>
    </xf>
    <xf numFmtId="43" fontId="3" fillId="0" borderId="0" xfId="1" applyFont="1" applyFill="1" applyAlignment="1">
      <alignment wrapText="1"/>
    </xf>
    <xf numFmtId="43" fontId="3" fillId="0" borderId="0" xfId="1" applyFont="1" applyFill="1" applyAlignment="1">
      <alignment shrinkToFit="1"/>
    </xf>
    <xf numFmtId="165" fontId="6" fillId="0" borderId="0" xfId="0" applyNumberFormat="1" applyFont="1"/>
    <xf numFmtId="0" fontId="6" fillId="0" borderId="0" xfId="0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4" fillId="7" borderId="0" xfId="0" applyFont="1" applyFill="1" applyAlignment="1">
      <alignment horizontal="right"/>
    </xf>
    <xf numFmtId="43" fontId="4" fillId="7" borderId="0" xfId="0" applyNumberFormat="1" applyFont="1" applyFill="1"/>
    <xf numFmtId="43" fontId="3" fillId="0" borderId="0" xfId="0" applyNumberFormat="1" applyFont="1"/>
    <xf numFmtId="43" fontId="6" fillId="0" borderId="0" xfId="0" applyNumberFormat="1" applyFont="1"/>
    <xf numFmtId="43" fontId="6" fillId="0" borderId="3" xfId="0" applyNumberFormat="1" applyFont="1" applyBorder="1"/>
    <xf numFmtId="43" fontId="5" fillId="0" borderId="3" xfId="0" applyNumberFormat="1" applyFont="1" applyBorder="1" applyAlignment="1">
      <alignment shrinkToFit="1"/>
    </xf>
    <xf numFmtId="43" fontId="6" fillId="0" borderId="3" xfId="0" applyNumberFormat="1" applyFont="1" applyBorder="1" applyAlignment="1">
      <alignment shrinkToFit="1"/>
    </xf>
    <xf numFmtId="43" fontId="6" fillId="0" borderId="3" xfId="0" applyNumberFormat="1" applyFont="1" applyBorder="1" applyAlignment="1">
      <alignment horizontal="center" shrinkToFit="1"/>
    </xf>
    <xf numFmtId="0" fontId="6" fillId="0" borderId="3" xfId="0" applyFont="1" applyBorder="1"/>
    <xf numFmtId="43" fontId="8" fillId="0" borderId="0" xfId="1" applyFont="1" applyFill="1" applyAlignment="1">
      <alignment wrapText="1"/>
    </xf>
    <xf numFmtId="43" fontId="8" fillId="0" borderId="0" xfId="1" applyFont="1" applyFill="1" applyAlignment="1">
      <alignment shrinkToFit="1"/>
    </xf>
    <xf numFmtId="0" fontId="4" fillId="6" borderId="0" xfId="0" applyFont="1" applyFill="1" applyAlignment="1">
      <alignment horizontal="right"/>
    </xf>
    <xf numFmtId="43" fontId="4" fillId="6" borderId="0" xfId="0" applyNumberFormat="1" applyFont="1" applyFill="1"/>
    <xf numFmtId="43" fontId="8" fillId="0" borderId="0" xfId="0" applyNumberFormat="1" applyFont="1"/>
    <xf numFmtId="0" fontId="6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43" fontId="9" fillId="0" borderId="0" xfId="1" applyFont="1" applyFill="1" applyAlignment="1">
      <alignment wrapText="1"/>
    </xf>
    <xf numFmtId="43" fontId="9" fillId="0" borderId="0" xfId="1" applyFont="1" applyFill="1" applyAlignment="1">
      <alignment shrinkToFit="1"/>
    </xf>
    <xf numFmtId="43" fontId="9" fillId="0" borderId="0" xfId="0" applyNumberFormat="1" applyFont="1"/>
    <xf numFmtId="167" fontId="6" fillId="0" borderId="0" xfId="0" applyNumberFormat="1" applyFont="1"/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shrinkToFit="1"/>
    </xf>
    <xf numFmtId="0" fontId="4" fillId="8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43" fontId="4" fillId="8" borderId="1" xfId="1" applyFont="1" applyFill="1" applyBorder="1" applyAlignment="1">
      <alignment horizontal="center" vertical="center" wrapText="1"/>
    </xf>
    <xf numFmtId="43" fontId="10" fillId="0" borderId="2" xfId="1" applyFont="1" applyBorder="1"/>
    <xf numFmtId="168" fontId="10" fillId="0" borderId="2" xfId="1" applyNumberFormat="1" applyFont="1" applyBorder="1" applyAlignment="1">
      <alignment vertical="center" wrapText="1"/>
    </xf>
    <xf numFmtId="43" fontId="10" fillId="0" borderId="1" xfId="0" applyNumberFormat="1" applyFont="1" applyBorder="1"/>
    <xf numFmtId="0" fontId="6" fillId="3" borderId="0" xfId="0" applyFont="1" applyFill="1"/>
    <xf numFmtId="44" fontId="3" fillId="0" borderId="0" xfId="2" applyFont="1" applyFill="1" applyBorder="1"/>
    <xf numFmtId="0" fontId="11" fillId="8" borderId="1" xfId="0" applyFont="1" applyFill="1" applyBorder="1" applyAlignment="1">
      <alignment horizontal="center" vertical="center" wrapText="1"/>
    </xf>
    <xf numFmtId="43" fontId="6" fillId="0" borderId="1" xfId="1" applyFont="1" applyFill="1" applyBorder="1" applyAlignment="1"/>
    <xf numFmtId="0" fontId="11" fillId="8" borderId="1" xfId="0" applyFont="1" applyFill="1" applyBorder="1" applyAlignment="1">
      <alignment vertical="center"/>
    </xf>
    <xf numFmtId="43" fontId="3" fillId="0" borderId="1" xfId="1" applyFont="1" applyFill="1" applyBorder="1" applyAlignment="1">
      <alignment horizontal="center"/>
    </xf>
    <xf numFmtId="0" fontId="3" fillId="0" borderId="0" xfId="0" applyFont="1"/>
    <xf numFmtId="43" fontId="12" fillId="0" borderId="1" xfId="0" applyNumberFormat="1" applyFont="1" applyBorder="1" applyAlignment="1">
      <alignment horizontal="center" vertical="center"/>
    </xf>
    <xf numFmtId="43" fontId="12" fillId="5" borderId="1" xfId="0" applyNumberFormat="1" applyFont="1" applyFill="1" applyBorder="1" applyAlignment="1">
      <alignment horizontal="center" vertical="center"/>
    </xf>
    <xf numFmtId="44" fontId="13" fillId="5" borderId="1" xfId="0" applyNumberFormat="1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/>
    </xf>
    <xf numFmtId="165" fontId="12" fillId="5" borderId="1" xfId="0" quotePrefix="1" applyNumberFormat="1" applyFont="1" applyFill="1" applyBorder="1" applyAlignment="1">
      <alignment horizontal="center"/>
    </xf>
    <xf numFmtId="43" fontId="12" fillId="5" borderId="1" xfId="0" applyNumberFormat="1" applyFont="1" applyFill="1" applyBorder="1" applyAlignment="1">
      <alignment horizontal="center"/>
    </xf>
    <xf numFmtId="44" fontId="12" fillId="5" borderId="1" xfId="0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/>
    </xf>
    <xf numFmtId="43" fontId="12" fillId="0" borderId="1" xfId="0" applyNumberFormat="1" applyFont="1" applyBorder="1"/>
    <xf numFmtId="43" fontId="14" fillId="0" borderId="1" xfId="0" applyNumberFormat="1" applyFont="1" applyBorder="1" applyAlignment="1">
      <alignment vertical="center"/>
    </xf>
    <xf numFmtId="43" fontId="12" fillId="0" borderId="1" xfId="0" applyNumberFormat="1" applyFont="1" applyBorder="1" applyAlignment="1">
      <alignment vertical="center"/>
    </xf>
    <xf numFmtId="0" fontId="15" fillId="0" borderId="1" xfId="0" quotePrefix="1" applyFont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3" fontId="12" fillId="0" borderId="1" xfId="0" applyNumberFormat="1" applyFont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43" fontId="12" fillId="0" borderId="1" xfId="0" quotePrefix="1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167" fontId="12" fillId="0" borderId="1" xfId="0" applyNumberFormat="1" applyFont="1" applyBorder="1" applyAlignment="1">
      <alignment horizontal="center" vertical="center" wrapText="1"/>
    </xf>
    <xf numFmtId="43" fontId="12" fillId="9" borderId="1" xfId="0" applyNumberFormat="1" applyFont="1" applyFill="1" applyBorder="1"/>
    <xf numFmtId="43" fontId="12" fillId="0" borderId="1" xfId="0" applyNumberFormat="1" applyFont="1" applyBorder="1" applyAlignment="1">
      <alignment vertical="center" wrapText="1"/>
    </xf>
    <xf numFmtId="0" fontId="12" fillId="0" borderId="1" xfId="0" quotePrefix="1" applyFont="1" applyBorder="1" applyAlignment="1">
      <alignment horizontal="center" vertical="center"/>
    </xf>
    <xf numFmtId="165" fontId="12" fillId="5" borderId="1" xfId="0" quotePrefix="1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 vertical="center"/>
    </xf>
    <xf numFmtId="165" fontId="13" fillId="5" borderId="1" xfId="0" quotePrefix="1" applyNumberFormat="1" applyFont="1" applyFill="1" applyBorder="1" applyAlignment="1">
      <alignment horizontal="center"/>
    </xf>
    <xf numFmtId="43" fontId="13" fillId="5" borderId="1" xfId="0" applyNumberFormat="1" applyFont="1" applyFill="1" applyBorder="1" applyAlignment="1">
      <alignment horizontal="center"/>
    </xf>
    <xf numFmtId="165" fontId="13" fillId="5" borderId="1" xfId="0" applyNumberFormat="1" applyFont="1" applyFill="1" applyBorder="1" applyAlignment="1">
      <alignment horizontal="center"/>
    </xf>
    <xf numFmtId="43" fontId="12" fillId="0" borderId="1" xfId="0" applyNumberFormat="1" applyFont="1" applyBorder="1" applyAlignment="1">
      <alignment horizontal="center" vertical="center" wrapText="1"/>
    </xf>
    <xf numFmtId="165" fontId="12" fillId="0" borderId="1" xfId="0" quotePrefix="1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 vertical="center" wrapText="1"/>
    </xf>
    <xf numFmtId="4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3" fontId="17" fillId="0" borderId="1" xfId="0" applyNumberFormat="1" applyFont="1" applyBorder="1" applyAlignment="1">
      <alignment horizontal="center" vertical="center" wrapText="1"/>
    </xf>
    <xf numFmtId="43" fontId="17" fillId="5" borderId="1" xfId="0" applyNumberFormat="1" applyFont="1" applyFill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 wrapText="1"/>
    </xf>
    <xf numFmtId="166" fontId="18" fillId="0" borderId="1" xfId="0" applyNumberFormat="1" applyFont="1" applyBorder="1" applyAlignment="1">
      <alignment horizontal="center" vertical="center" wrapText="1"/>
    </xf>
    <xf numFmtId="16" fontId="6" fillId="4" borderId="0" xfId="0" applyNumberFormat="1" applyFont="1" applyFill="1" applyAlignment="1">
      <alignment horizontal="right"/>
    </xf>
    <xf numFmtId="43" fontId="6" fillId="0" borderId="0" xfId="0" applyNumberFormat="1" applyFont="1" applyAlignment="1">
      <alignment shrinkToFit="1"/>
    </xf>
    <xf numFmtId="169" fontId="3" fillId="0" borderId="2" xfId="1" applyNumberFormat="1" applyFont="1" applyBorder="1" applyAlignment="1">
      <alignment vertical="center" wrapText="1"/>
    </xf>
    <xf numFmtId="169" fontId="3" fillId="0" borderId="2" xfId="0" applyNumberFormat="1" applyFont="1" applyBorder="1"/>
    <xf numFmtId="169" fontId="7" fillId="0" borderId="2" xfId="1" applyNumberFormat="1" applyFont="1" applyBorder="1" applyAlignment="1">
      <alignment vertical="center" wrapText="1"/>
    </xf>
    <xf numFmtId="169" fontId="7" fillId="0" borderId="2" xfId="1" applyNumberFormat="1" applyFont="1" applyBorder="1"/>
    <xf numFmtId="169" fontId="3" fillId="0" borderId="2" xfId="1" applyNumberFormat="1" applyFont="1" applyBorder="1"/>
    <xf numFmtId="169" fontId="7" fillId="0" borderId="2" xfId="1" applyNumberFormat="1" applyFont="1" applyBorder="1" applyAlignment="1">
      <alignment vertical="center"/>
    </xf>
    <xf numFmtId="169" fontId="12" fillId="0" borderId="1" xfId="0" applyNumberFormat="1" applyFont="1" applyBorder="1" applyAlignment="1">
      <alignment horizontal="center"/>
    </xf>
    <xf numFmtId="169" fontId="7" fillId="0" borderId="2" xfId="1" applyNumberFormat="1" applyFont="1" applyFill="1" applyBorder="1"/>
    <xf numFmtId="169" fontId="7" fillId="0" borderId="2" xfId="1" applyNumberFormat="1" applyFont="1" applyFill="1" applyBorder="1" applyAlignment="1">
      <alignment vertical="center" wrapText="1"/>
    </xf>
    <xf numFmtId="169" fontId="3" fillId="0" borderId="2" xfId="0" applyNumberFormat="1" applyFont="1" applyBorder="1" applyAlignment="1">
      <alignment vertical="center"/>
    </xf>
    <xf numFmtId="169" fontId="3" fillId="0" borderId="2" xfId="1" applyNumberFormat="1" applyFont="1" applyBorder="1" applyAlignment="1">
      <alignment vertical="center"/>
    </xf>
    <xf numFmtId="169" fontId="12" fillId="0" borderId="2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43" fontId="7" fillId="5" borderId="1" xfId="0" applyNumberFormat="1" applyFont="1" applyFill="1" applyBorder="1" applyAlignment="1">
      <alignment horizontal="center" vertical="center"/>
    </xf>
    <xf numFmtId="0" fontId="19" fillId="0" borderId="1" xfId="0" quotePrefix="1" applyFont="1" applyBorder="1" applyAlignment="1">
      <alignment horizontal="center"/>
    </xf>
    <xf numFmtId="166" fontId="20" fillId="0" borderId="1" xfId="0" applyNumberFormat="1" applyFont="1" applyBorder="1" applyAlignment="1">
      <alignment horizontal="center" vertical="center" wrapText="1"/>
    </xf>
    <xf numFmtId="44" fontId="21" fillId="5" borderId="1" xfId="0" applyNumberFormat="1" applyFont="1" applyFill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169" fontId="7" fillId="0" borderId="1" xfId="1" applyNumberFormat="1" applyFont="1" applyBorder="1"/>
    <xf numFmtId="169" fontId="3" fillId="0" borderId="2" xfId="1" applyNumberFormat="1" applyFont="1" applyFill="1" applyBorder="1"/>
    <xf numFmtId="169" fontId="3" fillId="0" borderId="2" xfId="1" applyNumberFormat="1" applyFont="1" applyFill="1" applyBorder="1" applyAlignment="1">
      <alignment vertical="center" wrapText="1"/>
    </xf>
    <xf numFmtId="43" fontId="9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9" fontId="3" fillId="0" borderId="2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3" fontId="12" fillId="0" borderId="1" xfId="0" quotePrefix="1" applyNumberFormat="1" applyFont="1" applyBorder="1" applyAlignment="1">
      <alignment horizontal="center" vertical="center" wrapText="1"/>
    </xf>
    <xf numFmtId="0" fontId="6" fillId="2" borderId="0" xfId="0" applyFont="1" applyFill="1"/>
    <xf numFmtId="43" fontId="12" fillId="5" borderId="1" xfId="0" quotePrefix="1" applyNumberFormat="1" applyFont="1" applyFill="1" applyBorder="1" applyAlignment="1">
      <alignment horizontal="center"/>
    </xf>
    <xf numFmtId="0" fontId="13" fillId="5" borderId="0" xfId="0" quotePrefix="1" applyFont="1" applyFill="1" applyAlignment="1">
      <alignment horizontal="center" vertical="center"/>
    </xf>
    <xf numFmtId="0" fontId="13" fillId="5" borderId="1" xfId="0" quotePrefix="1" applyFont="1" applyFill="1" applyBorder="1" applyAlignment="1">
      <alignment horizontal="center" vertical="center"/>
    </xf>
    <xf numFmtId="0" fontId="16" fillId="5" borderId="1" xfId="0" quotePrefix="1" applyFont="1" applyFill="1" applyBorder="1" applyAlignment="1">
      <alignment horizontal="center"/>
    </xf>
    <xf numFmtId="0" fontId="13" fillId="0" borderId="1" xfId="0" quotePrefix="1" applyFont="1" applyBorder="1" applyAlignment="1">
      <alignment horizontal="center" vertical="center"/>
    </xf>
    <xf numFmtId="43" fontId="3" fillId="0" borderId="1" xfId="0" quotePrefix="1" applyNumberFormat="1" applyFont="1" applyBorder="1" applyAlignment="1">
      <alignment horizontal="center"/>
    </xf>
    <xf numFmtId="169" fontId="3" fillId="0" borderId="1" xfId="1" applyNumberFormat="1" applyFont="1" applyBorder="1"/>
    <xf numFmtId="43" fontId="9" fillId="0" borderId="1" xfId="0" applyNumberFormat="1" applyFont="1" applyBorder="1" applyAlignment="1">
      <alignment vertical="center"/>
    </xf>
    <xf numFmtId="169" fontId="6" fillId="0" borderId="0" xfId="0" applyNumberFormat="1" applyFont="1"/>
    <xf numFmtId="166" fontId="22" fillId="0" borderId="1" xfId="0" applyNumberFormat="1" applyFont="1" applyBorder="1" applyAlignment="1">
      <alignment horizontal="center" vertical="center"/>
    </xf>
    <xf numFmtId="165" fontId="3" fillId="10" borderId="1" xfId="0" quotePrefix="1" applyNumberFormat="1" applyFont="1" applyFill="1" applyBorder="1" applyAlignment="1">
      <alignment horizontal="center"/>
    </xf>
    <xf numFmtId="43" fontId="3" fillId="10" borderId="1" xfId="0" quotePrefix="1" applyNumberFormat="1" applyFont="1" applyFill="1" applyBorder="1" applyAlignment="1">
      <alignment horizontal="center"/>
    </xf>
    <xf numFmtId="43" fontId="3" fillId="10" borderId="1" xfId="0" quotePrefix="1" applyNumberFormat="1" applyFont="1" applyFill="1" applyBorder="1" applyAlignment="1">
      <alignment horizontal="center" vertical="center" wrapText="1"/>
    </xf>
    <xf numFmtId="165" fontId="12" fillId="10" borderId="1" xfId="0" quotePrefix="1" applyNumberFormat="1" applyFont="1" applyFill="1" applyBorder="1" applyAlignment="1">
      <alignment horizontal="center"/>
    </xf>
    <xf numFmtId="165" fontId="3" fillId="10" borderId="0" xfId="0" quotePrefix="1" applyNumberFormat="1" applyFont="1" applyFill="1" applyAlignment="1">
      <alignment horizontal="center"/>
    </xf>
    <xf numFmtId="43" fontId="12" fillId="10" borderId="1" xfId="0" quotePrefix="1" applyNumberFormat="1" applyFont="1" applyFill="1" applyBorder="1" applyAlignment="1">
      <alignment horizontal="center"/>
    </xf>
    <xf numFmtId="0" fontId="13" fillId="10" borderId="1" xfId="0" quotePrefix="1" applyFont="1" applyFill="1" applyBorder="1" applyAlignment="1">
      <alignment horizontal="center" vertical="center"/>
    </xf>
    <xf numFmtId="43" fontId="12" fillId="10" borderId="1" xfId="0" quotePrefix="1" applyNumberFormat="1" applyFont="1" applyFill="1" applyBorder="1" applyAlignment="1">
      <alignment horizontal="center" vertical="center" wrapText="1"/>
    </xf>
    <xf numFmtId="165" fontId="13" fillId="10" borderId="1" xfId="0" quotePrefix="1" applyNumberFormat="1" applyFont="1" applyFill="1" applyBorder="1" applyAlignment="1">
      <alignment horizontal="center"/>
    </xf>
    <xf numFmtId="16" fontId="3" fillId="10" borderId="1" xfId="0" quotePrefix="1" applyNumberFormat="1" applyFont="1" applyFill="1" applyBorder="1" applyAlignment="1">
      <alignment horizontal="center" vertical="center" shrinkToFit="1"/>
    </xf>
    <xf numFmtId="0" fontId="16" fillId="10" borderId="1" xfId="0" quotePrefix="1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43" fontId="3" fillId="5" borderId="1" xfId="0" applyNumberFormat="1" applyFont="1" applyFill="1" applyBorder="1" applyAlignment="1">
      <alignment vertical="center"/>
    </xf>
    <xf numFmtId="0" fontId="24" fillId="5" borderId="0" xfId="0" applyFont="1" applyFill="1"/>
    <xf numFmtId="165" fontId="13" fillId="0" borderId="1" xfId="0" quotePrefix="1" applyNumberFormat="1" applyFont="1" applyBorder="1" applyAlignment="1">
      <alignment horizontal="center"/>
    </xf>
    <xf numFmtId="43" fontId="12" fillId="0" borderId="1" xfId="0" quotePrefix="1" applyNumberFormat="1" applyFont="1" applyBorder="1" applyAlignment="1">
      <alignment horizontal="center"/>
    </xf>
    <xf numFmtId="0" fontId="16" fillId="0" borderId="1" xfId="0" quotePrefix="1" applyFont="1" applyBorder="1" applyAlignment="1">
      <alignment horizontal="center"/>
    </xf>
    <xf numFmtId="43" fontId="3" fillId="0" borderId="0" xfId="0" quotePrefix="1" applyNumberFormat="1" applyFont="1" applyAlignment="1">
      <alignment horizontal="center" vertical="center" wrapText="1"/>
    </xf>
    <xf numFmtId="170" fontId="6" fillId="0" borderId="0" xfId="2" applyNumberFormat="1" applyFont="1" applyFill="1" applyAlignment="1">
      <alignment horizontal="right"/>
    </xf>
    <xf numFmtId="14" fontId="6" fillId="0" borderId="0" xfId="0" applyNumberFormat="1" applyFont="1"/>
    <xf numFmtId="0" fontId="6" fillId="12" borderId="0" xfId="0" applyFont="1" applyFill="1"/>
    <xf numFmtId="170" fontId="3" fillId="12" borderId="0" xfId="2" applyNumberFormat="1" applyFont="1" applyFill="1" applyAlignment="1">
      <alignment horizontal="center"/>
    </xf>
    <xf numFmtId="44" fontId="3" fillId="12" borderId="0" xfId="2" applyFont="1" applyFill="1" applyBorder="1"/>
    <xf numFmtId="170" fontId="6" fillId="12" borderId="0" xfId="2" applyNumberFormat="1" applyFont="1" applyFill="1" applyAlignment="1">
      <alignment horizontal="right"/>
    </xf>
    <xf numFmtId="14" fontId="6" fillId="12" borderId="0" xfId="0" applyNumberFormat="1" applyFont="1" applyFill="1" applyAlignment="1">
      <alignment horizontal="center"/>
    </xf>
    <xf numFmtId="0" fontId="6" fillId="12" borderId="0" xfId="0" applyFont="1" applyFill="1" applyAlignment="1">
      <alignment horizontal="left"/>
    </xf>
    <xf numFmtId="44" fontId="6" fillId="12" borderId="0" xfId="2" applyFont="1" applyFill="1" applyAlignment="1">
      <alignment horizontal="left"/>
    </xf>
    <xf numFmtId="0" fontId="9" fillId="13" borderId="0" xfId="0" applyFont="1" applyFill="1"/>
    <xf numFmtId="170" fontId="9" fillId="13" borderId="0" xfId="0" applyNumberFormat="1" applyFont="1" applyFill="1"/>
    <xf numFmtId="14" fontId="12" fillId="0" borderId="1" xfId="0" applyNumberFormat="1" applyFont="1" applyBorder="1" applyAlignment="1">
      <alignment horizontal="center"/>
    </xf>
    <xf numFmtId="0" fontId="6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43" fontId="3" fillId="4" borderId="0" xfId="0" applyNumberFormat="1" applyFont="1" applyFill="1" applyAlignment="1">
      <alignment horizontal="left"/>
    </xf>
    <xf numFmtId="0" fontId="9" fillId="0" borderId="0" xfId="0" applyFont="1"/>
    <xf numFmtId="0" fontId="25" fillId="14" borderId="8" xfId="0" applyFont="1" applyFill="1" applyBorder="1" applyAlignment="1">
      <alignment horizontal="center"/>
    </xf>
    <xf numFmtId="0" fontId="26" fillId="0" borderId="0" xfId="0" applyFont="1"/>
    <xf numFmtId="0" fontId="27" fillId="15" borderId="0" xfId="0" applyFont="1" applyFill="1"/>
    <xf numFmtId="0" fontId="28" fillId="0" borderId="0" xfId="0" applyFont="1"/>
    <xf numFmtId="43" fontId="6" fillId="4" borderId="0" xfId="0" applyNumberFormat="1" applyFont="1" applyFill="1" applyAlignment="1">
      <alignment shrinkToFit="1"/>
    </xf>
    <xf numFmtId="165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43" fontId="29" fillId="0" borderId="1" xfId="0" applyNumberFormat="1" applyFont="1" applyBorder="1" applyAlignment="1">
      <alignment horizontal="center"/>
    </xf>
    <xf numFmtId="43" fontId="29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43" fontId="12" fillId="9" borderId="1" xfId="0" applyNumberFormat="1" applyFont="1" applyFill="1" applyBorder="1" applyAlignment="1">
      <alignment horizontal="center" vertical="center"/>
    </xf>
    <xf numFmtId="43" fontId="7" fillId="9" borderId="1" xfId="0" applyNumberFormat="1" applyFont="1" applyFill="1" applyBorder="1" applyAlignment="1">
      <alignment horizontal="center" vertical="center"/>
    </xf>
    <xf numFmtId="43" fontId="30" fillId="5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/>
    <xf numFmtId="170" fontId="3" fillId="11" borderId="1" xfId="2" applyNumberFormat="1" applyFont="1" applyFill="1" applyBorder="1" applyAlignment="1">
      <alignment horizontal="center"/>
    </xf>
    <xf numFmtId="14" fontId="6" fillId="11" borderId="1" xfId="0" applyNumberFormat="1" applyFont="1" applyFill="1" applyBorder="1"/>
    <xf numFmtId="44" fontId="6" fillId="11" borderId="1" xfId="2" applyFont="1" applyFill="1" applyBorder="1"/>
    <xf numFmtId="0" fontId="11" fillId="7" borderId="1" xfId="0" applyFont="1" applyFill="1" applyBorder="1"/>
    <xf numFmtId="170" fontId="11" fillId="7" borderId="1" xfId="0" applyNumberFormat="1" applyFont="1" applyFill="1" applyBorder="1"/>
    <xf numFmtId="16" fontId="3" fillId="0" borderId="7" xfId="0" quotePrefix="1" applyNumberFormat="1" applyFont="1" applyBorder="1" applyAlignment="1">
      <alignment horizontal="center" vertical="center" shrinkToFit="1"/>
    </xf>
    <xf numFmtId="165" fontId="12" fillId="5" borderId="7" xfId="0" quotePrefix="1" applyNumberFormat="1" applyFont="1" applyFill="1" applyBorder="1" applyAlignment="1">
      <alignment horizontal="center"/>
    </xf>
    <xf numFmtId="43" fontId="12" fillId="5" borderId="7" xfId="0" applyNumberFormat="1" applyFont="1" applyFill="1" applyBorder="1" applyAlignment="1">
      <alignment horizontal="center"/>
    </xf>
    <xf numFmtId="43" fontId="12" fillId="0" borderId="7" xfId="0" applyNumberFormat="1" applyFont="1" applyBorder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left"/>
    </xf>
    <xf numFmtId="43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70" fontId="3" fillId="0" borderId="0" xfId="2" applyNumberFormat="1" applyFont="1" applyFill="1" applyBorder="1" applyAlignment="1">
      <alignment horizontal="center"/>
    </xf>
    <xf numFmtId="44" fontId="6" fillId="0" borderId="0" xfId="2" applyFont="1" applyFill="1" applyBorder="1"/>
    <xf numFmtId="170" fontId="11" fillId="0" borderId="0" xfId="0" applyNumberFormat="1" applyFont="1"/>
    <xf numFmtId="169" fontId="3" fillId="0" borderId="1" xfId="0" applyNumberFormat="1" applyFont="1" applyBorder="1" applyAlignment="1">
      <alignment vertical="center"/>
    </xf>
    <xf numFmtId="169" fontId="3" fillId="0" borderId="1" xfId="0" applyNumberFormat="1" applyFont="1" applyBorder="1" applyAlignment="1">
      <alignment horizontal="center" vertical="center" wrapText="1"/>
    </xf>
    <xf numFmtId="171" fontId="6" fillId="2" borderId="1" xfId="0" applyNumberFormat="1" applyFont="1" applyFill="1" applyBorder="1" applyAlignment="1">
      <alignment horizontal="right"/>
    </xf>
    <xf numFmtId="0" fontId="3" fillId="2" borderId="1" xfId="0" quotePrefix="1" applyFont="1" applyFill="1" applyBorder="1" applyAlignment="1">
      <alignment horizontal="center"/>
    </xf>
    <xf numFmtId="44" fontId="13" fillId="2" borderId="1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43" fontId="7" fillId="0" borderId="0" xfId="0" applyNumberFormat="1" applyFont="1" applyAlignment="1">
      <alignment horizontal="center" vertical="center"/>
    </xf>
    <xf numFmtId="0" fontId="6" fillId="0" borderId="0" xfId="0" quotePrefix="1" applyFont="1"/>
    <xf numFmtId="16" fontId="3" fillId="0" borderId="8" xfId="0" quotePrefix="1" applyNumberFormat="1" applyFont="1" applyBorder="1" applyAlignment="1">
      <alignment horizontal="center" vertical="center" shrinkToFit="1"/>
    </xf>
    <xf numFmtId="43" fontId="3" fillId="0" borderId="1" xfId="0" quotePrefix="1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67" fontId="11" fillId="7" borderId="1" xfId="0" applyNumberFormat="1" applyFont="1" applyFill="1" applyBorder="1"/>
    <xf numFmtId="0" fontId="11" fillId="7" borderId="1" xfId="0" applyFont="1" applyFill="1" applyBorder="1" applyAlignment="1">
      <alignment horizontal="center"/>
    </xf>
    <xf numFmtId="43" fontId="11" fillId="7" borderId="1" xfId="1" applyFont="1" applyFill="1" applyBorder="1"/>
    <xf numFmtId="0" fontId="6" fillId="2" borderId="1" xfId="0" applyFont="1" applyFill="1" applyBorder="1" applyAlignment="1">
      <alignment horizontal="left"/>
    </xf>
    <xf numFmtId="43" fontId="6" fillId="2" borderId="1" xfId="0" applyNumberFormat="1" applyFont="1" applyFill="1" applyBorder="1"/>
    <xf numFmtId="167" fontId="6" fillId="2" borderId="1" xfId="0" applyNumberFormat="1" applyFont="1" applyFill="1" applyBorder="1" applyAlignment="1">
      <alignment horizontal="left"/>
    </xf>
    <xf numFmtId="167" fontId="3" fillId="0" borderId="0" xfId="0" applyNumberFormat="1" applyFont="1"/>
    <xf numFmtId="43" fontId="3" fillId="0" borderId="0" xfId="1" applyFont="1" applyFill="1" applyBorder="1"/>
    <xf numFmtId="170" fontId="3" fillId="0" borderId="0" xfId="0" applyNumberFormat="1" applyFont="1"/>
    <xf numFmtId="167" fontId="3" fillId="0" borderId="0" xfId="0" applyNumberFormat="1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4" fontId="12" fillId="0" borderId="1" xfId="0" applyNumberFormat="1" applyFont="1" applyBorder="1" applyAlignment="1">
      <alignment horizontal="center" vertical="center"/>
    </xf>
    <xf numFmtId="164" fontId="6" fillId="0" borderId="0" xfId="0" applyNumberFormat="1" applyFont="1"/>
    <xf numFmtId="43" fontId="3" fillId="0" borderId="0" xfId="0" quotePrefix="1" applyNumberFormat="1" applyFont="1" applyAlignment="1">
      <alignment horizontal="center" wrapText="1"/>
    </xf>
    <xf numFmtId="43" fontId="3" fillId="0" borderId="7" xfId="0" quotePrefix="1" applyNumberFormat="1" applyFont="1" applyBorder="1" applyAlignment="1">
      <alignment horizontal="center"/>
    </xf>
    <xf numFmtId="165" fontId="3" fillId="0" borderId="7" xfId="0" quotePrefix="1" applyNumberFormat="1" applyFont="1" applyBorder="1" applyAlignment="1">
      <alignment horizontal="center"/>
    </xf>
    <xf numFmtId="43" fontId="3" fillId="0" borderId="7" xfId="0" applyNumberFormat="1" applyFont="1" applyBorder="1" applyAlignment="1">
      <alignment horizontal="center"/>
    </xf>
    <xf numFmtId="43" fontId="7" fillId="0" borderId="7" xfId="0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left" vertical="center"/>
    </xf>
    <xf numFmtId="43" fontId="13" fillId="0" borderId="1" xfId="0" applyNumberFormat="1" applyFont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167" fontId="11" fillId="0" borderId="0" xfId="0" applyNumberFormat="1" applyFont="1"/>
    <xf numFmtId="0" fontId="11" fillId="0" borderId="0" xfId="0" applyFont="1" applyAlignment="1">
      <alignment horizontal="center"/>
    </xf>
    <xf numFmtId="43" fontId="11" fillId="0" borderId="0" xfId="1" applyFont="1" applyFill="1" applyBorder="1"/>
    <xf numFmtId="167" fontId="6" fillId="0" borderId="0" xfId="0" applyNumberFormat="1" applyFont="1" applyAlignment="1">
      <alignment horizontal="left"/>
    </xf>
    <xf numFmtId="167" fontId="11" fillId="7" borderId="6" xfId="0" applyNumberFormat="1" applyFont="1" applyFill="1" applyBorder="1"/>
    <xf numFmtId="0" fontId="11" fillId="7" borderId="6" xfId="0" applyFont="1" applyFill="1" applyBorder="1" applyAlignment="1">
      <alignment horizontal="center"/>
    </xf>
    <xf numFmtId="43" fontId="11" fillId="7" borderId="6" xfId="1" applyFont="1" applyFill="1" applyBorder="1"/>
    <xf numFmtId="167" fontId="11" fillId="16" borderId="0" xfId="0" applyNumberFormat="1" applyFont="1" applyFill="1"/>
    <xf numFmtId="0" fontId="11" fillId="16" borderId="0" xfId="0" applyFont="1" applyFill="1" applyAlignment="1">
      <alignment horizontal="center"/>
    </xf>
    <xf numFmtId="43" fontId="11" fillId="16" borderId="0" xfId="1" applyFont="1" applyFill="1" applyBorder="1"/>
    <xf numFmtId="167" fontId="6" fillId="3" borderId="0" xfId="0" applyNumberFormat="1" applyFont="1" applyFill="1"/>
    <xf numFmtId="0" fontId="6" fillId="3" borderId="0" xfId="0" applyFont="1" applyFill="1" applyAlignment="1">
      <alignment horizontal="center"/>
    </xf>
    <xf numFmtId="43" fontId="6" fillId="3" borderId="0" xfId="0" applyNumberFormat="1" applyFont="1" applyFill="1"/>
    <xf numFmtId="169" fontId="11" fillId="0" borderId="2" xfId="1" applyNumberFormat="1" applyFont="1" applyBorder="1" applyAlignment="1">
      <alignment vertical="center" wrapText="1"/>
    </xf>
    <xf numFmtId="0" fontId="11" fillId="7" borderId="0" xfId="0" applyFont="1" applyFill="1" applyAlignment="1">
      <alignment horizontal="center"/>
    </xf>
    <xf numFmtId="0" fontId="11" fillId="7" borderId="0" xfId="0" applyFont="1" applyFill="1"/>
    <xf numFmtId="170" fontId="11" fillId="7" borderId="0" xfId="2" applyNumberFormat="1" applyFont="1" applyFill="1" applyAlignment="1">
      <alignment horizontal="right"/>
    </xf>
    <xf numFmtId="14" fontId="11" fillId="11" borderId="0" xfId="0" applyNumberFormat="1" applyFont="1" applyFill="1"/>
    <xf numFmtId="44" fontId="11" fillId="11" borderId="0" xfId="2" applyFont="1" applyFill="1"/>
    <xf numFmtId="44" fontId="11" fillId="16" borderId="0" xfId="2" applyFont="1" applyFill="1" applyBorder="1"/>
    <xf numFmtId="0" fontId="11" fillId="11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167" fontId="31" fillId="16" borderId="0" xfId="0" applyNumberFormat="1" applyFont="1" applyFill="1"/>
    <xf numFmtId="0" fontId="31" fillId="11" borderId="0" xfId="0" applyFont="1" applyFill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3" fontId="3" fillId="0" borderId="6" xfId="0" applyNumberFormat="1" applyFont="1" applyBorder="1" applyAlignment="1">
      <alignment horizontal="center" vertical="center" wrapText="1"/>
    </xf>
    <xf numFmtId="43" fontId="3" fillId="0" borderId="7" xfId="0" applyNumberFormat="1" applyFont="1" applyBorder="1" applyAlignment="1">
      <alignment horizontal="center" vertical="center" wrapText="1"/>
    </xf>
    <xf numFmtId="166" fontId="3" fillId="0" borderId="6" xfId="0" applyNumberFormat="1" applyFont="1" applyBorder="1" applyAlignment="1">
      <alignment horizontal="center" vertical="center" wrapText="1"/>
    </xf>
    <xf numFmtId="166" fontId="3" fillId="0" borderId="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7" fontId="32" fillId="8" borderId="1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1183"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rgb="FFFF0000"/>
      </font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33CCCC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33CCCC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33CCCC"/>
        </patternFill>
      </fill>
    </dxf>
    <dxf>
      <font>
        <b/>
        <i val="0"/>
        <color theme="0"/>
      </font>
      <fill>
        <patternFill>
          <bgColor rgb="FF336600"/>
        </patternFill>
      </fill>
    </dxf>
  </dxfs>
  <tableStyles count="0" defaultTableStyle="TableStyleMedium2" defaultPivotStyle="PivotStyleLight16"/>
  <colors>
    <mruColors>
      <color rgb="FF33CCCC"/>
      <color rgb="FF0000FF"/>
      <color rgb="FF336600"/>
      <color rgb="FF006600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2-FEB-Exchange-rate-en-17713825998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2-FEB-Exchange-rate-en-177241728055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3-MAR-Exchange-rate-en-17737972581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4-APR-Exchange-rate-en-177674696846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5-MAY-Exchange-rate-en-177829765304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6-JUN-Exchange-rate-en-178132013550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7-JUL-Exchange-rate-en-178357742186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8-AUG-Exchange-rate-en-178616206351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IST%20R+E\2609-SEP-Exchange-rate-en-178902827677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"/>
    </sheetNames>
    <sheetDataSet>
      <sheetData sheetId="0" refreshError="1">
        <row r="3">
          <cell r="A3">
            <v>46071</v>
          </cell>
          <cell r="B3" t="str">
            <v>USD/KHR</v>
          </cell>
          <cell r="C3" t="str">
            <v>4022</v>
          </cell>
        </row>
        <row r="4">
          <cell r="A4">
            <v>46070</v>
          </cell>
          <cell r="B4" t="str">
            <v>USD/KHR</v>
          </cell>
          <cell r="C4" t="str">
            <v>4023</v>
          </cell>
        </row>
        <row r="5">
          <cell r="A5">
            <v>46069</v>
          </cell>
          <cell r="B5" t="str">
            <v>USD/KHR</v>
          </cell>
          <cell r="C5" t="str">
            <v>4023</v>
          </cell>
        </row>
        <row r="6">
          <cell r="A6">
            <v>46066</v>
          </cell>
          <cell r="B6" t="str">
            <v>USD/KHR</v>
          </cell>
          <cell r="C6" t="str">
            <v>4022</v>
          </cell>
        </row>
        <row r="7">
          <cell r="A7">
            <v>46065</v>
          </cell>
          <cell r="B7" t="str">
            <v>USD/KHR</v>
          </cell>
          <cell r="C7" t="str">
            <v>4024</v>
          </cell>
        </row>
        <row r="8">
          <cell r="A8">
            <v>46064</v>
          </cell>
          <cell r="B8" t="str">
            <v>USD/KHR</v>
          </cell>
          <cell r="C8" t="str">
            <v>4029</v>
          </cell>
        </row>
        <row r="9">
          <cell r="A9">
            <v>46063</v>
          </cell>
          <cell r="B9" t="str">
            <v>USD/KHR</v>
          </cell>
          <cell r="C9" t="str">
            <v>4031</v>
          </cell>
        </row>
        <row r="10">
          <cell r="A10">
            <v>46062</v>
          </cell>
          <cell r="B10" t="str">
            <v>USD/KHR</v>
          </cell>
          <cell r="C10" t="str">
            <v>4033</v>
          </cell>
        </row>
        <row r="11">
          <cell r="A11">
            <v>46059</v>
          </cell>
          <cell r="B11" t="str">
            <v>USD/KHR</v>
          </cell>
          <cell r="C11" t="str">
            <v>4033</v>
          </cell>
        </row>
        <row r="12">
          <cell r="A12">
            <v>46058</v>
          </cell>
          <cell r="B12" t="str">
            <v>USD/KHR</v>
          </cell>
          <cell r="C12" t="str">
            <v>4033</v>
          </cell>
        </row>
        <row r="13">
          <cell r="A13">
            <v>46057</v>
          </cell>
          <cell r="B13" t="str">
            <v>USD/KHR</v>
          </cell>
          <cell r="C13" t="str">
            <v>4032</v>
          </cell>
        </row>
        <row r="14">
          <cell r="A14">
            <v>46056</v>
          </cell>
          <cell r="B14" t="str">
            <v>USD/KHR</v>
          </cell>
          <cell r="C14" t="str">
            <v>4031</v>
          </cell>
        </row>
        <row r="15">
          <cell r="A15">
            <v>46055</v>
          </cell>
          <cell r="B15" t="str">
            <v>USD/KHR</v>
          </cell>
          <cell r="C15" t="str">
            <v>4026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46055</v>
          </cell>
          <cell r="B3" t="str">
            <v>USD/KHR</v>
          </cell>
          <cell r="C3" t="str">
            <v>4026</v>
          </cell>
        </row>
        <row r="4">
          <cell r="A4">
            <v>46056</v>
          </cell>
          <cell r="B4" t="str">
            <v>USD/KHR</v>
          </cell>
          <cell r="C4" t="str">
            <v>4031</v>
          </cell>
        </row>
        <row r="5">
          <cell r="A5">
            <v>46057</v>
          </cell>
          <cell r="B5" t="str">
            <v>USD/KHR</v>
          </cell>
          <cell r="C5" t="str">
            <v>4032</v>
          </cell>
        </row>
        <row r="6">
          <cell r="A6">
            <v>46058</v>
          </cell>
          <cell r="B6" t="str">
            <v>USD/KHR</v>
          </cell>
          <cell r="C6" t="str">
            <v>4033</v>
          </cell>
        </row>
        <row r="7">
          <cell r="A7">
            <v>46059</v>
          </cell>
          <cell r="B7" t="str">
            <v>USD/KHR</v>
          </cell>
          <cell r="C7" t="str">
            <v>4033</v>
          </cell>
        </row>
        <row r="8">
          <cell r="A8">
            <v>46062</v>
          </cell>
          <cell r="B8" t="str">
            <v>USD/KHR</v>
          </cell>
          <cell r="C8" t="str">
            <v>4033</v>
          </cell>
        </row>
        <row r="9">
          <cell r="A9">
            <v>46063</v>
          </cell>
          <cell r="B9" t="str">
            <v>USD/KHR</v>
          </cell>
          <cell r="C9" t="str">
            <v>4031</v>
          </cell>
        </row>
        <row r="10">
          <cell r="A10">
            <v>46064</v>
          </cell>
          <cell r="B10" t="str">
            <v>USD/KHR</v>
          </cell>
          <cell r="C10" t="str">
            <v>4029</v>
          </cell>
        </row>
        <row r="11">
          <cell r="A11">
            <v>46065</v>
          </cell>
          <cell r="B11" t="str">
            <v>USD/KHR</v>
          </cell>
          <cell r="C11" t="str">
            <v>4024</v>
          </cell>
        </row>
        <row r="12">
          <cell r="A12">
            <v>46066</v>
          </cell>
          <cell r="B12" t="str">
            <v>USD/KHR</v>
          </cell>
          <cell r="C12" t="str">
            <v>4022</v>
          </cell>
        </row>
        <row r="13">
          <cell r="A13">
            <v>46069</v>
          </cell>
          <cell r="B13" t="str">
            <v>USD/KHR</v>
          </cell>
          <cell r="C13" t="str">
            <v>4023</v>
          </cell>
        </row>
        <row r="14">
          <cell r="A14">
            <v>46070</v>
          </cell>
          <cell r="B14" t="str">
            <v>USD/KHR</v>
          </cell>
          <cell r="C14" t="str">
            <v>4023</v>
          </cell>
        </row>
        <row r="15">
          <cell r="A15">
            <v>46071</v>
          </cell>
          <cell r="B15" t="str">
            <v>USD/KHR</v>
          </cell>
          <cell r="C15" t="str">
            <v>4022</v>
          </cell>
        </row>
        <row r="16">
          <cell r="A16">
            <v>46072</v>
          </cell>
          <cell r="B16" t="str">
            <v>USD/KHR</v>
          </cell>
          <cell r="C16" t="str">
            <v>4022</v>
          </cell>
        </row>
        <row r="17">
          <cell r="A17">
            <v>46073</v>
          </cell>
          <cell r="B17" t="str">
            <v>USD/KHR</v>
          </cell>
          <cell r="C17" t="str">
            <v>4021</v>
          </cell>
        </row>
        <row r="18">
          <cell r="A18">
            <v>46076</v>
          </cell>
          <cell r="B18" t="str">
            <v>USD/KHR</v>
          </cell>
          <cell r="C18" t="str">
            <v>4017</v>
          </cell>
        </row>
        <row r="19">
          <cell r="A19">
            <v>46077</v>
          </cell>
          <cell r="B19" t="str">
            <v>USD/KHR</v>
          </cell>
          <cell r="C19" t="str">
            <v>4017</v>
          </cell>
        </row>
        <row r="20">
          <cell r="A20">
            <v>46078</v>
          </cell>
          <cell r="B20" t="str">
            <v>USD/KHR</v>
          </cell>
          <cell r="C20" t="str">
            <v>4016</v>
          </cell>
        </row>
        <row r="21">
          <cell r="A21">
            <v>46079</v>
          </cell>
          <cell r="B21" t="str">
            <v>USD/KHR</v>
          </cell>
          <cell r="C21" t="str">
            <v>4011</v>
          </cell>
        </row>
        <row r="22">
          <cell r="A22">
            <v>46080</v>
          </cell>
          <cell r="B22" t="str">
            <v>USD/KHR</v>
          </cell>
          <cell r="C22" t="str">
            <v>4010</v>
          </cell>
        </row>
        <row r="23">
          <cell r="A23">
            <v>46081</v>
          </cell>
          <cell r="B23" t="str">
            <v>USD/KHR</v>
          </cell>
          <cell r="C23">
            <v>4010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46083</v>
          </cell>
          <cell r="B3" t="str">
            <v>USD/KHR</v>
          </cell>
          <cell r="C3" t="str">
            <v>4012</v>
          </cell>
        </row>
        <row r="4">
          <cell r="A4">
            <v>46084</v>
          </cell>
          <cell r="B4" t="str">
            <v>USD/KHR</v>
          </cell>
          <cell r="C4" t="str">
            <v>4013</v>
          </cell>
        </row>
        <row r="5">
          <cell r="A5">
            <v>46085</v>
          </cell>
          <cell r="B5" t="str">
            <v>USD/KHR</v>
          </cell>
          <cell r="C5" t="str">
            <v>4013</v>
          </cell>
        </row>
        <row r="6">
          <cell r="A6">
            <v>46086</v>
          </cell>
          <cell r="B6" t="str">
            <v>USD/KHR</v>
          </cell>
          <cell r="C6" t="str">
            <v>4013</v>
          </cell>
        </row>
        <row r="7">
          <cell r="A7">
            <v>46087</v>
          </cell>
          <cell r="B7" t="str">
            <v>USD/KHR</v>
          </cell>
          <cell r="C7" t="str">
            <v>4013</v>
          </cell>
        </row>
        <row r="8">
          <cell r="A8">
            <v>46090</v>
          </cell>
          <cell r="B8" t="str">
            <v>USD/KHR</v>
          </cell>
          <cell r="C8" t="str">
            <v>4013</v>
          </cell>
        </row>
        <row r="9">
          <cell r="A9">
            <v>46091</v>
          </cell>
          <cell r="B9" t="str">
            <v>USD/KHR</v>
          </cell>
          <cell r="C9" t="str">
            <v>4013</v>
          </cell>
        </row>
        <row r="10">
          <cell r="A10">
            <v>46092</v>
          </cell>
          <cell r="B10" t="str">
            <v>USD/KHR</v>
          </cell>
          <cell r="C10" t="str">
            <v>4013</v>
          </cell>
        </row>
        <row r="11">
          <cell r="A11">
            <v>46093</v>
          </cell>
          <cell r="B11" t="str">
            <v>USD/KHR</v>
          </cell>
          <cell r="C11" t="str">
            <v>4014</v>
          </cell>
        </row>
        <row r="12">
          <cell r="A12">
            <v>46094</v>
          </cell>
          <cell r="B12" t="str">
            <v>USD/KHR</v>
          </cell>
          <cell r="C12" t="str">
            <v>4013</v>
          </cell>
        </row>
        <row r="13">
          <cell r="A13">
            <v>46097</v>
          </cell>
          <cell r="B13" t="str">
            <v>USD/KHR</v>
          </cell>
          <cell r="C13" t="str">
            <v>4013</v>
          </cell>
        </row>
        <row r="14">
          <cell r="A14">
            <v>46098</v>
          </cell>
          <cell r="B14" t="str">
            <v>USD/KHR</v>
          </cell>
          <cell r="C14" t="str">
            <v>4013</v>
          </cell>
        </row>
        <row r="15">
          <cell r="A15">
            <v>46099</v>
          </cell>
          <cell r="B15" t="str">
            <v>USD/KHR</v>
          </cell>
          <cell r="C15" t="str">
            <v>4013</v>
          </cell>
        </row>
        <row r="16">
          <cell r="A16">
            <v>46100</v>
          </cell>
          <cell r="B16" t="str">
            <v>USD/KHR</v>
          </cell>
          <cell r="C16" t="str">
            <v>4013</v>
          </cell>
        </row>
        <row r="17">
          <cell r="A17">
            <v>46101</v>
          </cell>
          <cell r="B17" t="str">
            <v>USD/KHR</v>
          </cell>
          <cell r="C17" t="str">
            <v>4011</v>
          </cell>
        </row>
        <row r="18">
          <cell r="A18">
            <v>46104</v>
          </cell>
          <cell r="B18" t="str">
            <v>USD/KHR</v>
          </cell>
          <cell r="C18" t="str">
            <v>4010</v>
          </cell>
        </row>
        <row r="19">
          <cell r="A19">
            <v>46105</v>
          </cell>
          <cell r="B19" t="str">
            <v>USD/KHR</v>
          </cell>
          <cell r="C19" t="str">
            <v>4007</v>
          </cell>
        </row>
        <row r="20">
          <cell r="A20">
            <v>46106</v>
          </cell>
          <cell r="B20" t="str">
            <v>USD/KHR</v>
          </cell>
          <cell r="C20" t="str">
            <v>4006</v>
          </cell>
        </row>
        <row r="21">
          <cell r="A21">
            <v>46107</v>
          </cell>
          <cell r="B21" t="str">
            <v>USD/KHR</v>
          </cell>
          <cell r="C21" t="str">
            <v>4004</v>
          </cell>
        </row>
        <row r="22">
          <cell r="A22">
            <v>46108</v>
          </cell>
          <cell r="B22" t="str">
            <v>USD/KHR</v>
          </cell>
          <cell r="C22" t="str">
            <v>4001</v>
          </cell>
        </row>
        <row r="23">
          <cell r="A23">
            <v>46111</v>
          </cell>
          <cell r="B23" t="str">
            <v>USD/KHR</v>
          </cell>
          <cell r="C23" t="str">
            <v>4001</v>
          </cell>
        </row>
        <row r="24">
          <cell r="A24">
            <v>46112</v>
          </cell>
          <cell r="B24" t="str">
            <v>USD/KHR</v>
          </cell>
          <cell r="C24" t="str">
            <v>4001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46113</v>
          </cell>
          <cell r="B3" t="str">
            <v>USD/KHR</v>
          </cell>
          <cell r="C3" t="str">
            <v>4001</v>
          </cell>
        </row>
        <row r="4">
          <cell r="A4">
            <v>46114</v>
          </cell>
          <cell r="B4" t="str">
            <v>USD/KHR</v>
          </cell>
          <cell r="C4" t="str">
            <v>3999</v>
          </cell>
        </row>
        <row r="5">
          <cell r="A5">
            <v>46115</v>
          </cell>
          <cell r="B5" t="str">
            <v>USD/KHR</v>
          </cell>
          <cell r="C5" t="str">
            <v>4000</v>
          </cell>
        </row>
        <row r="6">
          <cell r="A6">
            <v>46118</v>
          </cell>
          <cell r="B6" t="str">
            <v>USD/KHR</v>
          </cell>
          <cell r="C6" t="str">
            <v>3999</v>
          </cell>
        </row>
        <row r="7">
          <cell r="A7">
            <v>46119</v>
          </cell>
          <cell r="B7" t="str">
            <v>USD/KHR</v>
          </cell>
          <cell r="C7" t="str">
            <v>3999</v>
          </cell>
        </row>
        <row r="8">
          <cell r="A8">
            <v>46120</v>
          </cell>
          <cell r="B8" t="str">
            <v>USD/KHR</v>
          </cell>
          <cell r="C8" t="str">
            <v>3999</v>
          </cell>
        </row>
        <row r="9">
          <cell r="A9">
            <v>46121</v>
          </cell>
          <cell r="B9" t="str">
            <v>USD/KHR</v>
          </cell>
          <cell r="C9" t="str">
            <v>3999</v>
          </cell>
        </row>
        <row r="10">
          <cell r="A10">
            <v>46122</v>
          </cell>
          <cell r="B10" t="str">
            <v>USD/KHR</v>
          </cell>
          <cell r="C10" t="str">
            <v>4000</v>
          </cell>
        </row>
        <row r="11">
          <cell r="A11">
            <v>46125</v>
          </cell>
          <cell r="B11" t="str">
            <v>USD/KHR</v>
          </cell>
          <cell r="C11" t="str">
            <v>4000</v>
          </cell>
        </row>
        <row r="12">
          <cell r="A12">
            <v>46129</v>
          </cell>
          <cell r="B12" t="str">
            <v>USD/KHR</v>
          </cell>
          <cell r="C12" t="str">
            <v>4000</v>
          </cell>
        </row>
        <row r="13">
          <cell r="A13">
            <v>46132</v>
          </cell>
          <cell r="B13" t="str">
            <v>USD/KHR</v>
          </cell>
          <cell r="C13" t="str">
            <v>3997</v>
          </cell>
        </row>
        <row r="14">
          <cell r="A14">
            <v>46133</v>
          </cell>
          <cell r="B14" t="str">
            <v>USD/KHR</v>
          </cell>
          <cell r="C14" t="str">
            <v>3998</v>
          </cell>
        </row>
        <row r="15">
          <cell r="A15">
            <v>46134</v>
          </cell>
          <cell r="B15" t="str">
            <v>USD/KHR</v>
          </cell>
          <cell r="C15" t="str">
            <v>3999</v>
          </cell>
        </row>
        <row r="16">
          <cell r="A16">
            <v>46135</v>
          </cell>
          <cell r="B16" t="str">
            <v>USD/KHR</v>
          </cell>
          <cell r="C16" t="str">
            <v>3999</v>
          </cell>
        </row>
        <row r="17">
          <cell r="A17">
            <v>46136</v>
          </cell>
          <cell r="B17" t="str">
            <v>USD/KHR</v>
          </cell>
          <cell r="C17" t="str">
            <v>4001</v>
          </cell>
        </row>
        <row r="18">
          <cell r="A18">
            <v>46139</v>
          </cell>
          <cell r="B18" t="str">
            <v>USD/KHR</v>
          </cell>
          <cell r="C18" t="str">
            <v>4002</v>
          </cell>
        </row>
        <row r="19">
          <cell r="A19">
            <v>46140</v>
          </cell>
          <cell r="B19" t="str">
            <v>USD/KHR</v>
          </cell>
          <cell r="C19" t="str">
            <v>4004</v>
          </cell>
        </row>
        <row r="20">
          <cell r="A20">
            <v>46141</v>
          </cell>
          <cell r="B20" t="str">
            <v>USD/KHR</v>
          </cell>
          <cell r="C20" t="str">
            <v>4008</v>
          </cell>
        </row>
        <row r="21">
          <cell r="A21">
            <v>46142</v>
          </cell>
          <cell r="B21" t="str">
            <v>USD/KHR</v>
          </cell>
          <cell r="C21" t="str">
            <v>4007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46146</v>
          </cell>
          <cell r="B3" t="str">
            <v>USD/KHR</v>
          </cell>
          <cell r="C3" t="str">
            <v>4005</v>
          </cell>
        </row>
        <row r="4">
          <cell r="A4">
            <v>46148</v>
          </cell>
          <cell r="B4" t="str">
            <v>USD/KHR</v>
          </cell>
          <cell r="C4" t="str">
            <v>4008</v>
          </cell>
        </row>
        <row r="5">
          <cell r="A5">
            <v>46149</v>
          </cell>
          <cell r="B5" t="str">
            <v>USD/KHR</v>
          </cell>
          <cell r="C5" t="str">
            <v>4011</v>
          </cell>
        </row>
        <row r="6">
          <cell r="A6">
            <v>46150</v>
          </cell>
          <cell r="B6" t="str">
            <v>USD/KHR</v>
          </cell>
          <cell r="C6" t="str">
            <v>4012</v>
          </cell>
        </row>
        <row r="7">
          <cell r="A7">
            <v>46153</v>
          </cell>
          <cell r="B7" t="str">
            <v>USD/KHR</v>
          </cell>
          <cell r="C7" t="str">
            <v>4012</v>
          </cell>
        </row>
        <row r="8">
          <cell r="A8">
            <v>46154</v>
          </cell>
          <cell r="B8" t="str">
            <v>USD/KHR</v>
          </cell>
          <cell r="C8" t="str">
            <v>4012</v>
          </cell>
        </row>
        <row r="9">
          <cell r="A9">
            <v>46155</v>
          </cell>
          <cell r="B9" t="str">
            <v>USD/KHR</v>
          </cell>
          <cell r="C9" t="str">
            <v>4012</v>
          </cell>
        </row>
        <row r="10">
          <cell r="A10">
            <v>46157</v>
          </cell>
          <cell r="B10" t="str">
            <v>USD/KHR</v>
          </cell>
          <cell r="C10" t="str">
            <v>4012</v>
          </cell>
        </row>
        <row r="11">
          <cell r="A11">
            <v>46160</v>
          </cell>
          <cell r="B11" t="str">
            <v>USD/KHR</v>
          </cell>
          <cell r="C11" t="str">
            <v>4014</v>
          </cell>
        </row>
        <row r="12">
          <cell r="A12">
            <v>46161</v>
          </cell>
          <cell r="B12" t="str">
            <v>USD/KHR</v>
          </cell>
          <cell r="C12" t="str">
            <v>4019</v>
          </cell>
        </row>
        <row r="13">
          <cell r="A13">
            <v>46162</v>
          </cell>
          <cell r="B13" t="str">
            <v>USD/KHR</v>
          </cell>
          <cell r="C13" t="str">
            <v>4022</v>
          </cell>
        </row>
        <row r="14">
          <cell r="A14">
            <v>46163</v>
          </cell>
          <cell r="B14" t="str">
            <v>USD/KHR</v>
          </cell>
          <cell r="C14" t="str">
            <v>4023</v>
          </cell>
        </row>
        <row r="15">
          <cell r="A15">
            <v>46164</v>
          </cell>
          <cell r="B15" t="str">
            <v>USD/KHR</v>
          </cell>
          <cell r="C15" t="str">
            <v>4024</v>
          </cell>
        </row>
        <row r="16">
          <cell r="A16">
            <v>46167</v>
          </cell>
          <cell r="B16" t="str">
            <v>USD/KHR</v>
          </cell>
          <cell r="C16" t="str">
            <v>4025</v>
          </cell>
        </row>
        <row r="17">
          <cell r="A17">
            <v>46168</v>
          </cell>
          <cell r="B17" t="str">
            <v>USD/KHR</v>
          </cell>
          <cell r="C17" t="str">
            <v>4029</v>
          </cell>
        </row>
        <row r="18">
          <cell r="A18">
            <v>46169</v>
          </cell>
          <cell r="B18" t="str">
            <v>USD/KHR</v>
          </cell>
          <cell r="C18" t="str">
            <v>4028</v>
          </cell>
        </row>
        <row r="19">
          <cell r="A19">
            <v>46170</v>
          </cell>
          <cell r="B19" t="str">
            <v>USD/KHR</v>
          </cell>
          <cell r="C19" t="str">
            <v>4027</v>
          </cell>
        </row>
        <row r="20">
          <cell r="A20">
            <v>46171</v>
          </cell>
          <cell r="B20" t="str">
            <v>USD/KHR</v>
          </cell>
          <cell r="C20" t="str">
            <v>4026</v>
          </cell>
        </row>
        <row r="21">
          <cell r="A21">
            <v>46173</v>
          </cell>
          <cell r="B21" t="str">
            <v>USD/KHR</v>
          </cell>
          <cell r="C21">
            <v>4026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46174</v>
          </cell>
          <cell r="B3" t="str">
            <v>USD/KHR</v>
          </cell>
          <cell r="C3" t="str">
            <v>4026</v>
          </cell>
          <cell r="D3" t="str">
            <v>National Bank of Cambodia</v>
          </cell>
        </row>
        <row r="4">
          <cell r="A4">
            <v>46175</v>
          </cell>
          <cell r="B4" t="str">
            <v>USD/KHR</v>
          </cell>
          <cell r="C4" t="str">
            <v>4026</v>
          </cell>
          <cell r="D4" t="str">
            <v>National Bank of Cambodia</v>
          </cell>
        </row>
        <row r="5">
          <cell r="A5">
            <v>46176</v>
          </cell>
          <cell r="B5" t="str">
            <v>USD/KHR</v>
          </cell>
          <cell r="C5" t="str">
            <v>4026</v>
          </cell>
          <cell r="D5" t="str">
            <v>National Bank of Cambodia</v>
          </cell>
        </row>
        <row r="6">
          <cell r="A6">
            <v>46177</v>
          </cell>
          <cell r="B6" t="str">
            <v>USD/KHR</v>
          </cell>
          <cell r="C6" t="str">
            <v>4026</v>
          </cell>
          <cell r="D6" t="str">
            <v>National Bank of Cambodia</v>
          </cell>
        </row>
        <row r="7">
          <cell r="A7">
            <v>46178</v>
          </cell>
          <cell r="B7" t="str">
            <v>USD/KHR</v>
          </cell>
          <cell r="C7" t="str">
            <v>4027</v>
          </cell>
          <cell r="D7" t="str">
            <v>National Bank of Cambodia</v>
          </cell>
        </row>
        <row r="8">
          <cell r="A8">
            <v>46181</v>
          </cell>
          <cell r="B8" t="str">
            <v>USD/KHR</v>
          </cell>
          <cell r="C8" t="str">
            <v>4027</v>
          </cell>
          <cell r="D8" t="str">
            <v>National Bank of Cambodia</v>
          </cell>
        </row>
        <row r="9">
          <cell r="A9">
            <v>46182</v>
          </cell>
          <cell r="B9" t="str">
            <v>USD/KHR</v>
          </cell>
          <cell r="C9" t="str">
            <v>4027</v>
          </cell>
          <cell r="D9" t="str">
            <v>National Bank of Cambodia</v>
          </cell>
        </row>
        <row r="10">
          <cell r="A10">
            <v>46183</v>
          </cell>
          <cell r="B10" t="str">
            <v>USD/KHR</v>
          </cell>
          <cell r="C10" t="str">
            <v>4027</v>
          </cell>
          <cell r="D10" t="str">
            <v>National Bank of Cambodia</v>
          </cell>
        </row>
        <row r="11">
          <cell r="A11">
            <v>46184</v>
          </cell>
          <cell r="B11" t="str">
            <v>USD/KHR</v>
          </cell>
          <cell r="C11" t="str">
            <v>4026</v>
          </cell>
          <cell r="D11" t="str">
            <v>National Bank of Cambodia</v>
          </cell>
        </row>
        <row r="12">
          <cell r="A12">
            <v>46185</v>
          </cell>
          <cell r="B12" t="str">
            <v>USD/KHR</v>
          </cell>
          <cell r="C12" t="str">
            <v>4026</v>
          </cell>
          <cell r="D12" t="str">
            <v>National Bank of Cambodia</v>
          </cell>
        </row>
        <row r="13">
          <cell r="A13">
            <v>46188</v>
          </cell>
          <cell r="B13" t="str">
            <v>USD/KHR</v>
          </cell>
          <cell r="C13">
            <v>4025</v>
          </cell>
          <cell r="D13" t="str">
            <v>National Bank of Cambodia</v>
          </cell>
        </row>
        <row r="14">
          <cell r="A14">
            <v>46189</v>
          </cell>
          <cell r="B14" t="str">
            <v>USD/KHR</v>
          </cell>
          <cell r="C14">
            <v>4025</v>
          </cell>
          <cell r="D14" t="str">
            <v>National Bank of Cambodia</v>
          </cell>
        </row>
        <row r="15">
          <cell r="A15">
            <v>46192</v>
          </cell>
          <cell r="B15" t="str">
            <v>USD/KHR</v>
          </cell>
          <cell r="C15" t="str">
            <v>4024</v>
          </cell>
          <cell r="D15" t="str">
            <v>National Bank of Cambodia</v>
          </cell>
        </row>
        <row r="16">
          <cell r="A16">
            <v>46195</v>
          </cell>
          <cell r="B16" t="str">
            <v>USD/KHR</v>
          </cell>
          <cell r="C16" t="str">
            <v>4024</v>
          </cell>
          <cell r="D16" t="str">
            <v>National Bank of Cambodia</v>
          </cell>
        </row>
        <row r="17">
          <cell r="A17">
            <v>46196</v>
          </cell>
          <cell r="B17" t="str">
            <v>USD/KHR</v>
          </cell>
          <cell r="C17" t="str">
            <v>4024</v>
          </cell>
          <cell r="D17" t="str">
            <v>National Bank of Cambodia</v>
          </cell>
        </row>
        <row r="18">
          <cell r="A18">
            <v>46197</v>
          </cell>
          <cell r="B18" t="str">
            <v>USD/KHR</v>
          </cell>
          <cell r="C18" t="str">
            <v>4024</v>
          </cell>
          <cell r="D18" t="str">
            <v>National Bank of Cambodia</v>
          </cell>
        </row>
        <row r="19">
          <cell r="A19">
            <v>46198</v>
          </cell>
          <cell r="B19" t="str">
            <v>USD/KHR</v>
          </cell>
          <cell r="C19" t="str">
            <v>4024</v>
          </cell>
          <cell r="D19" t="str">
            <v>National Bank of Cambodia</v>
          </cell>
        </row>
        <row r="20">
          <cell r="A20">
            <v>46199</v>
          </cell>
          <cell r="B20" t="str">
            <v>USD/KHR</v>
          </cell>
          <cell r="C20" t="str">
            <v>4024</v>
          </cell>
          <cell r="D20" t="str">
            <v>National Bank of Cambodia</v>
          </cell>
        </row>
        <row r="21">
          <cell r="A21">
            <v>46202</v>
          </cell>
          <cell r="B21" t="str">
            <v>USD/KHR</v>
          </cell>
          <cell r="C21" t="str">
            <v>4026</v>
          </cell>
          <cell r="D21" t="str">
            <v>National Bank of Cambodia</v>
          </cell>
        </row>
        <row r="22">
          <cell r="A22">
            <v>46203</v>
          </cell>
          <cell r="B22" t="str">
            <v>USD/KHR</v>
          </cell>
          <cell r="C22" t="str">
            <v>4026</v>
          </cell>
          <cell r="D22" t="str">
            <v>National Bank of Cambodia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46204</v>
          </cell>
          <cell r="B3" t="str">
            <v>USD/KHR</v>
          </cell>
          <cell r="C3" t="str">
            <v>4027</v>
          </cell>
          <cell r="D3" t="str">
            <v>National Bank of Cambodia</v>
          </cell>
        </row>
        <row r="4">
          <cell r="A4">
            <v>46205</v>
          </cell>
          <cell r="B4" t="str">
            <v>USD/KHR</v>
          </cell>
          <cell r="C4" t="str">
            <v>4030</v>
          </cell>
          <cell r="D4" t="str">
            <v>National Bank of Cambodia</v>
          </cell>
        </row>
        <row r="5">
          <cell r="A5">
            <v>46206</v>
          </cell>
          <cell r="B5" t="str">
            <v>USD/KHR</v>
          </cell>
          <cell r="C5" t="str">
            <v>4033</v>
          </cell>
          <cell r="D5" t="str">
            <v>National Bank of Cambodia</v>
          </cell>
        </row>
        <row r="6">
          <cell r="A6">
            <v>46209</v>
          </cell>
          <cell r="B6" t="str">
            <v>USD/KHR</v>
          </cell>
          <cell r="C6" t="str">
            <v>4034</v>
          </cell>
          <cell r="D6" t="str">
            <v>National Bank of Cambodia</v>
          </cell>
        </row>
        <row r="7">
          <cell r="A7">
            <v>46210</v>
          </cell>
          <cell r="B7" t="str">
            <v>USD/KHR</v>
          </cell>
          <cell r="C7" t="str">
            <v>4035</v>
          </cell>
          <cell r="D7" t="str">
            <v>National Bank of Cambodia</v>
          </cell>
        </row>
        <row r="8">
          <cell r="A8">
            <v>46211</v>
          </cell>
          <cell r="B8" t="str">
            <v>USD/KHR</v>
          </cell>
          <cell r="C8" t="str">
            <v>4036</v>
          </cell>
          <cell r="D8" t="str">
            <v>National Bank of Cambodia</v>
          </cell>
        </row>
        <row r="9">
          <cell r="A9">
            <v>46212</v>
          </cell>
          <cell r="B9" t="str">
            <v>USD/KHR</v>
          </cell>
          <cell r="C9" t="str">
            <v>4036</v>
          </cell>
          <cell r="D9" t="str">
            <v>National Bank of Cambodia</v>
          </cell>
        </row>
        <row r="10">
          <cell r="A10">
            <v>46213</v>
          </cell>
          <cell r="B10" t="str">
            <v>USD/KHR</v>
          </cell>
          <cell r="C10" t="str">
            <v>4036</v>
          </cell>
          <cell r="D10" t="str">
            <v>National Bank of Cambodia</v>
          </cell>
        </row>
        <row r="11">
          <cell r="A11">
            <v>46216</v>
          </cell>
          <cell r="B11" t="str">
            <v>USD/KHR</v>
          </cell>
          <cell r="C11" t="str">
            <v>4037</v>
          </cell>
          <cell r="D11" t="str">
            <v>National Bank of Cambodia</v>
          </cell>
        </row>
        <row r="12">
          <cell r="A12">
            <v>46217</v>
          </cell>
          <cell r="B12" t="str">
            <v>USD/KHR</v>
          </cell>
          <cell r="C12" t="str">
            <v>4037</v>
          </cell>
          <cell r="D12" t="str">
            <v>National Bank of Cambodia</v>
          </cell>
        </row>
        <row r="13">
          <cell r="A13">
            <v>46218</v>
          </cell>
          <cell r="B13" t="str">
            <v>USD/KHR</v>
          </cell>
          <cell r="C13" t="str">
            <v>4037</v>
          </cell>
          <cell r="D13" t="str">
            <v>National Bank of Cambodia</v>
          </cell>
        </row>
        <row r="14">
          <cell r="A14">
            <v>46219</v>
          </cell>
          <cell r="B14" t="str">
            <v>USD/KHR</v>
          </cell>
          <cell r="C14" t="str">
            <v>4037</v>
          </cell>
          <cell r="D14" t="str">
            <v>National Bank of Cambodia</v>
          </cell>
        </row>
        <row r="15">
          <cell r="A15">
            <v>46220</v>
          </cell>
          <cell r="B15" t="str">
            <v>USD/KHR</v>
          </cell>
          <cell r="C15" t="str">
            <v>4037</v>
          </cell>
          <cell r="D15" t="str">
            <v>National Bank of Cambodia</v>
          </cell>
        </row>
        <row r="16">
          <cell r="A16">
            <v>46223</v>
          </cell>
          <cell r="B16" t="str">
            <v>USD/KHR</v>
          </cell>
          <cell r="C16" t="str">
            <v>4036</v>
          </cell>
          <cell r="D16" t="str">
            <v>National Bank of Cambodia</v>
          </cell>
        </row>
        <row r="17">
          <cell r="A17">
            <v>46224</v>
          </cell>
          <cell r="B17" t="str">
            <v>USD/KHR</v>
          </cell>
          <cell r="C17" t="str">
            <v>4040</v>
          </cell>
          <cell r="D17" t="str">
            <v>National Bank of Cambodia</v>
          </cell>
        </row>
        <row r="18">
          <cell r="A18">
            <v>46225</v>
          </cell>
          <cell r="B18" t="str">
            <v>USD/KHR</v>
          </cell>
          <cell r="C18" t="str">
            <v>4040</v>
          </cell>
          <cell r="D18" t="str">
            <v>National Bank of Cambodia</v>
          </cell>
        </row>
        <row r="19">
          <cell r="A19">
            <v>46226</v>
          </cell>
          <cell r="B19" t="str">
            <v>USD/KHR</v>
          </cell>
          <cell r="C19" t="str">
            <v>4041</v>
          </cell>
          <cell r="D19" t="str">
            <v>National Bank of Cambodia</v>
          </cell>
        </row>
        <row r="20">
          <cell r="A20">
            <v>46227</v>
          </cell>
          <cell r="B20" t="str">
            <v>USD/KHR</v>
          </cell>
          <cell r="C20" t="str">
            <v>4041</v>
          </cell>
          <cell r="D20" t="str">
            <v>National Bank of Cambodia</v>
          </cell>
        </row>
        <row r="21">
          <cell r="A21">
            <v>46230</v>
          </cell>
          <cell r="B21" t="str">
            <v>USD/KHR</v>
          </cell>
          <cell r="C21" t="str">
            <v>4041</v>
          </cell>
          <cell r="D21" t="str">
            <v>National Bank of Cambodia</v>
          </cell>
        </row>
        <row r="22">
          <cell r="A22">
            <v>46231</v>
          </cell>
          <cell r="B22" t="str">
            <v>USD/KHR</v>
          </cell>
          <cell r="C22" t="str">
            <v>4042</v>
          </cell>
          <cell r="D22" t="str">
            <v>National Bank of Cambodia</v>
          </cell>
        </row>
        <row r="23">
          <cell r="A23">
            <v>46232</v>
          </cell>
          <cell r="B23" t="str">
            <v>USD/KHR</v>
          </cell>
          <cell r="C23">
            <v>4042</v>
          </cell>
          <cell r="D23" t="str">
            <v>National Bank of Cambodia</v>
          </cell>
        </row>
        <row r="24">
          <cell r="A24">
            <v>46233</v>
          </cell>
          <cell r="B24" t="str">
            <v>USD/KHR</v>
          </cell>
          <cell r="C24" t="str">
            <v>4043</v>
          </cell>
          <cell r="D24" t="str">
            <v>National Bank of Cambodia</v>
          </cell>
        </row>
        <row r="25">
          <cell r="A25">
            <v>46234</v>
          </cell>
          <cell r="B25" t="str">
            <v>USD/KHR</v>
          </cell>
          <cell r="C25" t="str">
            <v>4043</v>
          </cell>
          <cell r="D25" t="str">
            <v>National Bank of Cambodia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46237</v>
          </cell>
          <cell r="B3" t="str">
            <v>USD/KHR</v>
          </cell>
          <cell r="C3" t="str">
            <v>4047</v>
          </cell>
          <cell r="D3" t="str">
            <v>National Bank of Cambodia</v>
          </cell>
        </row>
        <row r="4">
          <cell r="A4">
            <v>46238</v>
          </cell>
          <cell r="B4" t="str">
            <v>USD/KHR</v>
          </cell>
          <cell r="C4" t="str">
            <v>4051</v>
          </cell>
          <cell r="D4" t="str">
            <v>National Bank of Cambodia</v>
          </cell>
        </row>
        <row r="5">
          <cell r="A5">
            <v>46239</v>
          </cell>
          <cell r="B5" t="str">
            <v>USD/KHR</v>
          </cell>
          <cell r="C5" t="str">
            <v>4053</v>
          </cell>
          <cell r="D5" t="str">
            <v>National Bank of Cambodia</v>
          </cell>
        </row>
        <row r="6">
          <cell r="A6">
            <v>46240</v>
          </cell>
          <cell r="B6" t="str">
            <v>USD/KHR</v>
          </cell>
          <cell r="C6" t="str">
            <v>4055</v>
          </cell>
          <cell r="D6" t="str">
            <v>National Bank of Cambodia</v>
          </cell>
        </row>
        <row r="7">
          <cell r="A7">
            <v>46241</v>
          </cell>
          <cell r="B7" t="str">
            <v>USD/KHR</v>
          </cell>
          <cell r="C7" t="str">
            <v>4054</v>
          </cell>
          <cell r="D7" t="str">
            <v>National Bank of Cambodia</v>
          </cell>
        </row>
        <row r="8">
          <cell r="A8">
            <v>46244</v>
          </cell>
          <cell r="B8" t="str">
            <v>USD/KHR</v>
          </cell>
          <cell r="C8" t="str">
            <v>4053</v>
          </cell>
          <cell r="D8" t="str">
            <v>National Bank of Cambodia</v>
          </cell>
        </row>
        <row r="9">
          <cell r="A9">
            <v>46245</v>
          </cell>
          <cell r="B9" t="str">
            <v>USD/KHR</v>
          </cell>
          <cell r="C9" t="str">
            <v>4051</v>
          </cell>
          <cell r="D9" t="str">
            <v>National Bank of Cambodia</v>
          </cell>
        </row>
        <row r="10">
          <cell r="A10">
            <v>46246</v>
          </cell>
          <cell r="B10" t="str">
            <v>USD/KHR</v>
          </cell>
          <cell r="C10" t="str">
            <v>4048</v>
          </cell>
          <cell r="D10" t="str">
            <v>National Bank of Cambodia</v>
          </cell>
        </row>
        <row r="11">
          <cell r="A11">
            <v>46247</v>
          </cell>
          <cell r="B11" t="str">
            <v>USD/KHR</v>
          </cell>
          <cell r="C11" t="str">
            <v>4046</v>
          </cell>
          <cell r="D11" t="str">
            <v>National Bank of Cambodia</v>
          </cell>
        </row>
        <row r="12">
          <cell r="A12">
            <v>46248</v>
          </cell>
          <cell r="B12" t="str">
            <v>USD/KHR</v>
          </cell>
          <cell r="C12" t="str">
            <v>4044</v>
          </cell>
          <cell r="D12" t="str">
            <v>National Bank of Cambodia</v>
          </cell>
        </row>
        <row r="13">
          <cell r="A13">
            <v>46251</v>
          </cell>
          <cell r="B13" t="str">
            <v>USD/KHR</v>
          </cell>
          <cell r="C13" t="str">
            <v>4044</v>
          </cell>
          <cell r="D13" t="str">
            <v>National Bank of Cambodia</v>
          </cell>
        </row>
        <row r="14">
          <cell r="A14">
            <v>46252</v>
          </cell>
          <cell r="B14" t="str">
            <v>USD/KHR</v>
          </cell>
          <cell r="C14" t="str">
            <v>4043</v>
          </cell>
          <cell r="D14" t="str">
            <v>National Bank of Cambodia</v>
          </cell>
        </row>
        <row r="15">
          <cell r="A15">
            <v>46253</v>
          </cell>
          <cell r="B15" t="str">
            <v>USD/KHR</v>
          </cell>
          <cell r="C15" t="str">
            <v>4043</v>
          </cell>
          <cell r="D15" t="str">
            <v>National Bank of Cambodia</v>
          </cell>
        </row>
        <row r="16">
          <cell r="A16">
            <v>46254</v>
          </cell>
          <cell r="B16" t="str">
            <v>USD/KHR</v>
          </cell>
          <cell r="C16" t="str">
            <v>4044</v>
          </cell>
          <cell r="D16" t="str">
            <v>National Bank of Cambodia</v>
          </cell>
        </row>
        <row r="17">
          <cell r="A17">
            <v>46255</v>
          </cell>
          <cell r="B17" t="str">
            <v>USD/KHR</v>
          </cell>
          <cell r="C17" t="str">
            <v>4046</v>
          </cell>
          <cell r="D17" t="str">
            <v>National Bank of Cambodia</v>
          </cell>
        </row>
        <row r="18">
          <cell r="A18">
            <v>46258</v>
          </cell>
          <cell r="B18" t="str">
            <v>USD/KHR</v>
          </cell>
          <cell r="C18" t="str">
            <v>4047</v>
          </cell>
          <cell r="D18" t="str">
            <v>National Bank of Cambodia</v>
          </cell>
        </row>
        <row r="19">
          <cell r="A19">
            <v>46259</v>
          </cell>
          <cell r="B19" t="str">
            <v>USD/KHR</v>
          </cell>
          <cell r="C19" t="str">
            <v>4048</v>
          </cell>
          <cell r="D19" t="str">
            <v>National Bank of Cambodia</v>
          </cell>
        </row>
        <row r="20">
          <cell r="A20">
            <v>46260</v>
          </cell>
          <cell r="B20" t="str">
            <v>USD/KHR</v>
          </cell>
          <cell r="C20" t="str">
            <v>4047</v>
          </cell>
          <cell r="D20" t="str">
            <v>National Bank of Cambodia</v>
          </cell>
        </row>
        <row r="21">
          <cell r="A21">
            <v>46261</v>
          </cell>
          <cell r="B21" t="str">
            <v>USD/KHR</v>
          </cell>
          <cell r="C21" t="str">
            <v>4046</v>
          </cell>
          <cell r="D21" t="str">
            <v>National Bank of Cambodia</v>
          </cell>
        </row>
        <row r="22">
          <cell r="A22">
            <v>46262</v>
          </cell>
          <cell r="B22" t="str">
            <v>USD/KHR</v>
          </cell>
          <cell r="C22" t="str">
            <v>4046</v>
          </cell>
          <cell r="D22" t="str">
            <v>National Bank of Cambodia</v>
          </cell>
        </row>
        <row r="23">
          <cell r="A23">
            <v>46265</v>
          </cell>
          <cell r="B23" t="str">
            <v>USD/KHR</v>
          </cell>
          <cell r="C23" t="str">
            <v>4047</v>
          </cell>
          <cell r="D23" t="str">
            <v>National Bank of Cambodia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hange Rate"/>
    </sheetNames>
    <sheetDataSet>
      <sheetData sheetId="0">
        <row r="3">
          <cell r="A3">
            <v>46266</v>
          </cell>
          <cell r="B3" t="str">
            <v>USD/KHR</v>
          </cell>
          <cell r="C3" t="str">
            <v>4047</v>
          </cell>
          <cell r="D3" t="str">
            <v>National Bank of Cambodia</v>
          </cell>
        </row>
        <row r="4">
          <cell r="A4">
            <v>46267</v>
          </cell>
          <cell r="B4" t="str">
            <v>USD/KHR</v>
          </cell>
          <cell r="C4" t="str">
            <v>4047</v>
          </cell>
          <cell r="D4" t="str">
            <v>National Bank of Cambodia</v>
          </cell>
        </row>
        <row r="5">
          <cell r="A5">
            <v>46268</v>
          </cell>
          <cell r="B5" t="str">
            <v>USD/KHR</v>
          </cell>
          <cell r="C5" t="str">
            <v>4047</v>
          </cell>
          <cell r="D5" t="str">
            <v>National Bank of Cambodia</v>
          </cell>
        </row>
        <row r="6">
          <cell r="A6">
            <v>46269</v>
          </cell>
          <cell r="B6" t="str">
            <v>USD/KHR</v>
          </cell>
          <cell r="C6" t="str">
            <v>4048</v>
          </cell>
          <cell r="D6" t="str">
            <v>National Bank of Cambodia</v>
          </cell>
        </row>
        <row r="7">
          <cell r="A7">
            <v>46272</v>
          </cell>
          <cell r="B7" t="str">
            <v>USD/KHR</v>
          </cell>
          <cell r="C7" t="str">
            <v>4049</v>
          </cell>
          <cell r="D7" t="str">
            <v>National Bank of Cambodia</v>
          </cell>
        </row>
        <row r="8">
          <cell r="A8">
            <v>46273</v>
          </cell>
          <cell r="B8" t="str">
            <v>USD/KHR</v>
          </cell>
          <cell r="C8" t="str">
            <v>4050</v>
          </cell>
          <cell r="D8" t="str">
            <v>National Bank of Cambodia</v>
          </cell>
        </row>
        <row r="9">
          <cell r="A9">
            <v>46274</v>
          </cell>
          <cell r="B9" t="str">
            <v>USD/KHR</v>
          </cell>
          <cell r="C9" t="str">
            <v>4052</v>
          </cell>
          <cell r="D9" t="str">
            <v>National Bank of Cambodia</v>
          </cell>
        </row>
        <row r="10">
          <cell r="A10">
            <v>46275</v>
          </cell>
          <cell r="B10" t="str">
            <v>USD/KHR</v>
          </cell>
          <cell r="C10" t="str">
            <v>4052</v>
          </cell>
          <cell r="D10" t="str">
            <v>National Bank of Cambodia</v>
          </cell>
        </row>
        <row r="11">
          <cell r="A11">
            <v>46276</v>
          </cell>
          <cell r="B11" t="str">
            <v>USD/KHR</v>
          </cell>
          <cell r="C11" t="str">
            <v>4052</v>
          </cell>
          <cell r="D11" t="str">
            <v>National Bank of Cambodia</v>
          </cell>
        </row>
        <row r="12">
          <cell r="A12">
            <v>46279</v>
          </cell>
          <cell r="B12" t="str">
            <v>USD/KHR</v>
          </cell>
          <cell r="C12" t="str">
            <v>4052</v>
          </cell>
          <cell r="D12" t="str">
            <v>National Bank of Cambodia</v>
          </cell>
        </row>
        <row r="13">
          <cell r="A13">
            <v>46280</v>
          </cell>
          <cell r="B13" t="str">
            <v>USD/KHR</v>
          </cell>
          <cell r="C13" t="str">
            <v>4053</v>
          </cell>
          <cell r="D13" t="str">
            <v>National Bank of Cambodia</v>
          </cell>
        </row>
        <row r="14">
          <cell r="A14">
            <v>46281</v>
          </cell>
          <cell r="B14" t="str">
            <v>USD/KHR</v>
          </cell>
          <cell r="C14" t="str">
            <v>4053</v>
          </cell>
          <cell r="D14" t="str">
            <v>National Bank of Cambodia</v>
          </cell>
        </row>
        <row r="15">
          <cell r="A15">
            <v>46282</v>
          </cell>
          <cell r="B15" t="str">
            <v>USD/KHR</v>
          </cell>
          <cell r="C15" t="str">
            <v>4053</v>
          </cell>
          <cell r="D15" t="str">
            <v>National Bank of Cambodia</v>
          </cell>
        </row>
        <row r="16">
          <cell r="A16">
            <v>46283</v>
          </cell>
          <cell r="B16" t="str">
            <v>USD/KHR</v>
          </cell>
          <cell r="C16" t="str">
            <v>4053</v>
          </cell>
          <cell r="D16" t="str">
            <v>National Bank of Cambodia</v>
          </cell>
        </row>
        <row r="17">
          <cell r="A17">
            <v>46286</v>
          </cell>
          <cell r="B17" t="str">
            <v>USD/KHR</v>
          </cell>
          <cell r="C17" t="str">
            <v>4054</v>
          </cell>
          <cell r="D17" t="str">
            <v>National Bank of Cambodia</v>
          </cell>
        </row>
        <row r="18">
          <cell r="A18">
            <v>46287</v>
          </cell>
          <cell r="B18" t="str">
            <v>USD/KHR</v>
          </cell>
          <cell r="C18" t="str">
            <v>4055</v>
          </cell>
          <cell r="D18" t="str">
            <v>National Bank of Cambodia</v>
          </cell>
        </row>
        <row r="19">
          <cell r="A19">
            <v>46288</v>
          </cell>
          <cell r="B19" t="str">
            <v>USD/KHR</v>
          </cell>
          <cell r="C19" t="str">
            <v>4056</v>
          </cell>
          <cell r="D19" t="str">
            <v>National Bank of Cambodia</v>
          </cell>
        </row>
        <row r="20">
          <cell r="A20">
            <v>46290</v>
          </cell>
          <cell r="B20" t="str">
            <v>USD/KHR</v>
          </cell>
          <cell r="C20" t="str">
            <v>4057</v>
          </cell>
          <cell r="D20" t="str">
            <v>National Bank of Cambodia</v>
          </cell>
        </row>
        <row r="21">
          <cell r="A21">
            <v>46293</v>
          </cell>
          <cell r="B21" t="str">
            <v>USD/KHR</v>
          </cell>
          <cell r="C21" t="str">
            <v>4057</v>
          </cell>
          <cell r="D21" t="str">
            <v>National Bank of Cambodia</v>
          </cell>
        </row>
        <row r="22">
          <cell r="A22">
            <v>46294</v>
          </cell>
          <cell r="B22" t="str">
            <v>USD/KHR</v>
          </cell>
          <cell r="C22" t="str">
            <v>4056</v>
          </cell>
          <cell r="D22" t="str">
            <v>National Bank of Cambodia</v>
          </cell>
        </row>
        <row r="23">
          <cell r="A23">
            <v>46295</v>
          </cell>
          <cell r="B23" t="str">
            <v>USD/KHR</v>
          </cell>
          <cell r="C23" t="str">
            <v>4055</v>
          </cell>
          <cell r="D23" t="str">
            <v>National Bank of Cambodia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60"/>
  <sheetViews>
    <sheetView view="pageBreakPreview" zoomScale="71" zoomScaleNormal="70" zoomScaleSheetLayoutView="71"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N41" sqref="N41"/>
    </sheetView>
  </sheetViews>
  <sheetFormatPr defaultColWidth="14" defaultRowHeight="15" customHeight="1"/>
  <cols>
    <col min="1" max="10" width="14" style="9"/>
    <col min="11" max="11" width="14" style="120"/>
    <col min="12" max="12" width="14" style="8"/>
    <col min="13" max="20" width="14" style="9"/>
    <col min="21" max="21" width="15.42578125" style="9" customWidth="1"/>
    <col min="22" max="16384" width="14" style="9"/>
  </cols>
  <sheetData>
    <row r="1" spans="1:22">
      <c r="A1" s="8" t="s">
        <v>207</v>
      </c>
      <c r="C1" s="10"/>
      <c r="D1" s="10"/>
      <c r="E1" s="5" t="s">
        <v>0</v>
      </c>
      <c r="F1" s="5"/>
      <c r="G1" s="6" t="s">
        <v>7</v>
      </c>
      <c r="H1" s="11"/>
      <c r="I1" s="12"/>
      <c r="J1" s="13"/>
      <c r="K1" s="13"/>
      <c r="L1" s="11"/>
      <c r="M1" s="11" t="s">
        <v>193</v>
      </c>
      <c r="U1" s="8"/>
    </row>
    <row r="2" spans="1:22" ht="47.25">
      <c r="A2" s="121" t="s">
        <v>209</v>
      </c>
      <c r="B2" s="121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21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2" ht="18" customHeight="1">
      <c r="A3" s="14" t="s">
        <v>207</v>
      </c>
      <c r="B3" s="15">
        <v>11</v>
      </c>
      <c r="C3" s="16" t="str">
        <f>INDEX(PORT!$B$2:$B$20,MATCH('01'!B3,PORT!$A$2:$A$20))</f>
        <v>SHV11</v>
      </c>
      <c r="D3" s="10" t="str">
        <f>INDEX(PORT!$C$2:$C$20,MATCH('01'!B3,PORT!$A$2:$A$20))</f>
        <v>SHV PORT</v>
      </c>
      <c r="E3" s="17" t="s">
        <v>38</v>
      </c>
      <c r="F3" s="18">
        <v>46032</v>
      </c>
      <c r="G3" s="19" t="s">
        <v>41</v>
      </c>
      <c r="H3" s="345" t="s">
        <v>40</v>
      </c>
      <c r="I3" s="347" t="s">
        <v>43</v>
      </c>
      <c r="J3" s="349" t="s">
        <v>48</v>
      </c>
      <c r="K3" s="20">
        <v>46034</v>
      </c>
      <c r="L3" s="21" t="s">
        <v>195</v>
      </c>
      <c r="M3" s="20" t="str">
        <f>TEXT(K3,"dddd")</f>
        <v>Monday</v>
      </c>
      <c r="N3" s="347">
        <v>620.20000000000005</v>
      </c>
      <c r="O3" s="22">
        <v>683</v>
      </c>
      <c r="P3" s="22">
        <v>5</v>
      </c>
      <c r="Q3" s="23">
        <v>180</v>
      </c>
      <c r="R3" s="23">
        <v>778.2</v>
      </c>
      <c r="S3" s="23">
        <f>ROUND(Q3*10%,2)</f>
        <v>18</v>
      </c>
      <c r="T3" s="23">
        <v>620</v>
      </c>
      <c r="U3" s="24">
        <f>(Q3+R3+T3)-(N3+O3+P3)</f>
        <v>270</v>
      </c>
      <c r="V3" s="17"/>
    </row>
    <row r="4" spans="1:22" ht="18" customHeight="1">
      <c r="A4" s="14" t="s">
        <v>207</v>
      </c>
      <c r="B4" s="15">
        <v>11</v>
      </c>
      <c r="C4" s="16" t="str">
        <f>INDEX(PORT!$B$2:$B$20,MATCH('01'!B4,PORT!$A$2:$A$20))</f>
        <v>SHV11</v>
      </c>
      <c r="D4" s="10" t="str">
        <f>INDEX(PORT!$C$2:$C$20,MATCH('01'!B4,PORT!$A$2:$A$20))</f>
        <v>SHV PORT</v>
      </c>
      <c r="E4" s="17" t="s">
        <v>39</v>
      </c>
      <c r="F4" s="18">
        <v>46032</v>
      </c>
      <c r="G4" s="19" t="s">
        <v>41</v>
      </c>
      <c r="H4" s="346"/>
      <c r="I4" s="348"/>
      <c r="J4" s="350"/>
      <c r="K4" s="20">
        <v>46034</v>
      </c>
      <c r="L4" s="21" t="s">
        <v>195</v>
      </c>
      <c r="M4" s="20" t="str">
        <f>TEXT(K4,"dddd")</f>
        <v>Monday</v>
      </c>
      <c r="N4" s="348"/>
      <c r="O4" s="22"/>
      <c r="P4" s="22"/>
      <c r="Q4" s="23"/>
      <c r="R4" s="23"/>
      <c r="S4" s="23">
        <f t="shared" ref="S4:S41" si="0">ROUND(Q4*10%,2)</f>
        <v>0</v>
      </c>
      <c r="T4" s="23"/>
      <c r="U4" s="24">
        <f t="shared" ref="U4:U41" si="1">(Q4+R4+T4)-(N4+O4+P4)</f>
        <v>0</v>
      </c>
      <c r="V4" s="17"/>
    </row>
    <row r="5" spans="1:22" ht="18" customHeight="1">
      <c r="A5" s="14" t="s">
        <v>207</v>
      </c>
      <c r="B5" s="15">
        <v>11</v>
      </c>
      <c r="C5" s="16" t="str">
        <f>INDEX(PORT!$B$2:$B$20,MATCH('01'!B5,PORT!$A$2:$A$20))</f>
        <v>SHV11</v>
      </c>
      <c r="D5" s="10" t="str">
        <f>INDEX(PORT!$C$2:$C$20,MATCH('01'!B5,PORT!$A$2:$A$20))</f>
        <v>SHV PORT</v>
      </c>
      <c r="E5" s="17" t="s">
        <v>36</v>
      </c>
      <c r="F5" s="18">
        <v>46050</v>
      </c>
      <c r="G5" s="19" t="s">
        <v>41</v>
      </c>
      <c r="H5" s="21" t="s">
        <v>46</v>
      </c>
      <c r="I5" s="17" t="s">
        <v>44</v>
      </c>
      <c r="J5" s="25" t="s">
        <v>49</v>
      </c>
      <c r="K5" s="20">
        <v>46051</v>
      </c>
      <c r="L5" s="21" t="s">
        <v>196</v>
      </c>
      <c r="M5" s="20" t="str">
        <f t="shared" ref="M5:M41" si="2">TEXT(K5,"dddd")</f>
        <v>Thursday</v>
      </c>
      <c r="N5" s="22">
        <v>569.45000000000005</v>
      </c>
      <c r="O5" s="22">
        <v>691.5</v>
      </c>
      <c r="P5" s="22">
        <v>5</v>
      </c>
      <c r="Q5" s="23">
        <v>200</v>
      </c>
      <c r="R5" s="23">
        <v>805.95</v>
      </c>
      <c r="S5" s="23">
        <f t="shared" si="0"/>
        <v>20</v>
      </c>
      <c r="T5" s="23">
        <v>560</v>
      </c>
      <c r="U5" s="24">
        <f>(Q5+R5+T5)-(N5+O5+P5)</f>
        <v>300</v>
      </c>
      <c r="V5" s="17"/>
    </row>
    <row r="6" spans="1:22" ht="18" customHeight="1">
      <c r="A6" s="14" t="s">
        <v>207</v>
      </c>
      <c r="B6" s="15">
        <v>11</v>
      </c>
      <c r="C6" s="16" t="str">
        <f>INDEX(PORT!$B$2:$B$20,MATCH('01'!B6,PORT!$A$2:$A$20))</f>
        <v>SHV11</v>
      </c>
      <c r="D6" s="10" t="str">
        <f>INDEX(PORT!$C$2:$C$20,MATCH('01'!B6,PORT!$A$2:$A$20))</f>
        <v>SHV PORT</v>
      </c>
      <c r="E6" s="19" t="s">
        <v>37</v>
      </c>
      <c r="F6" s="18">
        <v>46052</v>
      </c>
      <c r="G6" s="19" t="s">
        <v>41</v>
      </c>
      <c r="H6" s="21" t="s">
        <v>47</v>
      </c>
      <c r="I6" s="17" t="s">
        <v>45</v>
      </c>
      <c r="J6" s="25" t="s">
        <v>50</v>
      </c>
      <c r="K6" s="20">
        <v>46052</v>
      </c>
      <c r="L6" s="21">
        <v>4026</v>
      </c>
      <c r="M6" s="20" t="str">
        <f t="shared" si="2"/>
        <v>Friday</v>
      </c>
      <c r="N6" s="26">
        <v>446.45</v>
      </c>
      <c r="O6" s="22">
        <v>476.5</v>
      </c>
      <c r="P6" s="22">
        <v>5</v>
      </c>
      <c r="Q6" s="27">
        <v>180</v>
      </c>
      <c r="R6" s="27">
        <v>557.95000000000005</v>
      </c>
      <c r="S6" s="23">
        <f t="shared" si="0"/>
        <v>18</v>
      </c>
      <c r="T6" s="27">
        <v>460</v>
      </c>
      <c r="U6" s="24">
        <f t="shared" si="1"/>
        <v>270</v>
      </c>
      <c r="V6" s="19"/>
    </row>
    <row r="7" spans="1:22" s="37" customFormat="1" ht="18" customHeight="1">
      <c r="A7" s="14" t="s">
        <v>207</v>
      </c>
      <c r="B7" s="28">
        <v>1</v>
      </c>
      <c r="C7" s="16" t="str">
        <f>INDEX(PORT!$B$2:$B$20,MATCH('01'!B7,PORT!$A$2:$A$20))</f>
        <v>PNH01</v>
      </c>
      <c r="D7" s="10" t="str">
        <f>INDEX(PORT!$C$2:$C$20,MATCH('01'!B7,PORT!$A$2:$A$20))</f>
        <v>KTI AIR PORT</v>
      </c>
      <c r="E7" s="29" t="s">
        <v>52</v>
      </c>
      <c r="F7" s="30">
        <v>46025</v>
      </c>
      <c r="G7" s="31" t="s">
        <v>64</v>
      </c>
      <c r="H7" s="32" t="s">
        <v>65</v>
      </c>
      <c r="I7" s="29" t="s">
        <v>66</v>
      </c>
      <c r="J7" s="33" t="s">
        <v>67</v>
      </c>
      <c r="K7" s="34">
        <v>46027</v>
      </c>
      <c r="L7" s="32" t="s">
        <v>197</v>
      </c>
      <c r="M7" s="34" t="str">
        <f t="shared" si="2"/>
        <v>Monday</v>
      </c>
      <c r="N7" s="35">
        <v>191.48</v>
      </c>
      <c r="O7" s="35"/>
      <c r="P7" s="35">
        <v>50</v>
      </c>
      <c r="Q7" s="36">
        <v>175</v>
      </c>
      <c r="R7" s="36">
        <v>71.47999999999999</v>
      </c>
      <c r="S7" s="36">
        <f t="shared" si="0"/>
        <v>17.5</v>
      </c>
      <c r="T7" s="36">
        <v>180</v>
      </c>
      <c r="U7" s="24">
        <f>(Q7+R7+T7)-(N7+O7+P7)</f>
        <v>185.00000000000003</v>
      </c>
      <c r="V7" s="29"/>
    </row>
    <row r="8" spans="1:22" s="37" customFormat="1" ht="18" customHeight="1">
      <c r="A8" s="14" t="s">
        <v>207</v>
      </c>
      <c r="B8" s="28">
        <v>4</v>
      </c>
      <c r="C8" s="16" t="str">
        <f>INDEX(PORT!$B$2:$B$20,MATCH('01'!B8,PORT!$A$2:$A$20))</f>
        <v>PNH04</v>
      </c>
      <c r="D8" s="10" t="str">
        <f>INDEX(PORT!$C$2:$C$20,MATCH('01'!B8,PORT!$A$2:$A$20))</f>
        <v>PNH PORT</v>
      </c>
      <c r="E8" s="38" t="s">
        <v>53</v>
      </c>
      <c r="F8" s="30">
        <v>46025</v>
      </c>
      <c r="G8" s="31" t="s">
        <v>64</v>
      </c>
      <c r="H8" s="32" t="s">
        <v>68</v>
      </c>
      <c r="I8" s="29" t="s">
        <v>69</v>
      </c>
      <c r="J8" s="33" t="s">
        <v>70</v>
      </c>
      <c r="K8" s="34">
        <v>46027</v>
      </c>
      <c r="L8" s="32" t="s">
        <v>197</v>
      </c>
      <c r="M8" s="34" t="str">
        <f t="shared" si="2"/>
        <v>Monday</v>
      </c>
      <c r="N8" s="35">
        <v>538.85</v>
      </c>
      <c r="O8" s="35"/>
      <c r="P8" s="35">
        <v>50</v>
      </c>
      <c r="Q8" s="36">
        <v>215</v>
      </c>
      <c r="R8" s="36">
        <v>93.85</v>
      </c>
      <c r="S8" s="36">
        <f t="shared" si="0"/>
        <v>21.5</v>
      </c>
      <c r="T8" s="39">
        <v>724</v>
      </c>
      <c r="U8" s="24">
        <f t="shared" si="1"/>
        <v>443.99999999999989</v>
      </c>
      <c r="V8" s="29"/>
    </row>
    <row r="9" spans="1:22" s="37" customFormat="1" ht="18" customHeight="1">
      <c r="A9" s="14" t="s">
        <v>207</v>
      </c>
      <c r="B9" s="28">
        <v>1</v>
      </c>
      <c r="C9" s="16" t="str">
        <f>INDEX(PORT!$B$2:$B$20,MATCH('01'!B9,PORT!$A$2:$A$20))</f>
        <v>PNH01</v>
      </c>
      <c r="D9" s="10" t="str">
        <f>INDEX(PORT!$C$2:$C$20,MATCH('01'!B9,PORT!$A$2:$A$20))</f>
        <v>KTI AIR PORT</v>
      </c>
      <c r="E9" s="29" t="s">
        <v>54</v>
      </c>
      <c r="F9" s="30">
        <v>46030</v>
      </c>
      <c r="G9" s="31" t="s">
        <v>64</v>
      </c>
      <c r="H9" s="32" t="s">
        <v>71</v>
      </c>
      <c r="I9" s="29" t="s">
        <v>72</v>
      </c>
      <c r="J9" s="33" t="s">
        <v>73</v>
      </c>
      <c r="K9" s="34">
        <v>46031</v>
      </c>
      <c r="L9" s="32" t="s">
        <v>198</v>
      </c>
      <c r="M9" s="34" t="str">
        <f t="shared" si="2"/>
        <v>Friday</v>
      </c>
      <c r="N9" s="40">
        <v>222.38</v>
      </c>
      <c r="O9" s="35"/>
      <c r="P9" s="35">
        <v>50</v>
      </c>
      <c r="Q9" s="36">
        <v>150</v>
      </c>
      <c r="R9" s="36">
        <v>27.380000000000003</v>
      </c>
      <c r="S9" s="36">
        <f t="shared" si="0"/>
        <v>15</v>
      </c>
      <c r="T9" s="36">
        <v>195</v>
      </c>
      <c r="U9" s="24">
        <f t="shared" si="1"/>
        <v>100</v>
      </c>
      <c r="V9" s="29"/>
    </row>
    <row r="10" spans="1:22" s="37" customFormat="1" ht="18" customHeight="1">
      <c r="A10" s="14" t="s">
        <v>207</v>
      </c>
      <c r="B10" s="28">
        <v>11</v>
      </c>
      <c r="C10" s="16" t="str">
        <f>INDEX(PORT!$B$2:$B$20,MATCH('01'!B10,PORT!$A$2:$A$20))</f>
        <v>SHV11</v>
      </c>
      <c r="D10" s="10" t="str">
        <f>INDEX(PORT!$C$2:$C$20,MATCH('01'!B10,PORT!$A$2:$A$20))</f>
        <v>SHV PORT</v>
      </c>
      <c r="E10" s="29" t="s">
        <v>55</v>
      </c>
      <c r="F10" s="30">
        <v>46031</v>
      </c>
      <c r="G10" s="31" t="s">
        <v>64</v>
      </c>
      <c r="H10" s="32" t="s">
        <v>74</v>
      </c>
      <c r="I10" s="29" t="s">
        <v>75</v>
      </c>
      <c r="J10" s="33" t="s">
        <v>76</v>
      </c>
      <c r="K10" s="34">
        <v>46034</v>
      </c>
      <c r="L10" s="32" t="s">
        <v>195</v>
      </c>
      <c r="M10" s="34" t="str">
        <f t="shared" si="2"/>
        <v>Monday</v>
      </c>
      <c r="N10" s="41">
        <v>373.95</v>
      </c>
      <c r="O10" s="35"/>
      <c r="P10" s="35">
        <v>50</v>
      </c>
      <c r="Q10" s="36">
        <v>245</v>
      </c>
      <c r="R10" s="36">
        <v>73.95</v>
      </c>
      <c r="S10" s="36">
        <f t="shared" si="0"/>
        <v>24.5</v>
      </c>
      <c r="T10" s="36">
        <v>305</v>
      </c>
      <c r="U10" s="24">
        <f t="shared" si="1"/>
        <v>200.00000000000006</v>
      </c>
      <c r="V10" s="29"/>
    </row>
    <row r="11" spans="1:22" ht="18" customHeight="1">
      <c r="A11" s="14" t="s">
        <v>207</v>
      </c>
      <c r="B11" s="15">
        <v>1</v>
      </c>
      <c r="C11" s="16" t="str">
        <f>INDEX(PORT!$B$2:$B$20,MATCH('01'!B11,PORT!$A$2:$A$20))</f>
        <v>PNH01</v>
      </c>
      <c r="D11" s="10" t="str">
        <f>INDEX(PORT!$C$2:$C$20,MATCH('01'!B11,PORT!$A$2:$A$20))</f>
        <v>KTI AIR PORT</v>
      </c>
      <c r="E11" s="18" t="s">
        <v>56</v>
      </c>
      <c r="F11" s="18">
        <v>46032</v>
      </c>
      <c r="G11" s="19" t="s">
        <v>64</v>
      </c>
      <c r="H11" s="21" t="s">
        <v>77</v>
      </c>
      <c r="I11" s="17" t="s">
        <v>78</v>
      </c>
      <c r="J11" s="25" t="s">
        <v>79</v>
      </c>
      <c r="K11" s="20">
        <v>46034</v>
      </c>
      <c r="L11" s="21" t="s">
        <v>195</v>
      </c>
      <c r="M11" s="20" t="str">
        <f t="shared" si="2"/>
        <v>Monday</v>
      </c>
      <c r="N11" s="26">
        <v>308.34000000000003</v>
      </c>
      <c r="O11" s="22"/>
      <c r="P11" s="22">
        <v>50</v>
      </c>
      <c r="Q11" s="42">
        <v>220</v>
      </c>
      <c r="R11" s="42">
        <v>188.34</v>
      </c>
      <c r="S11" s="23">
        <f t="shared" si="0"/>
        <v>22</v>
      </c>
      <c r="T11" s="42">
        <v>180</v>
      </c>
      <c r="U11" s="24">
        <f t="shared" si="1"/>
        <v>230</v>
      </c>
      <c r="V11" s="19"/>
    </row>
    <row r="12" spans="1:22" s="37" customFormat="1" ht="18" customHeight="1">
      <c r="A12" s="14" t="s">
        <v>207</v>
      </c>
      <c r="B12" s="28">
        <v>1</v>
      </c>
      <c r="C12" s="16" t="str">
        <f>INDEX(PORT!$B$2:$B$20,MATCH('01'!B12,PORT!$A$2:$A$20))</f>
        <v>PNH01</v>
      </c>
      <c r="D12" s="10" t="str">
        <f>INDEX(PORT!$C$2:$C$20,MATCH('01'!B12,PORT!$A$2:$A$20))</f>
        <v>KTI AIR PORT</v>
      </c>
      <c r="E12" s="30" t="s">
        <v>57</v>
      </c>
      <c r="F12" s="30">
        <v>46037</v>
      </c>
      <c r="G12" s="31" t="s">
        <v>64</v>
      </c>
      <c r="H12" s="32" t="s">
        <v>80</v>
      </c>
      <c r="I12" s="29" t="s">
        <v>81</v>
      </c>
      <c r="J12" s="33" t="s">
        <v>82</v>
      </c>
      <c r="K12" s="34">
        <v>46038</v>
      </c>
      <c r="L12" s="32" t="s">
        <v>51</v>
      </c>
      <c r="M12" s="34" t="str">
        <f t="shared" si="2"/>
        <v>Friday</v>
      </c>
      <c r="N12" s="43">
        <v>242.62</v>
      </c>
      <c r="O12" s="35"/>
      <c r="P12" s="35">
        <v>50</v>
      </c>
      <c r="Q12" s="39">
        <v>150</v>
      </c>
      <c r="R12" s="39">
        <v>47.62</v>
      </c>
      <c r="S12" s="36">
        <f t="shared" si="0"/>
        <v>15</v>
      </c>
      <c r="T12" s="39">
        <v>195</v>
      </c>
      <c r="U12" s="24">
        <f t="shared" si="1"/>
        <v>100</v>
      </c>
      <c r="V12" s="31"/>
    </row>
    <row r="13" spans="1:22" s="37" customFormat="1" ht="18" customHeight="1">
      <c r="A13" s="14" t="s">
        <v>207</v>
      </c>
      <c r="B13" s="28">
        <v>11</v>
      </c>
      <c r="C13" s="16" t="str">
        <f>INDEX(PORT!$B$2:$B$20,MATCH('01'!B13,PORT!$A$2:$A$20))</f>
        <v>SHV11</v>
      </c>
      <c r="D13" s="10" t="str">
        <f>INDEX(PORT!$C$2:$C$20,MATCH('01'!B13,PORT!$A$2:$A$20))</f>
        <v>SHV PORT</v>
      </c>
      <c r="E13" s="29" t="s">
        <v>58</v>
      </c>
      <c r="F13" s="30">
        <v>46038</v>
      </c>
      <c r="G13" s="31" t="s">
        <v>64</v>
      </c>
      <c r="H13" s="32" t="s">
        <v>83</v>
      </c>
      <c r="I13" s="29" t="s">
        <v>84</v>
      </c>
      <c r="J13" s="33" t="s">
        <v>85</v>
      </c>
      <c r="K13" s="34">
        <v>46041</v>
      </c>
      <c r="L13" s="32" t="s">
        <v>196</v>
      </c>
      <c r="M13" s="34" t="str">
        <f t="shared" si="2"/>
        <v>Monday</v>
      </c>
      <c r="N13" s="35">
        <v>958.54</v>
      </c>
      <c r="O13" s="35"/>
      <c r="P13" s="35">
        <v>50</v>
      </c>
      <c r="Q13" s="36">
        <v>490</v>
      </c>
      <c r="R13" s="36">
        <v>198.55</v>
      </c>
      <c r="S13" s="36">
        <f t="shared" si="0"/>
        <v>49</v>
      </c>
      <c r="T13" s="44">
        <v>955</v>
      </c>
      <c r="U13" s="24">
        <f t="shared" si="1"/>
        <v>635.01</v>
      </c>
      <c r="V13" s="29"/>
    </row>
    <row r="14" spans="1:22" s="50" customFormat="1" ht="18" customHeight="1">
      <c r="A14" s="14" t="s">
        <v>207</v>
      </c>
      <c r="B14" s="45">
        <v>11</v>
      </c>
      <c r="C14" s="16" t="str">
        <f>INDEX(PORT!$B$2:$B$20,MATCH('01'!B14,PORT!$A$2:$A$20))</f>
        <v>SHV11</v>
      </c>
      <c r="D14" s="10" t="str">
        <f>INDEX(PORT!$C$2:$C$20,MATCH('01'!B14,PORT!$A$2:$A$20))</f>
        <v>SHV PORT</v>
      </c>
      <c r="E14" s="46" t="s">
        <v>59</v>
      </c>
      <c r="F14" s="46">
        <v>46039</v>
      </c>
      <c r="G14" s="31" t="s">
        <v>64</v>
      </c>
      <c r="H14" s="32" t="s">
        <v>86</v>
      </c>
      <c r="I14" s="29" t="s">
        <v>87</v>
      </c>
      <c r="J14" s="33" t="s">
        <v>88</v>
      </c>
      <c r="K14" s="34">
        <v>46041</v>
      </c>
      <c r="L14" s="32" t="s">
        <v>196</v>
      </c>
      <c r="M14" s="34" t="str">
        <f t="shared" si="2"/>
        <v>Monday</v>
      </c>
      <c r="N14" s="47">
        <v>678.83999999999992</v>
      </c>
      <c r="O14" s="35"/>
      <c r="P14" s="35">
        <v>50</v>
      </c>
      <c r="Q14" s="48">
        <v>245</v>
      </c>
      <c r="R14" s="48">
        <v>118.84</v>
      </c>
      <c r="S14" s="36">
        <f t="shared" si="0"/>
        <v>24.5</v>
      </c>
      <c r="T14" s="48">
        <v>879</v>
      </c>
      <c r="U14" s="24">
        <f t="shared" si="1"/>
        <v>514.00000000000023</v>
      </c>
      <c r="V14" s="49"/>
    </row>
    <row r="15" spans="1:22" s="37" customFormat="1" ht="18" customHeight="1">
      <c r="A15" s="14" t="s">
        <v>207</v>
      </c>
      <c r="B15" s="28">
        <v>1</v>
      </c>
      <c r="C15" s="16" t="str">
        <f>INDEX(PORT!$B$2:$B$20,MATCH('01'!B15,PORT!$A$2:$A$20))</f>
        <v>PNH01</v>
      </c>
      <c r="D15" s="10" t="str">
        <f>INDEX(PORT!$C$2:$C$20,MATCH('01'!B15,PORT!$A$2:$A$20))</f>
        <v>KTI AIR PORT</v>
      </c>
      <c r="E15" s="29" t="s">
        <v>60</v>
      </c>
      <c r="F15" s="30">
        <v>46046</v>
      </c>
      <c r="G15" s="31" t="s">
        <v>64</v>
      </c>
      <c r="H15" s="32" t="s">
        <v>89</v>
      </c>
      <c r="I15" s="29" t="s">
        <v>90</v>
      </c>
      <c r="J15" s="33" t="s">
        <v>91</v>
      </c>
      <c r="K15" s="34">
        <v>46048</v>
      </c>
      <c r="L15" s="32" t="s">
        <v>199</v>
      </c>
      <c r="M15" s="34" t="str">
        <f t="shared" si="2"/>
        <v>Monday</v>
      </c>
      <c r="N15" s="35">
        <v>344.77</v>
      </c>
      <c r="O15" s="35"/>
      <c r="P15" s="35">
        <v>50</v>
      </c>
      <c r="Q15" s="36">
        <v>220</v>
      </c>
      <c r="R15" s="36">
        <v>224.77</v>
      </c>
      <c r="S15" s="36">
        <f t="shared" si="0"/>
        <v>22</v>
      </c>
      <c r="T15" s="44">
        <v>180</v>
      </c>
      <c r="U15" s="24">
        <f t="shared" si="1"/>
        <v>230</v>
      </c>
      <c r="V15" s="29"/>
    </row>
    <row r="16" spans="1:22" s="37" customFormat="1" ht="18" customHeight="1">
      <c r="A16" s="14" t="s">
        <v>207</v>
      </c>
      <c r="B16" s="28">
        <v>1</v>
      </c>
      <c r="C16" s="16" t="str">
        <f>INDEX(PORT!$B$2:$B$20,MATCH('01'!B16,PORT!$A$2:$A$20))</f>
        <v>PNH01</v>
      </c>
      <c r="D16" s="10" t="str">
        <f>INDEX(PORT!$C$2:$C$20,MATCH('01'!B16,PORT!$A$2:$A$20))</f>
        <v>KTI AIR PORT</v>
      </c>
      <c r="E16" s="30" t="s">
        <v>61</v>
      </c>
      <c r="F16" s="30">
        <v>46046</v>
      </c>
      <c r="G16" s="31" t="s">
        <v>64</v>
      </c>
      <c r="H16" s="32" t="s">
        <v>92</v>
      </c>
      <c r="I16" s="29" t="s">
        <v>93</v>
      </c>
      <c r="J16" s="33" t="s">
        <v>94</v>
      </c>
      <c r="K16" s="34">
        <v>46048</v>
      </c>
      <c r="L16" s="32" t="s">
        <v>199</v>
      </c>
      <c r="M16" s="34" t="str">
        <f t="shared" si="2"/>
        <v>Monday</v>
      </c>
      <c r="N16" s="43">
        <v>152.93</v>
      </c>
      <c r="O16" s="35"/>
      <c r="P16" s="35">
        <v>50</v>
      </c>
      <c r="Q16" s="39">
        <v>140</v>
      </c>
      <c r="R16" s="39">
        <v>32.93</v>
      </c>
      <c r="S16" s="36">
        <f t="shared" si="0"/>
        <v>14</v>
      </c>
      <c r="T16" s="39">
        <v>180</v>
      </c>
      <c r="U16" s="24">
        <f t="shared" si="1"/>
        <v>150</v>
      </c>
      <c r="V16" s="31"/>
    </row>
    <row r="17" spans="1:22" s="37" customFormat="1" ht="18" customHeight="1">
      <c r="A17" s="14" t="s">
        <v>207</v>
      </c>
      <c r="B17" s="28">
        <v>23</v>
      </c>
      <c r="C17" s="16" t="str">
        <f>INDEX(PORT!$B$2:$B$20,MATCH('01'!B17,PORT!$A$2:$A$20))</f>
        <v>PNH23</v>
      </c>
      <c r="D17" s="10" t="str">
        <f>INDEX(PORT!$C$2:$C$20,MATCH('01'!B17,PORT!$A$2:$A$20))</f>
        <v>UNION DRY PORT</v>
      </c>
      <c r="E17" s="30" t="s">
        <v>62</v>
      </c>
      <c r="F17" s="30">
        <v>46049</v>
      </c>
      <c r="G17" s="31" t="s">
        <v>64</v>
      </c>
      <c r="H17" s="32" t="s">
        <v>95</v>
      </c>
      <c r="I17" s="29" t="s">
        <v>96</v>
      </c>
      <c r="J17" s="33" t="s">
        <v>97</v>
      </c>
      <c r="K17" s="34">
        <v>46050</v>
      </c>
      <c r="L17" s="32" t="s">
        <v>195</v>
      </c>
      <c r="M17" s="34" t="str">
        <f t="shared" si="2"/>
        <v>Wednesday</v>
      </c>
      <c r="N17" s="43">
        <v>343.21</v>
      </c>
      <c r="O17" s="35">
        <v>456.89</v>
      </c>
      <c r="P17" s="35">
        <v>50</v>
      </c>
      <c r="Q17" s="39">
        <v>150</v>
      </c>
      <c r="R17" s="39">
        <v>560.1</v>
      </c>
      <c r="S17" s="36">
        <f t="shared" si="0"/>
        <v>15</v>
      </c>
      <c r="T17" s="39">
        <v>350</v>
      </c>
      <c r="U17" s="24">
        <f t="shared" si="1"/>
        <v>210</v>
      </c>
      <c r="V17" s="31"/>
    </row>
    <row r="18" spans="1:22" ht="18" customHeight="1">
      <c r="A18" s="14" t="s">
        <v>207</v>
      </c>
      <c r="B18" s="15">
        <v>1</v>
      </c>
      <c r="C18" s="16" t="str">
        <f>INDEX(PORT!$B$2:$B$20,MATCH('01'!B18,PORT!$A$2:$A$20))</f>
        <v>PNH01</v>
      </c>
      <c r="D18" s="10" t="str">
        <f>INDEX(PORT!$C$2:$C$20,MATCH('01'!B18,PORT!$A$2:$A$20))</f>
        <v>KTI AIR PORT</v>
      </c>
      <c r="E18" s="19" t="s">
        <v>63</v>
      </c>
      <c r="F18" s="18">
        <v>46052</v>
      </c>
      <c r="G18" s="19" t="s">
        <v>64</v>
      </c>
      <c r="H18" s="21" t="s">
        <v>98</v>
      </c>
      <c r="I18" s="17" t="s">
        <v>99</v>
      </c>
      <c r="J18" s="25" t="s">
        <v>100</v>
      </c>
      <c r="K18" s="20">
        <v>46052</v>
      </c>
      <c r="L18" s="21" t="s">
        <v>51</v>
      </c>
      <c r="M18" s="20" t="str">
        <f t="shared" si="2"/>
        <v>Friday</v>
      </c>
      <c r="N18" s="26">
        <v>310.38</v>
      </c>
      <c r="O18" s="22"/>
      <c r="P18" s="22">
        <v>50</v>
      </c>
      <c r="Q18" s="27">
        <v>185</v>
      </c>
      <c r="R18" s="27">
        <v>115.38</v>
      </c>
      <c r="S18" s="23">
        <f t="shared" si="0"/>
        <v>18.5</v>
      </c>
      <c r="T18" s="42">
        <v>195</v>
      </c>
      <c r="U18" s="24">
        <f t="shared" si="1"/>
        <v>135</v>
      </c>
      <c r="V18" s="19"/>
    </row>
    <row r="19" spans="1:22" ht="18" customHeight="1">
      <c r="A19" s="14" t="s">
        <v>207</v>
      </c>
      <c r="B19" s="15">
        <v>21</v>
      </c>
      <c r="C19" s="16" t="str">
        <f>INDEX(PORT!$B$2:$B$20,MATCH('01'!B19,PORT!$A$2:$A$20))</f>
        <v>PNH21</v>
      </c>
      <c r="D19" s="10" t="str">
        <f>INDEX(PORT!$C$2:$C$20,MATCH('01'!B19,PORT!$A$2:$A$20))</f>
        <v>OLAIR DRY PORT</v>
      </c>
      <c r="E19" s="18" t="s">
        <v>101</v>
      </c>
      <c r="F19" s="18">
        <v>46024</v>
      </c>
      <c r="G19" s="19" t="s">
        <v>4</v>
      </c>
      <c r="H19" s="21" t="s">
        <v>104</v>
      </c>
      <c r="I19" s="17" t="s">
        <v>105</v>
      </c>
      <c r="J19" s="25" t="s">
        <v>106</v>
      </c>
      <c r="K19" s="20">
        <v>46027</v>
      </c>
      <c r="L19" s="21" t="s">
        <v>197</v>
      </c>
      <c r="M19" s="20" t="str">
        <f t="shared" si="2"/>
        <v>Monday</v>
      </c>
      <c r="N19" s="26">
        <v>132.57999999999998</v>
      </c>
      <c r="O19" s="22"/>
      <c r="P19" s="22">
        <v>50</v>
      </c>
      <c r="Q19" s="42">
        <v>150</v>
      </c>
      <c r="R19" s="42">
        <v>27.580000000000002</v>
      </c>
      <c r="S19" s="23">
        <f t="shared" si="0"/>
        <v>15</v>
      </c>
      <c r="T19" s="42">
        <v>120</v>
      </c>
      <c r="U19" s="24">
        <f>(Q19+R19+T19)-(N19+O19+P19)</f>
        <v>115.00000000000006</v>
      </c>
      <c r="V19" s="19"/>
    </row>
    <row r="20" spans="1:22" ht="18" customHeight="1">
      <c r="A20" s="14" t="s">
        <v>207</v>
      </c>
      <c r="B20" s="15">
        <v>4</v>
      </c>
      <c r="C20" s="16" t="str">
        <f>INDEX(PORT!$B$2:$B$20,MATCH('01'!B20,PORT!$A$2:$A$20))</f>
        <v>PNH04</v>
      </c>
      <c r="D20" s="10" t="str">
        <f>INDEX(PORT!$C$2:$C$20,MATCH('01'!B20,PORT!$A$2:$A$20))</f>
        <v>PNH PORT</v>
      </c>
      <c r="E20" s="51" t="s">
        <v>102</v>
      </c>
      <c r="F20" s="18">
        <v>46031</v>
      </c>
      <c r="G20" s="19" t="s">
        <v>4</v>
      </c>
      <c r="H20" s="21" t="s">
        <v>107</v>
      </c>
      <c r="I20" s="17" t="s">
        <v>108</v>
      </c>
      <c r="J20" s="25" t="s">
        <v>109</v>
      </c>
      <c r="K20" s="20">
        <v>46034</v>
      </c>
      <c r="L20" s="21" t="s">
        <v>195</v>
      </c>
      <c r="M20" s="20" t="str">
        <f t="shared" si="2"/>
        <v>Monday</v>
      </c>
      <c r="N20" s="26">
        <v>937.76</v>
      </c>
      <c r="O20" s="22"/>
      <c r="P20" s="22">
        <v>50</v>
      </c>
      <c r="Q20" s="27">
        <v>490</v>
      </c>
      <c r="R20" s="27">
        <v>267.76</v>
      </c>
      <c r="S20" s="23">
        <f t="shared" si="0"/>
        <v>49</v>
      </c>
      <c r="T20" s="27">
        <v>740</v>
      </c>
      <c r="U20" s="24">
        <f t="shared" si="1"/>
        <v>510</v>
      </c>
      <c r="V20" s="19"/>
    </row>
    <row r="21" spans="1:22" ht="18" customHeight="1">
      <c r="A21" s="14" t="s">
        <v>207</v>
      </c>
      <c r="B21" s="15">
        <v>21</v>
      </c>
      <c r="C21" s="16" t="str">
        <f>INDEX(PORT!$B$2:$B$20,MATCH('01'!B21,PORT!$A$2:$A$20))</f>
        <v>PNH21</v>
      </c>
      <c r="D21" s="10" t="str">
        <f>INDEX(PORT!$C$2:$C$20,MATCH('01'!B21,PORT!$A$2:$A$20))</f>
        <v>OLAIR DRY PORT</v>
      </c>
      <c r="E21" s="18" t="s">
        <v>103</v>
      </c>
      <c r="F21" s="18">
        <v>46035</v>
      </c>
      <c r="G21" s="19" t="s">
        <v>4</v>
      </c>
      <c r="H21" s="21" t="s">
        <v>110</v>
      </c>
      <c r="I21" s="17" t="s">
        <v>111</v>
      </c>
      <c r="J21" s="25" t="s">
        <v>112</v>
      </c>
      <c r="K21" s="20">
        <v>46036</v>
      </c>
      <c r="L21" s="21" t="s">
        <v>195</v>
      </c>
      <c r="M21" s="20" t="str">
        <f t="shared" si="2"/>
        <v>Wednesday</v>
      </c>
      <c r="N21" s="26">
        <v>177.18</v>
      </c>
      <c r="O21" s="22">
        <v>449.63</v>
      </c>
      <c r="P21" s="22">
        <v>50</v>
      </c>
      <c r="Q21" s="42">
        <v>150</v>
      </c>
      <c r="R21" s="42">
        <v>511.81</v>
      </c>
      <c r="S21" s="23">
        <f t="shared" si="0"/>
        <v>15</v>
      </c>
      <c r="T21" s="42">
        <v>145</v>
      </c>
      <c r="U21" s="24">
        <f t="shared" si="1"/>
        <v>130</v>
      </c>
      <c r="V21" s="19"/>
    </row>
    <row r="22" spans="1:22" ht="18" customHeight="1">
      <c r="A22" s="14" t="s">
        <v>207</v>
      </c>
      <c r="B22" s="15"/>
      <c r="C22" s="10"/>
      <c r="D22" s="10" t="s">
        <v>203</v>
      </c>
      <c r="E22" s="30" t="s">
        <v>7</v>
      </c>
      <c r="F22" s="18"/>
      <c r="G22" s="19"/>
      <c r="H22" s="21"/>
      <c r="I22" s="17" t="s">
        <v>202</v>
      </c>
      <c r="J22" s="25"/>
      <c r="K22" s="20">
        <v>46053</v>
      </c>
      <c r="L22" s="21"/>
      <c r="M22" s="20"/>
      <c r="N22" s="26"/>
      <c r="O22" s="22">
        <v>344.43</v>
      </c>
      <c r="P22" s="22"/>
      <c r="Q22" s="42"/>
      <c r="R22" s="42">
        <v>344.43</v>
      </c>
      <c r="S22" s="23"/>
      <c r="T22" s="42"/>
      <c r="U22" s="24">
        <f t="shared" si="1"/>
        <v>0</v>
      </c>
      <c r="V22" s="19"/>
    </row>
    <row r="23" spans="1:22" ht="18" customHeight="1">
      <c r="A23" s="14" t="s">
        <v>207</v>
      </c>
      <c r="B23" s="15">
        <v>1</v>
      </c>
      <c r="C23" s="16" t="str">
        <f>INDEX(PORT!$B$2:$B$20,MATCH('01'!B23,PORT!$A$2:$A$20))</f>
        <v>PNH01</v>
      </c>
      <c r="D23" s="10" t="str">
        <f>INDEX(PORT!$C$2:$C$20,MATCH('01'!B23,PORT!$A$2:$A$20))</f>
        <v>KTI AIR PORT</v>
      </c>
      <c r="E23" s="18" t="s">
        <v>113</v>
      </c>
      <c r="F23" s="18">
        <v>46024</v>
      </c>
      <c r="G23" s="19" t="s">
        <v>10</v>
      </c>
      <c r="H23" s="21" t="s">
        <v>131</v>
      </c>
      <c r="I23" s="17" t="s">
        <v>132</v>
      </c>
      <c r="J23" s="25" t="s">
        <v>133</v>
      </c>
      <c r="K23" s="20">
        <v>46027</v>
      </c>
      <c r="L23" s="21" t="s">
        <v>197</v>
      </c>
      <c r="M23" s="20" t="str">
        <f t="shared" si="2"/>
        <v>Monday</v>
      </c>
      <c r="N23" s="26">
        <v>113.76</v>
      </c>
      <c r="O23" s="22"/>
      <c r="P23" s="22">
        <v>50</v>
      </c>
      <c r="Q23" s="42">
        <v>150</v>
      </c>
      <c r="R23" s="42">
        <v>43.760000000000005</v>
      </c>
      <c r="S23" s="23">
        <f t="shared" si="0"/>
        <v>15</v>
      </c>
      <c r="T23" s="42">
        <v>60</v>
      </c>
      <c r="U23" s="24">
        <f t="shared" si="1"/>
        <v>90</v>
      </c>
      <c r="V23" s="19"/>
    </row>
    <row r="24" spans="1:22" ht="18" customHeight="1">
      <c r="A24" s="14" t="s">
        <v>207</v>
      </c>
      <c r="B24" s="28">
        <v>11</v>
      </c>
      <c r="C24" s="16" t="str">
        <f>INDEX(PORT!$B$2:$B$20,MATCH('01'!B24,PORT!$A$2:$A$20))</f>
        <v>SHV11</v>
      </c>
      <c r="D24" s="10" t="str">
        <f>INDEX(PORT!$C$2:$C$20,MATCH('01'!B24,PORT!$A$2:$A$20))</f>
        <v>SHV PORT</v>
      </c>
      <c r="E24" s="18" t="s">
        <v>114</v>
      </c>
      <c r="F24" s="18">
        <v>46024</v>
      </c>
      <c r="G24" s="19" t="s">
        <v>10</v>
      </c>
      <c r="H24" s="21" t="s">
        <v>134</v>
      </c>
      <c r="I24" s="17" t="s">
        <v>135</v>
      </c>
      <c r="J24" s="25" t="s">
        <v>136</v>
      </c>
      <c r="K24" s="20">
        <v>46027</v>
      </c>
      <c r="L24" s="21" t="s">
        <v>197</v>
      </c>
      <c r="M24" s="20" t="str">
        <f t="shared" si="2"/>
        <v>Monday</v>
      </c>
      <c r="N24" s="26">
        <v>400.95</v>
      </c>
      <c r="O24" s="43"/>
      <c r="P24" s="22">
        <v>50</v>
      </c>
      <c r="Q24" s="42">
        <v>215</v>
      </c>
      <c r="R24" s="42">
        <v>95.95</v>
      </c>
      <c r="S24" s="23">
        <f t="shared" si="0"/>
        <v>21.5</v>
      </c>
      <c r="T24" s="42">
        <v>285</v>
      </c>
      <c r="U24" s="24">
        <f t="shared" si="1"/>
        <v>145.00000000000006</v>
      </c>
      <c r="V24" s="31"/>
    </row>
    <row r="25" spans="1:22" ht="18" customHeight="1">
      <c r="A25" s="14" t="s">
        <v>207</v>
      </c>
      <c r="B25" s="15">
        <v>1</v>
      </c>
      <c r="C25" s="16" t="str">
        <f>INDEX(PORT!$B$2:$B$20,MATCH('01'!B25,PORT!$A$2:$A$20))</f>
        <v>PNH01</v>
      </c>
      <c r="D25" s="10" t="str">
        <f>INDEX(PORT!$C$2:$C$20,MATCH('01'!B25,PORT!$A$2:$A$20))</f>
        <v>KTI AIR PORT</v>
      </c>
      <c r="E25" s="18" t="s">
        <v>115</v>
      </c>
      <c r="F25" s="18">
        <v>46024</v>
      </c>
      <c r="G25" s="19" t="s">
        <v>10</v>
      </c>
      <c r="H25" s="21" t="s">
        <v>137</v>
      </c>
      <c r="I25" s="17" t="s">
        <v>138</v>
      </c>
      <c r="J25" s="25" t="s">
        <v>139</v>
      </c>
      <c r="K25" s="20">
        <v>46027</v>
      </c>
      <c r="L25" s="21" t="s">
        <v>197</v>
      </c>
      <c r="M25" s="20" t="str">
        <f t="shared" si="2"/>
        <v>Monday</v>
      </c>
      <c r="N25" s="26">
        <v>151.05000000000001</v>
      </c>
      <c r="O25" s="26"/>
      <c r="P25" s="22">
        <v>50</v>
      </c>
      <c r="Q25" s="42">
        <v>150</v>
      </c>
      <c r="R25" s="42">
        <v>9.5500000000000007</v>
      </c>
      <c r="S25" s="23">
        <f t="shared" si="0"/>
        <v>15</v>
      </c>
      <c r="T25" s="42">
        <v>106.5</v>
      </c>
      <c r="U25" s="24">
        <f t="shared" si="1"/>
        <v>65</v>
      </c>
      <c r="V25" s="19"/>
    </row>
    <row r="26" spans="1:22" ht="18" customHeight="1">
      <c r="A26" s="14" t="s">
        <v>207</v>
      </c>
      <c r="B26" s="15">
        <v>21</v>
      </c>
      <c r="C26" s="16" t="str">
        <f>INDEX(PORT!$B$2:$B$20,MATCH('01'!B26,PORT!$A$2:$A$20))</f>
        <v>PNH21</v>
      </c>
      <c r="D26" s="10" t="str">
        <f>INDEX(PORT!$C$2:$C$20,MATCH('01'!B26,PORT!$A$2:$A$20))</f>
        <v>OLAIR DRY PORT</v>
      </c>
      <c r="E26" s="18" t="s">
        <v>118</v>
      </c>
      <c r="F26" s="18">
        <v>46024</v>
      </c>
      <c r="G26" s="19" t="s">
        <v>10</v>
      </c>
      <c r="H26" s="21" t="s">
        <v>140</v>
      </c>
      <c r="I26" s="17" t="s">
        <v>141</v>
      </c>
      <c r="J26" s="25" t="s">
        <v>142</v>
      </c>
      <c r="K26" s="20">
        <v>46027</v>
      </c>
      <c r="L26" s="21" t="s">
        <v>197</v>
      </c>
      <c r="M26" s="20" t="str">
        <f t="shared" si="2"/>
        <v>Monday</v>
      </c>
      <c r="N26" s="26">
        <v>113.22999999999999</v>
      </c>
      <c r="O26" s="26"/>
      <c r="P26" s="22">
        <v>50</v>
      </c>
      <c r="Q26" s="42">
        <v>150</v>
      </c>
      <c r="R26" s="42">
        <v>28.23</v>
      </c>
      <c r="S26" s="23">
        <f t="shared" si="0"/>
        <v>15</v>
      </c>
      <c r="T26" s="42">
        <v>90</v>
      </c>
      <c r="U26" s="24">
        <f t="shared" si="1"/>
        <v>105.00000000000003</v>
      </c>
      <c r="V26" s="19"/>
    </row>
    <row r="27" spans="1:22" ht="18" customHeight="1">
      <c r="A27" s="14" t="s">
        <v>207</v>
      </c>
      <c r="B27" s="28">
        <v>11</v>
      </c>
      <c r="C27" s="16" t="str">
        <f>INDEX(PORT!$B$2:$B$20,MATCH('01'!B27,PORT!$A$2:$A$20))</f>
        <v>SHV11</v>
      </c>
      <c r="D27" s="10" t="str">
        <f>INDEX(PORT!$C$2:$C$20,MATCH('01'!B27,PORT!$A$2:$A$20))</f>
        <v>SHV PORT</v>
      </c>
      <c r="E27" s="18" t="s">
        <v>116</v>
      </c>
      <c r="F27" s="18">
        <v>46024</v>
      </c>
      <c r="G27" s="19" t="s">
        <v>10</v>
      </c>
      <c r="H27" s="21" t="s">
        <v>143</v>
      </c>
      <c r="I27" s="17" t="s">
        <v>144</v>
      </c>
      <c r="J27" s="25" t="s">
        <v>145</v>
      </c>
      <c r="K27" s="20">
        <v>46027</v>
      </c>
      <c r="L27" s="21" t="s">
        <v>197</v>
      </c>
      <c r="M27" s="20" t="str">
        <f t="shared" si="2"/>
        <v>Monday</v>
      </c>
      <c r="N27" s="26">
        <v>164.49</v>
      </c>
      <c r="O27" s="43"/>
      <c r="P27" s="22">
        <v>50</v>
      </c>
      <c r="Q27" s="39">
        <v>150</v>
      </c>
      <c r="R27" s="39">
        <v>17.12</v>
      </c>
      <c r="S27" s="23">
        <f t="shared" si="0"/>
        <v>15</v>
      </c>
      <c r="T27" s="39">
        <v>106.38</v>
      </c>
      <c r="U27" s="24">
        <f t="shared" si="1"/>
        <v>59.009999999999991</v>
      </c>
      <c r="V27" s="31"/>
    </row>
    <row r="28" spans="1:22" ht="18" customHeight="1">
      <c r="A28" s="14" t="s">
        <v>207</v>
      </c>
      <c r="B28" s="15">
        <v>1</v>
      </c>
      <c r="C28" s="16" t="str">
        <f>INDEX(PORT!$B$2:$B$20,MATCH('01'!B28,PORT!$A$2:$A$20))</f>
        <v>PNH01</v>
      </c>
      <c r="D28" s="10" t="str">
        <f>INDEX(PORT!$C$2:$C$20,MATCH('01'!B28,PORT!$A$2:$A$20))</f>
        <v>KTI AIR PORT</v>
      </c>
      <c r="E28" s="18" t="s">
        <v>117</v>
      </c>
      <c r="F28" s="18">
        <v>46028</v>
      </c>
      <c r="G28" s="19" t="s">
        <v>10</v>
      </c>
      <c r="H28" s="21" t="s">
        <v>146</v>
      </c>
      <c r="I28" s="17" t="s">
        <v>147</v>
      </c>
      <c r="J28" s="25" t="s">
        <v>148</v>
      </c>
      <c r="K28" s="20">
        <v>46030</v>
      </c>
      <c r="L28" s="21" t="s">
        <v>198</v>
      </c>
      <c r="M28" s="20" t="str">
        <f t="shared" si="2"/>
        <v>Thursday</v>
      </c>
      <c r="N28" s="26">
        <v>102.76</v>
      </c>
      <c r="O28" s="22">
        <v>60.5</v>
      </c>
      <c r="P28" s="22">
        <v>50</v>
      </c>
      <c r="Q28" s="42">
        <v>140</v>
      </c>
      <c r="R28" s="42">
        <v>32.76</v>
      </c>
      <c r="S28" s="23">
        <f t="shared" si="0"/>
        <v>14</v>
      </c>
      <c r="T28" s="42">
        <v>60</v>
      </c>
      <c r="U28" s="24">
        <f t="shared" si="1"/>
        <v>19.5</v>
      </c>
      <c r="V28" s="19"/>
    </row>
    <row r="29" spans="1:22" ht="18" customHeight="1">
      <c r="A29" s="14" t="s">
        <v>207</v>
      </c>
      <c r="B29" s="15">
        <v>16</v>
      </c>
      <c r="C29" s="16" t="str">
        <f>INDEX(PORT!$B$2:$B$20,MATCH('01'!B29,PORT!$A$2:$A$20))</f>
        <v>PNH16</v>
      </c>
      <c r="D29" s="10" t="str">
        <f>INDEX(PORT!$C$2:$C$20,MATCH('01'!B29,PORT!$A$2:$A$20))</f>
        <v>DRYPORT ROYAL RAILWAY</v>
      </c>
      <c r="E29" s="18" t="s">
        <v>118</v>
      </c>
      <c r="F29" s="18">
        <v>46028</v>
      </c>
      <c r="G29" s="19" t="s">
        <v>10</v>
      </c>
      <c r="H29" s="21" t="s">
        <v>149</v>
      </c>
      <c r="I29" s="17" t="s">
        <v>150</v>
      </c>
      <c r="J29" s="25" t="s">
        <v>151</v>
      </c>
      <c r="K29" s="20">
        <v>46030</v>
      </c>
      <c r="L29" s="21" t="s">
        <v>198</v>
      </c>
      <c r="M29" s="20" t="str">
        <f t="shared" si="2"/>
        <v>Thursday</v>
      </c>
      <c r="N29" s="26">
        <v>150.36000000000001</v>
      </c>
      <c r="O29" s="22">
        <v>194.61</v>
      </c>
      <c r="P29" s="22">
        <v>50</v>
      </c>
      <c r="Q29" s="42">
        <v>150</v>
      </c>
      <c r="R29" s="42">
        <v>259.97000000000003</v>
      </c>
      <c r="S29" s="23">
        <f t="shared" si="0"/>
        <v>15</v>
      </c>
      <c r="T29" s="42">
        <v>90</v>
      </c>
      <c r="U29" s="24">
        <f t="shared" si="1"/>
        <v>105</v>
      </c>
      <c r="V29" s="19"/>
    </row>
    <row r="30" spans="1:22" ht="18" customHeight="1">
      <c r="A30" s="14" t="s">
        <v>207</v>
      </c>
      <c r="B30" s="15">
        <v>1</v>
      </c>
      <c r="C30" s="16" t="str">
        <f>INDEX(PORT!$B$2:$B$20,MATCH('01'!B30,PORT!$A$2:$A$20))</f>
        <v>PNH01</v>
      </c>
      <c r="D30" s="10" t="str">
        <f>INDEX(PORT!$C$2:$C$20,MATCH('01'!B30,PORT!$A$2:$A$20))</f>
        <v>KTI AIR PORT</v>
      </c>
      <c r="E30" s="19" t="s">
        <v>119</v>
      </c>
      <c r="F30" s="18">
        <v>46028</v>
      </c>
      <c r="G30" s="19" t="s">
        <v>10</v>
      </c>
      <c r="H30" s="21" t="s">
        <v>152</v>
      </c>
      <c r="I30" s="17" t="s">
        <v>153</v>
      </c>
      <c r="J30" s="25" t="s">
        <v>154</v>
      </c>
      <c r="K30" s="20">
        <v>46030</v>
      </c>
      <c r="L30" s="21" t="s">
        <v>198</v>
      </c>
      <c r="M30" s="20" t="str">
        <f t="shared" si="2"/>
        <v>Thursday</v>
      </c>
      <c r="N30" s="26">
        <v>156.94999999999999</v>
      </c>
      <c r="O30" s="22"/>
      <c r="P30" s="22">
        <v>50</v>
      </c>
      <c r="Q30" s="27">
        <v>150</v>
      </c>
      <c r="R30" s="27">
        <v>15.45</v>
      </c>
      <c r="S30" s="23">
        <f t="shared" si="0"/>
        <v>15</v>
      </c>
      <c r="T30" s="27">
        <v>106.5</v>
      </c>
      <c r="U30" s="24">
        <f t="shared" si="1"/>
        <v>65</v>
      </c>
      <c r="V30" s="19"/>
    </row>
    <row r="31" spans="1:22" ht="18" customHeight="1">
      <c r="A31" s="14" t="s">
        <v>207</v>
      </c>
      <c r="B31" s="15">
        <v>1</v>
      </c>
      <c r="C31" s="16" t="str">
        <f>INDEX(PORT!$B$2:$B$20,MATCH('01'!B31,PORT!$A$2:$A$20))</f>
        <v>PNH01</v>
      </c>
      <c r="D31" s="10" t="str">
        <f>INDEX(PORT!$C$2:$C$20,MATCH('01'!B31,PORT!$A$2:$A$20))</f>
        <v>KTI AIR PORT</v>
      </c>
      <c r="E31" s="18" t="s">
        <v>120</v>
      </c>
      <c r="F31" s="18">
        <v>46030</v>
      </c>
      <c r="G31" s="19" t="s">
        <v>10</v>
      </c>
      <c r="H31" s="21" t="s">
        <v>155</v>
      </c>
      <c r="I31" s="17" t="s">
        <v>156</v>
      </c>
      <c r="J31" s="25" t="s">
        <v>157</v>
      </c>
      <c r="K31" s="20">
        <v>46031</v>
      </c>
      <c r="L31" s="21" t="s">
        <v>198</v>
      </c>
      <c r="M31" s="20" t="str">
        <f t="shared" si="2"/>
        <v>Friday</v>
      </c>
      <c r="N31" s="26">
        <v>153.51999999999998</v>
      </c>
      <c r="O31" s="26">
        <v>60.5</v>
      </c>
      <c r="P31" s="22">
        <v>50</v>
      </c>
      <c r="Q31" s="39">
        <v>150</v>
      </c>
      <c r="R31" s="39">
        <v>72.52</v>
      </c>
      <c r="S31" s="23">
        <f t="shared" si="0"/>
        <v>15</v>
      </c>
      <c r="T31" s="39">
        <v>106.5</v>
      </c>
      <c r="U31" s="24">
        <f t="shared" si="1"/>
        <v>65</v>
      </c>
      <c r="V31" s="31"/>
    </row>
    <row r="32" spans="1:22" ht="18" customHeight="1">
      <c r="A32" s="14" t="s">
        <v>207</v>
      </c>
      <c r="B32" s="15">
        <v>1</v>
      </c>
      <c r="C32" s="16" t="str">
        <f>INDEX(PORT!$B$2:$B$20,MATCH('01'!B32,PORT!$A$2:$A$20))</f>
        <v>PNH01</v>
      </c>
      <c r="D32" s="10" t="str">
        <f>INDEX(PORT!$C$2:$C$20,MATCH('01'!B32,PORT!$A$2:$A$20))</f>
        <v>KTI AIR PORT</v>
      </c>
      <c r="E32" s="18" t="s">
        <v>121</v>
      </c>
      <c r="F32" s="18">
        <v>46035</v>
      </c>
      <c r="G32" s="19" t="s">
        <v>10</v>
      </c>
      <c r="H32" s="21" t="s">
        <v>158</v>
      </c>
      <c r="I32" s="17" t="s">
        <v>159</v>
      </c>
      <c r="J32" s="25" t="s">
        <v>160</v>
      </c>
      <c r="K32" s="20">
        <v>46036</v>
      </c>
      <c r="L32" s="21" t="s">
        <v>195</v>
      </c>
      <c r="M32" s="20" t="str">
        <f t="shared" si="2"/>
        <v>Wednesday</v>
      </c>
      <c r="N32" s="26">
        <v>209.66</v>
      </c>
      <c r="O32" s="43"/>
      <c r="P32" s="22">
        <v>50</v>
      </c>
      <c r="Q32" s="39">
        <v>150</v>
      </c>
      <c r="R32" s="39">
        <v>90.16</v>
      </c>
      <c r="S32" s="23">
        <f t="shared" si="0"/>
        <v>15</v>
      </c>
      <c r="T32" s="39">
        <v>215</v>
      </c>
      <c r="U32" s="24">
        <f t="shared" si="1"/>
        <v>195.5</v>
      </c>
      <c r="V32" s="31"/>
    </row>
    <row r="33" spans="1:22" ht="18" customHeight="1">
      <c r="A33" s="14" t="s">
        <v>207</v>
      </c>
      <c r="B33" s="15">
        <v>1</v>
      </c>
      <c r="C33" s="16" t="str">
        <f>INDEX(PORT!$B$2:$B$20,MATCH('01'!B33,PORT!$A$2:$A$20))</f>
        <v>PNH01</v>
      </c>
      <c r="D33" s="10" t="str">
        <f>INDEX(PORT!$C$2:$C$20,MATCH('01'!B33,PORT!$A$2:$A$20))</f>
        <v>KTI AIR PORT</v>
      </c>
      <c r="E33" s="19" t="s">
        <v>122</v>
      </c>
      <c r="F33" s="18">
        <v>46036</v>
      </c>
      <c r="G33" s="19" t="s">
        <v>10</v>
      </c>
      <c r="H33" s="21" t="s">
        <v>161</v>
      </c>
      <c r="I33" s="17" t="s">
        <v>162</v>
      </c>
      <c r="J33" s="25" t="s">
        <v>163</v>
      </c>
      <c r="K33" s="20">
        <v>46037</v>
      </c>
      <c r="L33" s="21" t="s">
        <v>51</v>
      </c>
      <c r="M33" s="20" t="str">
        <f t="shared" si="2"/>
        <v>Thursday</v>
      </c>
      <c r="N33" s="26">
        <v>111.47</v>
      </c>
      <c r="O33" s="22"/>
      <c r="P33" s="22">
        <v>50</v>
      </c>
      <c r="Q33" s="27">
        <v>150</v>
      </c>
      <c r="R33" s="27">
        <v>41.47</v>
      </c>
      <c r="S33" s="23">
        <f t="shared" si="0"/>
        <v>15</v>
      </c>
      <c r="T33" s="27">
        <v>60</v>
      </c>
      <c r="U33" s="24">
        <f t="shared" si="1"/>
        <v>90</v>
      </c>
      <c r="V33" s="19"/>
    </row>
    <row r="34" spans="1:22" ht="18" customHeight="1">
      <c r="A34" s="14" t="s">
        <v>207</v>
      </c>
      <c r="B34" s="15" t="s">
        <v>192</v>
      </c>
      <c r="C34" s="16" t="str">
        <f>INDEX(PORT!$B$2:$B$20,MATCH('01'!B34,PORT!$A$2:$A$20))</f>
        <v>SVR11</v>
      </c>
      <c r="D34" s="10" t="str">
        <f>INDEX(PORT!$C$2:$C$20,MATCH('01'!B34,PORT!$A$2:$A$20))</f>
        <v>BAVET CEO</v>
      </c>
      <c r="E34" s="17" t="s">
        <v>123</v>
      </c>
      <c r="F34" s="18">
        <v>46039</v>
      </c>
      <c r="G34" s="19" t="s">
        <v>10</v>
      </c>
      <c r="H34" s="21" t="s">
        <v>164</v>
      </c>
      <c r="I34" s="17" t="s">
        <v>165</v>
      </c>
      <c r="J34" s="25" t="s">
        <v>166</v>
      </c>
      <c r="K34" s="20">
        <v>46041</v>
      </c>
      <c r="L34" s="21" t="s">
        <v>196</v>
      </c>
      <c r="M34" s="20" t="str">
        <f t="shared" si="2"/>
        <v>Monday</v>
      </c>
      <c r="N34" s="22">
        <v>133.75</v>
      </c>
      <c r="O34" s="22"/>
      <c r="P34" s="22">
        <v>50</v>
      </c>
      <c r="Q34" s="23">
        <v>230</v>
      </c>
      <c r="R34" s="53">
        <v>2.25</v>
      </c>
      <c r="S34" s="23">
        <f t="shared" si="0"/>
        <v>23</v>
      </c>
      <c r="T34" s="53">
        <v>66.5</v>
      </c>
      <c r="U34" s="24">
        <f t="shared" si="1"/>
        <v>115</v>
      </c>
      <c r="V34" s="17"/>
    </row>
    <row r="35" spans="1:22" ht="18" customHeight="1">
      <c r="A35" s="14" t="s">
        <v>207</v>
      </c>
      <c r="B35" s="15">
        <v>1</v>
      </c>
      <c r="C35" s="16" t="str">
        <f>INDEX(PORT!$B$2:$B$20,MATCH('01'!B35,PORT!$A$2:$A$20))</f>
        <v>PNH01</v>
      </c>
      <c r="D35" s="10" t="str">
        <f>INDEX(PORT!$C$2:$C$20,MATCH('01'!B35,PORT!$A$2:$A$20))</f>
        <v>KTI AIR PORT</v>
      </c>
      <c r="E35" s="18" t="s">
        <v>124</v>
      </c>
      <c r="F35" s="18">
        <v>46039</v>
      </c>
      <c r="G35" s="19" t="s">
        <v>10</v>
      </c>
      <c r="H35" s="21" t="s">
        <v>167</v>
      </c>
      <c r="I35" s="17" t="s">
        <v>168</v>
      </c>
      <c r="J35" s="25" t="s">
        <v>169</v>
      </c>
      <c r="K35" s="20">
        <v>46041</v>
      </c>
      <c r="L35" s="21" t="s">
        <v>196</v>
      </c>
      <c r="M35" s="20" t="str">
        <f t="shared" si="2"/>
        <v>Monday</v>
      </c>
      <c r="N35" s="26">
        <v>90.97</v>
      </c>
      <c r="O35" s="22"/>
      <c r="P35" s="22">
        <v>50</v>
      </c>
      <c r="Q35" s="42">
        <v>140</v>
      </c>
      <c r="R35" s="42">
        <v>20.97</v>
      </c>
      <c r="S35" s="23">
        <f t="shared" si="0"/>
        <v>14</v>
      </c>
      <c r="T35" s="42">
        <v>60</v>
      </c>
      <c r="U35" s="24">
        <f t="shared" si="1"/>
        <v>80</v>
      </c>
      <c r="V35" s="19"/>
    </row>
    <row r="36" spans="1:22" s="12" customFormat="1" ht="18" customHeight="1">
      <c r="A36" s="14" t="s">
        <v>207</v>
      </c>
      <c r="B36" s="15">
        <v>1</v>
      </c>
      <c r="C36" s="16" t="str">
        <f>INDEX(PORT!$B$2:$B$20,MATCH('01'!B36,PORT!$A$2:$A$20))</f>
        <v>PNH01</v>
      </c>
      <c r="D36" s="10" t="str">
        <f>INDEX(PORT!$C$2:$C$20,MATCH('01'!B36,PORT!$A$2:$A$20))</f>
        <v>KTI AIR PORT</v>
      </c>
      <c r="E36" s="16" t="s">
        <v>125</v>
      </c>
      <c r="F36" s="54">
        <v>46041</v>
      </c>
      <c r="G36" s="19" t="s">
        <v>10</v>
      </c>
      <c r="H36" s="21" t="s">
        <v>170</v>
      </c>
      <c r="I36" s="17" t="s">
        <v>171</v>
      </c>
      <c r="J36" s="25" t="s">
        <v>172</v>
      </c>
      <c r="K36" s="20">
        <v>46042</v>
      </c>
      <c r="L36" s="21" t="s">
        <v>196</v>
      </c>
      <c r="M36" s="20" t="str">
        <f t="shared" si="2"/>
        <v>Tuesday</v>
      </c>
      <c r="N36" s="55">
        <v>105.4</v>
      </c>
      <c r="O36" s="22"/>
      <c r="P36" s="22">
        <v>50</v>
      </c>
      <c r="Q36" s="56">
        <v>140</v>
      </c>
      <c r="R36" s="56">
        <v>35.4</v>
      </c>
      <c r="S36" s="23">
        <f t="shared" si="0"/>
        <v>14</v>
      </c>
      <c r="T36" s="57">
        <v>60</v>
      </c>
      <c r="U36" s="24">
        <f t="shared" si="1"/>
        <v>80</v>
      </c>
      <c r="V36" s="58"/>
    </row>
    <row r="37" spans="1:22" s="12" customFormat="1" ht="18" customHeight="1">
      <c r="A37" s="14" t="s">
        <v>207</v>
      </c>
      <c r="B37" s="59">
        <v>23</v>
      </c>
      <c r="C37" s="16" t="str">
        <f>INDEX(PORT!$B$2:$B$20,MATCH('01'!B37,PORT!$A$2:$A$20))</f>
        <v>PNH23</v>
      </c>
      <c r="D37" s="10" t="str">
        <f>INDEX(PORT!$C$2:$C$20,MATCH('01'!B37,PORT!$A$2:$A$20))</f>
        <v>UNION DRY PORT</v>
      </c>
      <c r="E37" s="60" t="s">
        <v>126</v>
      </c>
      <c r="F37" s="54">
        <v>46043</v>
      </c>
      <c r="G37" s="19" t="s">
        <v>10</v>
      </c>
      <c r="H37" s="21" t="s">
        <v>173</v>
      </c>
      <c r="I37" s="17" t="s">
        <v>174</v>
      </c>
      <c r="J37" s="25" t="s">
        <v>175</v>
      </c>
      <c r="K37" s="20">
        <v>46044</v>
      </c>
      <c r="L37" s="21" t="s">
        <v>200</v>
      </c>
      <c r="M37" s="20" t="str">
        <f t="shared" si="2"/>
        <v>Thursday</v>
      </c>
      <c r="N37" s="26">
        <v>218.17000000000002</v>
      </c>
      <c r="O37" s="22">
        <v>674.58</v>
      </c>
      <c r="P37" s="22">
        <v>50</v>
      </c>
      <c r="Q37" s="56">
        <v>150</v>
      </c>
      <c r="R37" s="56">
        <v>772.5</v>
      </c>
      <c r="S37" s="23">
        <f t="shared" si="0"/>
        <v>15</v>
      </c>
      <c r="T37" s="57">
        <v>150</v>
      </c>
      <c r="U37" s="24">
        <f t="shared" si="1"/>
        <v>129.75</v>
      </c>
      <c r="V37" s="58"/>
    </row>
    <row r="38" spans="1:22" ht="18" customHeight="1">
      <c r="A38" s="14" t="s">
        <v>207</v>
      </c>
      <c r="B38" s="15">
        <v>1</v>
      </c>
      <c r="C38" s="16" t="str">
        <f>INDEX(PORT!$B$2:$B$20,MATCH('01'!B38,PORT!$A$2:$A$20))</f>
        <v>PNH01</v>
      </c>
      <c r="D38" s="10" t="str">
        <f>INDEX(PORT!$C$2:$C$20,MATCH('01'!B38,PORT!$A$2:$A$20))</f>
        <v>KTI AIR PORT</v>
      </c>
      <c r="E38" s="18" t="s">
        <v>127</v>
      </c>
      <c r="F38" s="18">
        <v>46045</v>
      </c>
      <c r="G38" s="19" t="s">
        <v>10</v>
      </c>
      <c r="H38" s="21" t="s">
        <v>176</v>
      </c>
      <c r="I38" s="17" t="s">
        <v>177</v>
      </c>
      <c r="J38" s="25" t="s">
        <v>178</v>
      </c>
      <c r="K38" s="20">
        <v>46048</v>
      </c>
      <c r="L38" s="21" t="s">
        <v>199</v>
      </c>
      <c r="M38" s="20" t="str">
        <f t="shared" si="2"/>
        <v>Monday</v>
      </c>
      <c r="N38" s="26">
        <v>90.17</v>
      </c>
      <c r="O38" s="43"/>
      <c r="P38" s="22">
        <v>50</v>
      </c>
      <c r="Q38" s="130">
        <v>140</v>
      </c>
      <c r="R38" s="130">
        <v>20.170000000000002</v>
      </c>
      <c r="S38" s="23">
        <f t="shared" si="0"/>
        <v>14</v>
      </c>
      <c r="T38" s="130">
        <v>60</v>
      </c>
      <c r="U38" s="24">
        <f t="shared" si="1"/>
        <v>80</v>
      </c>
      <c r="V38" s="31"/>
    </row>
    <row r="39" spans="1:22" ht="18" customHeight="1">
      <c r="A39" s="14" t="s">
        <v>207</v>
      </c>
      <c r="B39" s="28">
        <v>11</v>
      </c>
      <c r="C39" s="16" t="str">
        <f>INDEX(PORT!$B$2:$B$20,MATCH('01'!B39,PORT!$A$2:$A$20))</f>
        <v>SHV11</v>
      </c>
      <c r="D39" s="10" t="str">
        <f>INDEX(PORT!$C$2:$C$20,MATCH('01'!B39,PORT!$A$2:$A$20))</f>
        <v>SHV PORT</v>
      </c>
      <c r="E39" s="18" t="s">
        <v>128</v>
      </c>
      <c r="F39" s="18">
        <v>46045</v>
      </c>
      <c r="G39" s="19" t="s">
        <v>10</v>
      </c>
      <c r="H39" s="21" t="s">
        <v>179</v>
      </c>
      <c r="I39" s="17" t="s">
        <v>180</v>
      </c>
      <c r="J39" s="25" t="s">
        <v>181</v>
      </c>
      <c r="K39" s="20">
        <v>46048</v>
      </c>
      <c r="L39" s="21" t="s">
        <v>199</v>
      </c>
      <c r="M39" s="20" t="str">
        <f t="shared" si="2"/>
        <v>Monday</v>
      </c>
      <c r="N39" s="26">
        <v>140.43</v>
      </c>
      <c r="O39" s="132">
        <v>299.2</v>
      </c>
      <c r="P39" s="22">
        <v>50</v>
      </c>
      <c r="Q39" s="130">
        <v>150</v>
      </c>
      <c r="R39" s="130">
        <v>314.63</v>
      </c>
      <c r="S39" s="131">
        <f t="shared" si="0"/>
        <v>15</v>
      </c>
      <c r="T39" s="130">
        <v>106.45</v>
      </c>
      <c r="U39" s="24">
        <f t="shared" si="1"/>
        <v>81.450000000000045</v>
      </c>
      <c r="V39" s="31"/>
    </row>
    <row r="40" spans="1:22" ht="31.5">
      <c r="A40" s="14" t="s">
        <v>207</v>
      </c>
      <c r="B40" s="15">
        <v>1</v>
      </c>
      <c r="C40" s="16" t="str">
        <f>INDEX(PORT!$B$2:$B$20,MATCH('01'!B40,PORT!$A$2:$A$20))</f>
        <v>PNH01</v>
      </c>
      <c r="D40" s="10" t="str">
        <f>INDEX(PORT!$C$2:$C$20,MATCH('01'!B40,PORT!$A$2:$A$20))</f>
        <v>KTI AIR PORT</v>
      </c>
      <c r="E40" s="18" t="s">
        <v>129</v>
      </c>
      <c r="F40" s="18">
        <v>46049</v>
      </c>
      <c r="G40" s="19" t="s">
        <v>10</v>
      </c>
      <c r="H40" s="61" t="s">
        <v>182</v>
      </c>
      <c r="I40" s="19" t="s">
        <v>183</v>
      </c>
      <c r="J40" s="62" t="s">
        <v>184</v>
      </c>
      <c r="K40" s="20">
        <v>46050</v>
      </c>
      <c r="L40" s="21" t="s">
        <v>195</v>
      </c>
      <c r="M40" s="20" t="str">
        <f t="shared" si="2"/>
        <v>Wednesday</v>
      </c>
      <c r="N40" s="26">
        <v>152.80000000000001</v>
      </c>
      <c r="O40" s="132">
        <v>110</v>
      </c>
      <c r="P40" s="22">
        <v>50</v>
      </c>
      <c r="Q40" s="130">
        <v>150</v>
      </c>
      <c r="R40" s="130">
        <v>132.80000000000001</v>
      </c>
      <c r="S40" s="131">
        <f t="shared" si="0"/>
        <v>15</v>
      </c>
      <c r="T40" s="130">
        <v>95</v>
      </c>
      <c r="U40" s="24">
        <f t="shared" si="1"/>
        <v>65</v>
      </c>
      <c r="V40" s="31"/>
    </row>
    <row r="41" spans="1:22" ht="15.75">
      <c r="A41" s="14" t="s">
        <v>207</v>
      </c>
      <c r="B41" s="28">
        <v>4</v>
      </c>
      <c r="C41" s="16" t="str">
        <f>INDEX(PORT!$B$2:$B$20,MATCH('01'!B41,PORT!$A$2:$A$20))</f>
        <v>PNH04</v>
      </c>
      <c r="D41" s="10" t="str">
        <f>INDEX(PORT!$C$2:$C$20,MATCH('01'!B41,PORT!$A$2:$A$20))</f>
        <v>PNH PORT</v>
      </c>
      <c r="E41" s="18" t="s">
        <v>130</v>
      </c>
      <c r="F41" s="18">
        <v>46052</v>
      </c>
      <c r="G41" s="19" t="s">
        <v>10</v>
      </c>
      <c r="H41" s="61"/>
      <c r="I41" s="19" t="s">
        <v>185</v>
      </c>
      <c r="J41" s="63"/>
      <c r="K41" s="20">
        <v>46052</v>
      </c>
      <c r="L41" s="21" t="s">
        <v>51</v>
      </c>
      <c r="M41" s="20" t="str">
        <f t="shared" si="2"/>
        <v>Friday</v>
      </c>
      <c r="N41" s="26">
        <v>3.3</v>
      </c>
      <c r="O41" s="132"/>
      <c r="P41" s="35"/>
      <c r="Q41" s="130"/>
      <c r="R41" s="130"/>
      <c r="S41" s="131">
        <f t="shared" si="0"/>
        <v>0</v>
      </c>
      <c r="T41" s="130">
        <v>3.3</v>
      </c>
      <c r="U41" s="24">
        <f t="shared" si="1"/>
        <v>0</v>
      </c>
      <c r="V41" s="31"/>
    </row>
    <row r="42" spans="1:22" ht="15.75">
      <c r="A42" s="14"/>
      <c r="B42" s="28"/>
      <c r="C42" s="10"/>
      <c r="D42" s="10"/>
      <c r="E42" s="30"/>
      <c r="F42" s="30"/>
      <c r="G42" s="31"/>
      <c r="H42" s="64"/>
      <c r="I42" s="31"/>
      <c r="J42" s="63"/>
      <c r="K42" s="34"/>
      <c r="L42" s="32"/>
      <c r="M42" s="32"/>
      <c r="N42" s="26"/>
      <c r="O42" s="43"/>
      <c r="P42" s="35"/>
      <c r="Q42" s="39"/>
      <c r="R42" s="39"/>
      <c r="S42" s="36"/>
      <c r="T42" s="39"/>
      <c r="U42" s="24"/>
      <c r="V42" s="31"/>
    </row>
    <row r="43" spans="1:22" ht="15.75">
      <c r="A43" s="52"/>
      <c r="B43" s="28"/>
      <c r="C43" s="10"/>
      <c r="D43" s="65"/>
      <c r="E43" s="66"/>
      <c r="F43" s="66"/>
      <c r="G43" s="67"/>
      <c r="H43" s="68"/>
      <c r="I43" s="31"/>
      <c r="J43" s="63"/>
      <c r="K43" s="34"/>
      <c r="L43" s="32"/>
      <c r="M43" s="32"/>
      <c r="N43" s="26"/>
      <c r="O43" s="43"/>
      <c r="P43" s="35"/>
      <c r="Q43" s="39"/>
      <c r="R43" s="39"/>
      <c r="S43" s="36"/>
      <c r="T43" s="39"/>
      <c r="U43" s="24"/>
      <c r="V43" s="31"/>
    </row>
    <row r="44" spans="1:22">
      <c r="A44" s="52"/>
      <c r="B44" s="15"/>
      <c r="C44" s="10"/>
      <c r="D44" s="10"/>
      <c r="E44" s="18"/>
      <c r="F44" s="18"/>
      <c r="G44" s="19"/>
      <c r="H44" s="61"/>
      <c r="I44" s="19"/>
      <c r="J44" s="62"/>
      <c r="K44" s="62"/>
      <c r="L44" s="21"/>
      <c r="M44" s="21"/>
      <c r="N44" s="26"/>
      <c r="O44" s="26"/>
      <c r="P44" s="26"/>
      <c r="Q44" s="42"/>
      <c r="R44" s="42"/>
      <c r="S44" s="42"/>
      <c r="T44" s="42"/>
      <c r="U44" s="24"/>
      <c r="V44" s="19"/>
    </row>
    <row r="45" spans="1:22">
      <c r="A45" s="52"/>
      <c r="B45" s="15"/>
      <c r="C45" s="10"/>
      <c r="D45" s="51"/>
      <c r="E45" s="18"/>
      <c r="F45" s="18"/>
      <c r="G45" s="19"/>
      <c r="H45" s="61"/>
      <c r="I45" s="19"/>
      <c r="J45" s="62"/>
      <c r="K45" s="62"/>
      <c r="L45" s="69"/>
      <c r="M45" s="69"/>
      <c r="N45" s="26"/>
      <c r="O45" s="26"/>
      <c r="P45" s="26"/>
      <c r="Q45" s="42"/>
      <c r="R45" s="42"/>
      <c r="S45" s="42"/>
      <c r="T45" s="42"/>
      <c r="U45" s="24"/>
      <c r="V45" s="19"/>
    </row>
    <row r="46" spans="1:22">
      <c r="A46" s="70"/>
      <c r="B46" s="70"/>
      <c r="C46" s="71"/>
      <c r="D46" s="72"/>
      <c r="E46" s="73"/>
      <c r="F46" s="73"/>
      <c r="G46" s="74"/>
      <c r="H46" s="75"/>
      <c r="I46" s="74"/>
      <c r="J46" s="76"/>
      <c r="K46" s="76"/>
      <c r="L46" s="77"/>
      <c r="M46" s="77"/>
      <c r="N46" s="78"/>
      <c r="O46" s="78"/>
      <c r="P46" s="78"/>
      <c r="Q46" s="79"/>
      <c r="R46" s="79"/>
      <c r="S46" s="79"/>
      <c r="T46" s="79"/>
      <c r="U46" s="80"/>
      <c r="V46" s="74"/>
    </row>
    <row r="47" spans="1:22">
      <c r="A47" s="70"/>
      <c r="B47" s="70"/>
      <c r="C47" s="71"/>
      <c r="D47" s="72"/>
      <c r="E47" s="73"/>
      <c r="F47" s="73"/>
      <c r="G47" s="74"/>
      <c r="H47" s="75"/>
      <c r="I47" s="74"/>
      <c r="J47" s="76"/>
      <c r="K47" s="76"/>
      <c r="L47" s="77"/>
      <c r="M47" s="77"/>
      <c r="N47" s="78"/>
      <c r="O47" s="78"/>
      <c r="P47" s="78"/>
      <c r="Q47" s="79"/>
      <c r="R47" s="79"/>
      <c r="S47" s="79"/>
      <c r="T47" s="79"/>
      <c r="U47" s="80"/>
      <c r="V47" s="74"/>
    </row>
    <row r="48" spans="1:22">
      <c r="A48" s="70"/>
      <c r="B48" s="70"/>
      <c r="C48" s="71"/>
      <c r="D48" s="72"/>
      <c r="E48" s="73"/>
      <c r="F48" s="73"/>
      <c r="G48" s="74"/>
      <c r="H48" s="75"/>
      <c r="I48" s="74"/>
      <c r="J48" s="76"/>
      <c r="K48" s="76"/>
      <c r="L48" s="77"/>
      <c r="M48" s="77"/>
      <c r="N48" s="78"/>
      <c r="O48" s="78"/>
      <c r="P48" s="78"/>
      <c r="Q48" s="79"/>
      <c r="R48" s="79"/>
      <c r="S48" s="79"/>
      <c r="T48" s="79"/>
      <c r="U48" s="80"/>
      <c r="V48" s="74"/>
    </row>
    <row r="49" spans="1:22">
      <c r="A49" s="70"/>
      <c r="B49" s="70"/>
      <c r="C49" s="71"/>
      <c r="D49" s="72"/>
      <c r="E49" s="73"/>
      <c r="F49" s="73"/>
      <c r="G49" s="74"/>
      <c r="H49" s="75"/>
      <c r="I49" s="74"/>
      <c r="J49" s="76"/>
      <c r="K49" s="76"/>
      <c r="L49" s="77"/>
      <c r="M49" s="77"/>
      <c r="N49" s="78"/>
      <c r="O49" s="78"/>
      <c r="P49" s="78"/>
      <c r="Q49" s="79"/>
      <c r="R49" s="79"/>
      <c r="S49" s="79"/>
      <c r="T49" s="79"/>
      <c r="U49" s="80"/>
      <c r="V49" s="74"/>
    </row>
    <row r="50" spans="1:22">
      <c r="A50" s="70"/>
      <c r="B50" s="70"/>
      <c r="C50" s="71"/>
      <c r="D50" s="72"/>
      <c r="E50" s="73"/>
      <c r="F50" s="73"/>
      <c r="G50" s="74"/>
      <c r="H50" s="75"/>
      <c r="I50" s="74"/>
      <c r="J50" s="76"/>
      <c r="K50" s="76"/>
      <c r="L50" s="77"/>
      <c r="M50" s="77"/>
      <c r="N50" s="78"/>
      <c r="O50" s="78"/>
      <c r="P50" s="78"/>
      <c r="Q50" s="79"/>
      <c r="R50" s="79"/>
      <c r="S50" s="79"/>
      <c r="T50" s="79"/>
      <c r="U50" s="80"/>
      <c r="V50" s="74"/>
    </row>
    <row r="51" spans="1:22">
      <c r="A51" s="70"/>
      <c r="B51" s="70"/>
      <c r="C51" s="81"/>
      <c r="D51" s="82"/>
      <c r="E51" s="83"/>
      <c r="F51" s="84"/>
      <c r="G51" s="85"/>
      <c r="H51" s="75"/>
      <c r="I51" s="74"/>
      <c r="J51" s="76"/>
      <c r="K51" s="76"/>
      <c r="L51" s="77"/>
      <c r="M51" s="86"/>
      <c r="N51" s="87"/>
      <c r="O51" s="78"/>
      <c r="P51" s="78"/>
      <c r="Q51" s="79"/>
      <c r="R51" s="79"/>
      <c r="S51" s="79"/>
      <c r="T51" s="79"/>
      <c r="U51" s="80"/>
      <c r="V51" s="74"/>
    </row>
    <row r="52" spans="1:22">
      <c r="A52" s="70"/>
      <c r="B52" s="70"/>
      <c r="C52" s="81"/>
      <c r="D52" s="82"/>
      <c r="E52" s="83"/>
      <c r="F52" s="84"/>
      <c r="G52" s="85"/>
      <c r="H52" s="75"/>
      <c r="I52" s="74"/>
      <c r="J52" s="76"/>
      <c r="K52" s="76"/>
      <c r="L52" s="77"/>
      <c r="M52" s="86"/>
      <c r="N52" s="87"/>
      <c r="O52" s="78"/>
      <c r="P52" s="78"/>
      <c r="Q52" s="79"/>
      <c r="R52" s="79"/>
      <c r="S52" s="79"/>
      <c r="T52" s="79"/>
      <c r="U52" s="80"/>
      <c r="V52" s="74"/>
    </row>
    <row r="53" spans="1:22">
      <c r="A53" s="70"/>
      <c r="B53" s="70"/>
      <c r="C53" s="81"/>
      <c r="D53" s="82"/>
      <c r="E53" s="83"/>
      <c r="F53" s="84"/>
      <c r="G53" s="85"/>
      <c r="H53" s="75"/>
      <c r="I53" s="74"/>
      <c r="J53" s="76"/>
      <c r="K53" s="76"/>
      <c r="L53" s="77"/>
      <c r="M53" s="86"/>
      <c r="N53" s="87"/>
      <c r="O53" s="78"/>
      <c r="P53" s="78"/>
      <c r="Q53" s="79"/>
      <c r="R53" s="79"/>
      <c r="S53" s="79"/>
      <c r="T53" s="79"/>
      <c r="U53" s="80"/>
      <c r="V53" s="74"/>
    </row>
    <row r="54" spans="1:22">
      <c r="A54" s="70"/>
      <c r="B54" s="70"/>
      <c r="C54" s="81"/>
      <c r="D54" s="82"/>
      <c r="E54" s="83"/>
      <c r="F54" s="84"/>
      <c r="G54" s="85"/>
      <c r="H54" s="75"/>
      <c r="I54" s="74"/>
      <c r="J54" s="76"/>
      <c r="K54" s="76"/>
      <c r="L54" s="77"/>
      <c r="M54" s="86"/>
      <c r="N54" s="87"/>
      <c r="O54" s="78"/>
      <c r="P54" s="78"/>
      <c r="Q54" s="79"/>
      <c r="R54" s="79"/>
      <c r="S54" s="79"/>
      <c r="T54" s="79"/>
      <c r="U54" s="80"/>
      <c r="V54" s="74"/>
    </row>
    <row r="55" spans="1:22">
      <c r="A55" s="70"/>
      <c r="B55" s="70"/>
      <c r="C55" s="81"/>
      <c r="D55" s="82"/>
      <c r="E55" s="83"/>
      <c r="F55" s="84"/>
      <c r="G55" s="85"/>
      <c r="H55" s="75"/>
      <c r="I55" s="74"/>
      <c r="J55" s="76"/>
      <c r="K55" s="76"/>
      <c r="L55" s="77"/>
      <c r="M55" s="86"/>
      <c r="N55" s="87"/>
      <c r="O55" s="78"/>
      <c r="P55" s="78"/>
      <c r="Q55" s="79"/>
      <c r="R55" s="79"/>
      <c r="S55" s="79"/>
      <c r="T55" s="79"/>
      <c r="U55" s="80"/>
      <c r="V55" s="74"/>
    </row>
    <row r="56" spans="1:22">
      <c r="A56" s="70"/>
      <c r="B56" s="70"/>
      <c r="C56" s="81"/>
      <c r="D56" s="82"/>
      <c r="E56" s="83"/>
      <c r="F56" s="84"/>
      <c r="G56" s="85"/>
      <c r="H56" s="75"/>
      <c r="I56" s="74"/>
      <c r="J56" s="76"/>
      <c r="K56" s="76"/>
      <c r="L56" s="77"/>
      <c r="M56" s="86"/>
      <c r="N56" s="87"/>
      <c r="O56" s="78"/>
      <c r="P56" s="78"/>
      <c r="Q56" s="79"/>
      <c r="R56" s="79"/>
      <c r="S56" s="79"/>
      <c r="T56" s="79"/>
      <c r="U56" s="80"/>
      <c r="V56" s="74"/>
    </row>
    <row r="57" spans="1:22" ht="15.75">
      <c r="A57" s="88"/>
      <c r="B57" s="89">
        <f>SUBTOTAL(3,B3:B56)</f>
        <v>38</v>
      </c>
      <c r="C57" s="88"/>
      <c r="D57" s="90"/>
      <c r="E57" s="342" t="s">
        <v>3</v>
      </c>
      <c r="F57" s="343"/>
      <c r="G57" s="344"/>
      <c r="H57" s="91">
        <f>SUBTOTAL(3,H3:H56)</f>
        <v>36</v>
      </c>
      <c r="I57" s="91">
        <f>SUBTOTAL(3,I3:I56)</f>
        <v>38</v>
      </c>
      <c r="J57" s="91">
        <f>SUBTOTAL(3,J3:J56)</f>
        <v>36</v>
      </c>
      <c r="K57" s="92"/>
      <c r="L57" s="89"/>
      <c r="M57" s="89"/>
      <c r="N57" s="93">
        <f>SUBTOTAL(9,N3:N41)</f>
        <v>10313.1</v>
      </c>
      <c r="O57" s="93">
        <f t="shared" ref="O57:T57" si="3">SUBTOTAL(9,O3:O41)</f>
        <v>4501.34</v>
      </c>
      <c r="P57" s="91">
        <f t="shared" si="3"/>
        <v>1665</v>
      </c>
      <c r="Q57" s="91">
        <f t="shared" si="3"/>
        <v>6740</v>
      </c>
      <c r="R57" s="7">
        <f t="shared" si="3"/>
        <v>7052.5300000000016</v>
      </c>
      <c r="S57" s="7">
        <f t="shared" si="3"/>
        <v>674</v>
      </c>
      <c r="T57" s="7">
        <f t="shared" si="3"/>
        <v>9050.130000000001</v>
      </c>
      <c r="U57" s="7">
        <f>SUBTOTAL(9,U3:U45)</f>
        <v>6363.22</v>
      </c>
      <c r="V57" s="94"/>
    </row>
    <row r="58" spans="1:22" ht="23.1" customHeight="1">
      <c r="B58" s="95"/>
      <c r="C58" s="96"/>
      <c r="D58" s="97"/>
      <c r="E58" s="98"/>
      <c r="F58" s="98"/>
      <c r="G58" s="8"/>
      <c r="H58" s="11"/>
      <c r="I58" s="99"/>
      <c r="J58" s="100"/>
      <c r="K58" s="100"/>
      <c r="M58" s="101" t="s">
        <v>207</v>
      </c>
      <c r="N58" s="102">
        <f>SUMIFS($N$3:$N$45,$A$3:$A$45,$M$58)</f>
        <v>10313.1</v>
      </c>
      <c r="O58" s="103"/>
      <c r="P58" s="104"/>
      <c r="Q58" s="105"/>
      <c r="R58" s="106"/>
      <c r="S58" s="107"/>
      <c r="T58" s="107"/>
      <c r="U58" s="108"/>
      <c r="V58" s="109"/>
    </row>
    <row r="59" spans="1:22" ht="23.1" customHeight="1">
      <c r="B59" s="95"/>
      <c r="C59" s="110"/>
      <c r="D59" s="111"/>
      <c r="E59" s="98"/>
      <c r="F59" s="98"/>
      <c r="G59" s="8"/>
      <c r="H59" s="11"/>
      <c r="I59" s="99"/>
      <c r="J59" s="100"/>
      <c r="K59" s="100"/>
      <c r="M59" s="112" t="s">
        <v>208</v>
      </c>
      <c r="N59" s="113">
        <f>SUMIFS($N$3:$N$45,$A$3:$A$45,$M$59)</f>
        <v>0</v>
      </c>
      <c r="O59" s="114"/>
      <c r="P59" s="104"/>
      <c r="R59" s="115"/>
      <c r="S59" s="115"/>
      <c r="T59" s="115"/>
      <c r="U59" s="116"/>
    </row>
    <row r="60" spans="1:22">
      <c r="B60" s="95"/>
      <c r="C60" s="117"/>
      <c r="D60" s="118"/>
      <c r="E60" s="98"/>
      <c r="F60" s="98"/>
      <c r="G60" s="8"/>
      <c r="H60" s="11"/>
      <c r="I60" s="99"/>
      <c r="J60" s="100"/>
      <c r="K60" s="100"/>
      <c r="M60" s="99"/>
      <c r="N60" s="119"/>
      <c r="O60" s="119"/>
      <c r="R60" s="115"/>
      <c r="S60" s="115"/>
      <c r="T60" s="115"/>
      <c r="U60" s="116"/>
    </row>
  </sheetData>
  <autoFilter ref="B2:V50"/>
  <mergeCells count="5">
    <mergeCell ref="E57:G57"/>
    <mergeCell ref="H3:H4"/>
    <mergeCell ref="I3:I4"/>
    <mergeCell ref="J3:J4"/>
    <mergeCell ref="N3:N4"/>
  </mergeCells>
  <conditionalFormatting sqref="A3:XFD3 B4:XFD30 A4:A41 U4:U41 B31:N31 P31:XFD31 B32:XFD41 A42:XFD45">
    <cfRule type="expression" dxfId="1182" priority="1">
      <formula>$A3=$A$1</formula>
    </cfRule>
    <cfRule type="expression" dxfId="1181" priority="2">
      <formula>$E3=$G$1</formula>
    </cfRule>
  </conditionalFormatting>
  <conditionalFormatting sqref="B3:V3 B4:G4 B5:R7 B8:O22 E23:M41 E42:V42 B43:V45 K4:M4 O4:R4 C4:D21 S4:V41 P8:R40 N23:O30 B23:D42 N31 N32:O40 N41:R41">
    <cfRule type="expression" dxfId="1180" priority="7">
      <formula>$D3=$O$2</formula>
    </cfRule>
  </conditionalFormatting>
  <conditionalFormatting sqref="E1:E1048576">
    <cfRule type="duplicateValues" dxfId="1179" priority="6"/>
  </conditionalFormatting>
  <conditionalFormatting sqref="E46">
    <cfRule type="duplicateValues" dxfId="1178" priority="9"/>
    <cfRule type="duplicateValues" dxfId="1177" priority="10"/>
    <cfRule type="duplicateValues" dxfId="1176" priority="11"/>
    <cfRule type="duplicateValues" dxfId="1175" priority="12"/>
  </conditionalFormatting>
  <conditionalFormatting sqref="H46">
    <cfRule type="duplicateValues" dxfId="1174" priority="13"/>
  </conditionalFormatting>
  <conditionalFormatting sqref="H46:I46">
    <cfRule type="duplicateValues" dxfId="1173" priority="14"/>
    <cfRule type="duplicateValues" dxfId="1172" priority="15"/>
  </conditionalFormatting>
  <conditionalFormatting sqref="H58:J1048576 H47:J56 H1:J3 H5:J45">
    <cfRule type="duplicateValues" dxfId="1171" priority="1140"/>
  </conditionalFormatting>
  <conditionalFormatting sqref="I1:I3 I5:I56 I58:I1048576">
    <cfRule type="duplicateValues" dxfId="1170" priority="1146"/>
  </conditionalFormatting>
  <conditionalFormatting sqref="I1:I56 I58:I1048576">
    <cfRule type="duplicateValues" dxfId="1169" priority="4"/>
  </conditionalFormatting>
  <conditionalFormatting sqref="J1:J56 J58:J1048576">
    <cfRule type="duplicateValues" dxfId="1168" priority="3"/>
  </conditionalFormatting>
  <conditionalFormatting sqref="L3:M45">
    <cfRule type="expression" dxfId="1167" priority="5">
      <formula>$M3=$M$1</formula>
    </cfRule>
  </conditionalFormatting>
  <conditionalFormatting sqref="O31">
    <cfRule type="expression" dxfId="1166" priority="1149">
      <formula>$A29=$A$1</formula>
    </cfRule>
    <cfRule type="expression" dxfId="1165" priority="1150">
      <formula>$E29=$G$1</formula>
    </cfRule>
    <cfRule type="expression" dxfId="1164" priority="1156">
      <formula>$D29=$O$2</formula>
    </cfRule>
  </conditionalFormatting>
  <pageMargins left="0.7" right="0.7" top="0.75" bottom="0.75" header="0.3" footer="0.3"/>
  <pageSetup paperSize="9" scale="97" orientation="portrait" r:id="rId1"/>
  <rowBreaks count="1" manualBreakCount="1">
    <brk id="45" max="16383" man="1"/>
  </rowBreaks>
  <ignoredErrors>
    <ignoredError sqref="L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51"/>
  <sheetViews>
    <sheetView view="pageBreakPreview" zoomScale="70" zoomScaleNormal="70" zoomScaleSheetLayoutView="70"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G31" sqref="G31"/>
    </sheetView>
  </sheetViews>
  <sheetFormatPr defaultColWidth="14" defaultRowHeight="15" customHeight="1"/>
  <cols>
    <col min="1" max="3" width="14" style="9"/>
    <col min="4" max="4" width="19.42578125" style="9" customWidth="1"/>
    <col min="5" max="5" width="18.42578125" style="9" customWidth="1"/>
    <col min="6" max="6" width="16.85546875" style="9" customWidth="1"/>
    <col min="7" max="7" width="18.42578125" style="9" customWidth="1"/>
    <col min="8" max="8" width="15.42578125" style="9" customWidth="1"/>
    <col min="9" max="9" width="15.85546875" style="9" customWidth="1"/>
    <col min="10" max="10" width="19.42578125" style="9" customWidth="1"/>
    <col min="11" max="11" width="17" style="120" customWidth="1"/>
    <col min="12" max="12" width="14" style="8"/>
    <col min="13" max="20" width="14" style="9"/>
    <col min="21" max="21" width="15.42578125" style="9" customWidth="1"/>
    <col min="22" max="16384" width="14" style="9"/>
  </cols>
  <sheetData>
    <row r="1" spans="1:22">
      <c r="A1" s="8"/>
      <c r="C1" s="10"/>
      <c r="D1" s="10"/>
      <c r="E1" s="5" t="s">
        <v>0</v>
      </c>
      <c r="F1" s="5"/>
      <c r="G1" s="6"/>
      <c r="H1" s="11"/>
      <c r="I1" s="12"/>
      <c r="J1" s="13"/>
      <c r="K1" s="13"/>
      <c r="L1" s="11"/>
      <c r="M1" s="11" t="s">
        <v>193</v>
      </c>
      <c r="U1" s="8"/>
    </row>
    <row r="2" spans="1:22" ht="47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2" ht="18" customHeight="1">
      <c r="A3" s="14" t="s">
        <v>207</v>
      </c>
      <c r="B3" s="15">
        <v>1</v>
      </c>
      <c r="C3" s="16" t="str">
        <f>INDEX(PORT!$B$2:$B$20,MATCH('02'!B3,PORT!$A$2:$A$20))</f>
        <v>PNH01</v>
      </c>
      <c r="D3" s="10" t="str">
        <f>INDEX(PORT!$C$2:$C$20,MATCH('02'!B3,PORT!$A$2:$A$20))</f>
        <v>KTI AIR PORT</v>
      </c>
      <c r="E3" s="17" t="s">
        <v>210</v>
      </c>
      <c r="F3" s="18">
        <v>46055</v>
      </c>
      <c r="G3" s="19" t="s">
        <v>64</v>
      </c>
      <c r="H3" s="58" t="s">
        <v>211</v>
      </c>
      <c r="I3" s="141" t="s">
        <v>212</v>
      </c>
      <c r="J3" s="142" t="s">
        <v>213</v>
      </c>
      <c r="K3" s="20">
        <v>46056</v>
      </c>
      <c r="L3" s="21" t="str">
        <f>VLOOKUP(K3,'[1]Exchange Rate'!$A$3:$C$15,3,FALSE)</f>
        <v>4031</v>
      </c>
      <c r="M3" s="20" t="str">
        <f t="shared" ref="M3:M27" si="0">TEXT(K3,"dddd")</f>
        <v>Tuesday</v>
      </c>
      <c r="N3" s="22">
        <v>312.14</v>
      </c>
      <c r="O3" s="55"/>
      <c r="P3" s="22">
        <v>50</v>
      </c>
      <c r="Q3" s="182">
        <v>185</v>
      </c>
      <c r="R3" s="182">
        <v>117.14</v>
      </c>
      <c r="S3" s="182">
        <f t="shared" ref="S3:S14" si="1">ROUND(Q3*10%,2)</f>
        <v>18.5</v>
      </c>
      <c r="T3" s="182">
        <v>195</v>
      </c>
      <c r="U3" s="24">
        <f>(Q3+R3+T3)-(N3+O3+P3)</f>
        <v>135</v>
      </c>
      <c r="V3" s="17"/>
    </row>
    <row r="4" spans="1:22" ht="18" customHeight="1">
      <c r="A4" s="14" t="s">
        <v>207</v>
      </c>
      <c r="B4" s="143">
        <v>21</v>
      </c>
      <c r="C4" s="16" t="str">
        <f>INDEX(PORT!$B$2:$B$20,MATCH('02'!B4,PORT!$A$2:$A$20))</f>
        <v>PNH21</v>
      </c>
      <c r="D4" s="10" t="str">
        <f>INDEX(PORT!$C$2:$C$20,MATCH('02'!B4,PORT!$A$2:$A$20))</f>
        <v>OLAIR DRY PORT</v>
      </c>
      <c r="E4" s="144" t="s">
        <v>265</v>
      </c>
      <c r="F4" s="144">
        <v>46055</v>
      </c>
      <c r="G4" s="145" t="s">
        <v>4</v>
      </c>
      <c r="H4" s="140" t="s">
        <v>214</v>
      </c>
      <c r="I4" s="141" t="s">
        <v>215</v>
      </c>
      <c r="J4" s="146" t="s">
        <v>216</v>
      </c>
      <c r="K4" s="147">
        <v>46056</v>
      </c>
      <c r="L4" s="21" t="str">
        <f>VLOOKUP(K4,'[1]Exchange Rate'!$A$3:$C$15,3,FALSE)</f>
        <v>4031</v>
      </c>
      <c r="M4" s="20" t="str">
        <f t="shared" si="0"/>
        <v>Tuesday</v>
      </c>
      <c r="N4" s="148">
        <v>154.34</v>
      </c>
      <c r="O4" s="149">
        <v>344.43</v>
      </c>
      <c r="P4" s="22">
        <v>50</v>
      </c>
      <c r="Q4" s="182">
        <v>150</v>
      </c>
      <c r="R4" s="182">
        <v>39.340000000000003</v>
      </c>
      <c r="S4" s="182">
        <f t="shared" si="1"/>
        <v>15</v>
      </c>
      <c r="T4" s="182">
        <v>145</v>
      </c>
      <c r="U4" s="24">
        <f>(Q4+R4+T4)-(N4+P4)</f>
        <v>130.00000000000003</v>
      </c>
      <c r="V4" s="17"/>
    </row>
    <row r="5" spans="1:22" ht="18" customHeight="1">
      <c r="A5" s="14" t="s">
        <v>207</v>
      </c>
      <c r="B5" s="143">
        <v>1</v>
      </c>
      <c r="C5" s="16" t="str">
        <f>INDEX(PORT!$B$2:$B$20,MATCH('02'!B5,PORT!$A$2:$A$20))</f>
        <v>PNH01</v>
      </c>
      <c r="D5" s="10" t="str">
        <f>INDEX(PORT!$C$2:$C$20,MATCH('02'!B5,PORT!$A$2:$A$20))</f>
        <v>KTI AIR PORT</v>
      </c>
      <c r="E5" s="145" t="s">
        <v>266</v>
      </c>
      <c r="F5" s="144">
        <v>46055</v>
      </c>
      <c r="G5" s="145" t="s">
        <v>4</v>
      </c>
      <c r="H5" s="140" t="s">
        <v>217</v>
      </c>
      <c r="I5" s="141" t="s">
        <v>218</v>
      </c>
      <c r="J5" s="146" t="s">
        <v>219</v>
      </c>
      <c r="K5" s="147">
        <v>46056</v>
      </c>
      <c r="L5" s="21" t="str">
        <f>VLOOKUP(K5,'[1]Exchange Rate'!$A$3:$C$15,3,FALSE)</f>
        <v>4031</v>
      </c>
      <c r="M5" s="20" t="str">
        <f t="shared" si="0"/>
        <v>Tuesday</v>
      </c>
      <c r="N5" s="148">
        <v>174.38</v>
      </c>
      <c r="O5" s="150">
        <v>60.5</v>
      </c>
      <c r="P5" s="22">
        <v>50</v>
      </c>
      <c r="Q5" s="182">
        <v>150</v>
      </c>
      <c r="R5" s="182">
        <v>84.88</v>
      </c>
      <c r="S5" s="182">
        <f t="shared" si="1"/>
        <v>15</v>
      </c>
      <c r="T5" s="182">
        <v>165</v>
      </c>
      <c r="U5" s="24">
        <f t="shared" ref="U5:U40" si="2">(Q5+R5+T5)-(N5+O5+P5)</f>
        <v>115</v>
      </c>
      <c r="V5" s="17"/>
    </row>
    <row r="6" spans="1:22" ht="18" customHeight="1">
      <c r="A6" s="14" t="s">
        <v>207</v>
      </c>
      <c r="B6" s="143">
        <v>1</v>
      </c>
      <c r="C6" s="16" t="str">
        <f>INDEX(PORT!$B$2:$B$20,MATCH('02'!B6,PORT!$A$2:$A$20))</f>
        <v>PNH01</v>
      </c>
      <c r="D6" s="10" t="str">
        <f>INDEX(PORT!$C$2:$C$20,MATCH('02'!B6,PORT!$A$2:$A$20))</f>
        <v>KTI AIR PORT</v>
      </c>
      <c r="E6" s="144" t="s">
        <v>267</v>
      </c>
      <c r="F6" s="144">
        <v>46057</v>
      </c>
      <c r="G6" s="145" t="s">
        <v>10</v>
      </c>
      <c r="H6" s="140" t="s">
        <v>220</v>
      </c>
      <c r="I6" s="141" t="s">
        <v>221</v>
      </c>
      <c r="J6" s="146" t="s">
        <v>222</v>
      </c>
      <c r="K6" s="147">
        <v>46058</v>
      </c>
      <c r="L6" s="21" t="str">
        <f>VLOOKUP(K6,'[1]Exchange Rate'!$A$3:$C$15,3,FALSE)</f>
        <v>4033</v>
      </c>
      <c r="M6" s="20" t="str">
        <f t="shared" si="0"/>
        <v>Thursday</v>
      </c>
      <c r="N6" s="148">
        <v>104.43</v>
      </c>
      <c r="O6" s="150">
        <v>0</v>
      </c>
      <c r="P6" s="22">
        <v>50</v>
      </c>
      <c r="Q6" s="183">
        <v>140</v>
      </c>
      <c r="R6" s="183">
        <v>34.43</v>
      </c>
      <c r="S6" s="182">
        <f t="shared" si="1"/>
        <v>14</v>
      </c>
      <c r="T6" s="183">
        <v>60</v>
      </c>
      <c r="U6" s="24">
        <f t="shared" si="2"/>
        <v>80</v>
      </c>
      <c r="V6" s="19"/>
    </row>
    <row r="7" spans="1:22" s="37" customFormat="1" ht="18" customHeight="1">
      <c r="A7" s="14" t="s">
        <v>207</v>
      </c>
      <c r="B7" s="151">
        <v>19</v>
      </c>
      <c r="C7" s="16" t="str">
        <f>INDEX(PORT!$B$2:$B$20,MATCH('02'!B7,PORT!$A$2:$A$20))</f>
        <v>PNH19</v>
      </c>
      <c r="D7" s="10" t="str">
        <f>INDEX(PORT!$C$2:$C$20,MATCH('02'!B7,PORT!$A$2:$A$20))</f>
        <v>TEC SRUN DRYPORT</v>
      </c>
      <c r="E7" s="152" t="s">
        <v>268</v>
      </c>
      <c r="F7" s="153">
        <v>46057</v>
      </c>
      <c r="G7" s="152" t="s">
        <v>10</v>
      </c>
      <c r="H7" s="140" t="s">
        <v>223</v>
      </c>
      <c r="I7" s="141" t="s">
        <v>224</v>
      </c>
      <c r="J7" s="146" t="s">
        <v>225</v>
      </c>
      <c r="K7" s="153">
        <v>46058</v>
      </c>
      <c r="L7" s="21" t="str">
        <f>VLOOKUP(K7,'[1]Exchange Rate'!$A$3:$C$15,3,FALSE)</f>
        <v>4033</v>
      </c>
      <c r="M7" s="34" t="str">
        <f t="shared" si="0"/>
        <v>Thursday</v>
      </c>
      <c r="N7" s="148">
        <v>111.1</v>
      </c>
      <c r="O7" s="150">
        <v>204.97</v>
      </c>
      <c r="P7" s="22">
        <v>50</v>
      </c>
      <c r="Q7" s="184">
        <v>150</v>
      </c>
      <c r="R7" s="184">
        <v>231.07</v>
      </c>
      <c r="S7" s="184">
        <f t="shared" si="1"/>
        <v>15</v>
      </c>
      <c r="T7" s="184">
        <v>90</v>
      </c>
      <c r="U7" s="24">
        <f t="shared" si="2"/>
        <v>105</v>
      </c>
      <c r="V7" s="29"/>
    </row>
    <row r="8" spans="1:22" s="37" customFormat="1" ht="18" customHeight="1">
      <c r="A8" s="14" t="s">
        <v>207</v>
      </c>
      <c r="B8" s="151">
        <v>19</v>
      </c>
      <c r="C8" s="16" t="str">
        <f>INDEX(PORT!$B$2:$B$20,MATCH('02'!B8,PORT!$A$2:$A$20))</f>
        <v>PNH19</v>
      </c>
      <c r="D8" s="10" t="str">
        <f>INDEX(PORT!$C$2:$C$20,MATCH('02'!B8,PORT!$A$2:$A$20))</f>
        <v>TEC SRUN DRYPORT</v>
      </c>
      <c r="E8" s="144" t="s">
        <v>269</v>
      </c>
      <c r="F8" s="144">
        <v>46057</v>
      </c>
      <c r="G8" s="145" t="s">
        <v>4</v>
      </c>
      <c r="H8" s="140" t="s">
        <v>226</v>
      </c>
      <c r="I8" s="141" t="s">
        <v>227</v>
      </c>
      <c r="J8" s="146" t="s">
        <v>228</v>
      </c>
      <c r="K8" s="147">
        <v>46058</v>
      </c>
      <c r="L8" s="21" t="str">
        <f>VLOOKUP(K8,'[1]Exchange Rate'!$A$3:$C$15,3,FALSE)</f>
        <v>4033</v>
      </c>
      <c r="M8" s="34" t="str">
        <f t="shared" si="0"/>
        <v>Thursday</v>
      </c>
      <c r="N8" s="148">
        <v>160.06</v>
      </c>
      <c r="O8" s="150">
        <v>403.19</v>
      </c>
      <c r="P8" s="22">
        <v>50</v>
      </c>
      <c r="Q8" s="184">
        <v>150</v>
      </c>
      <c r="R8" s="184">
        <v>448.25</v>
      </c>
      <c r="S8" s="184">
        <f t="shared" si="1"/>
        <v>15</v>
      </c>
      <c r="T8" s="185">
        <v>145</v>
      </c>
      <c r="U8" s="24">
        <f t="shared" si="2"/>
        <v>130</v>
      </c>
      <c r="V8" s="29"/>
    </row>
    <row r="9" spans="1:22" s="37" customFormat="1" ht="18" customHeight="1">
      <c r="A9" s="14" t="s">
        <v>207</v>
      </c>
      <c r="B9" s="143">
        <v>1</v>
      </c>
      <c r="C9" s="16" t="str">
        <f>INDEX(PORT!$B$2:$B$20,MATCH('02'!B9,PORT!$A$2:$A$20))</f>
        <v>PNH01</v>
      </c>
      <c r="D9" s="10" t="str">
        <f>INDEX(PORT!$C$2:$C$20,MATCH('02'!B9,PORT!$A$2:$A$20))</f>
        <v>KTI AIR PORT</v>
      </c>
      <c r="E9" s="154" t="s">
        <v>270</v>
      </c>
      <c r="F9" s="153">
        <v>46058</v>
      </c>
      <c r="G9" s="152" t="s">
        <v>10</v>
      </c>
      <c r="H9" s="140" t="s">
        <v>229</v>
      </c>
      <c r="I9" s="141" t="s">
        <v>230</v>
      </c>
      <c r="J9" s="146" t="s">
        <v>231</v>
      </c>
      <c r="K9" s="153">
        <v>46059</v>
      </c>
      <c r="L9" s="21" t="str">
        <f>VLOOKUP(K9,'[1]Exchange Rate'!$A$3:$C$15,3,FALSE)</f>
        <v>4033</v>
      </c>
      <c r="M9" s="34" t="str">
        <f t="shared" si="0"/>
        <v>Friday</v>
      </c>
      <c r="N9" s="148">
        <v>83.75</v>
      </c>
      <c r="O9" s="150">
        <v>0</v>
      </c>
      <c r="P9" s="22">
        <v>50</v>
      </c>
      <c r="Q9" s="184">
        <v>140</v>
      </c>
      <c r="R9" s="184">
        <v>2</v>
      </c>
      <c r="S9" s="184">
        <f t="shared" si="1"/>
        <v>14</v>
      </c>
      <c r="T9" s="184">
        <v>71.75</v>
      </c>
      <c r="U9" s="24">
        <f t="shared" si="2"/>
        <v>80</v>
      </c>
      <c r="V9" s="29"/>
    </row>
    <row r="10" spans="1:22" s="37" customFormat="1" ht="18" customHeight="1">
      <c r="A10" s="14" t="s">
        <v>207</v>
      </c>
      <c r="B10" s="143">
        <v>1</v>
      </c>
      <c r="C10" s="16" t="str">
        <f>INDEX(PORT!$B$2:$B$20,MATCH('02'!B10,PORT!$A$2:$A$20))</f>
        <v>PNH01</v>
      </c>
      <c r="D10" s="10" t="str">
        <f>INDEX(PORT!$C$2:$C$20,MATCH('02'!B10,PORT!$A$2:$A$20))</f>
        <v>KTI AIR PORT</v>
      </c>
      <c r="E10" s="152" t="s">
        <v>271</v>
      </c>
      <c r="F10" s="144">
        <v>46058</v>
      </c>
      <c r="G10" s="145" t="s">
        <v>10</v>
      </c>
      <c r="H10" s="140" t="s">
        <v>232</v>
      </c>
      <c r="I10" s="141" t="s">
        <v>233</v>
      </c>
      <c r="J10" s="146" t="s">
        <v>234</v>
      </c>
      <c r="K10" s="147">
        <v>46059</v>
      </c>
      <c r="L10" s="21" t="str">
        <f>VLOOKUP(K10,'[1]Exchange Rate'!$A$3:$C$15,3,FALSE)</f>
        <v>4033</v>
      </c>
      <c r="M10" s="34" t="str">
        <f t="shared" si="0"/>
        <v>Friday</v>
      </c>
      <c r="N10" s="148">
        <v>88.24</v>
      </c>
      <c r="O10" s="150">
        <v>0</v>
      </c>
      <c r="P10" s="22">
        <v>50</v>
      </c>
      <c r="Q10" s="184">
        <v>140</v>
      </c>
      <c r="R10" s="184">
        <v>18.239999999999998</v>
      </c>
      <c r="S10" s="184">
        <f t="shared" si="1"/>
        <v>14</v>
      </c>
      <c r="T10" s="184">
        <v>60</v>
      </c>
      <c r="U10" s="24">
        <f t="shared" si="2"/>
        <v>80</v>
      </c>
      <c r="V10" s="29"/>
    </row>
    <row r="11" spans="1:22" ht="18" customHeight="1">
      <c r="A11" s="14" t="s">
        <v>207</v>
      </c>
      <c r="B11" s="143">
        <v>1</v>
      </c>
      <c r="C11" s="16" t="str">
        <f>INDEX(PORT!$B$2:$B$20,MATCH('02'!B11,PORT!$A$2:$A$20))</f>
        <v>PNH01</v>
      </c>
      <c r="D11" s="10" t="str">
        <f>INDEX(PORT!$C$2:$C$20,MATCH('02'!B11,PORT!$A$2:$A$20))</f>
        <v>KTI AIR PORT</v>
      </c>
      <c r="E11" s="152" t="s">
        <v>272</v>
      </c>
      <c r="F11" s="153">
        <v>46058</v>
      </c>
      <c r="G11" s="155" t="s">
        <v>64</v>
      </c>
      <c r="H11" s="58" t="s">
        <v>235</v>
      </c>
      <c r="I11" s="141" t="s">
        <v>236</v>
      </c>
      <c r="J11" s="146" t="s">
        <v>237</v>
      </c>
      <c r="K11" s="153">
        <v>46059</v>
      </c>
      <c r="L11" s="21" t="str">
        <f>VLOOKUP(K11,'[1]Exchange Rate'!$A$3:$C$15,3,FALSE)</f>
        <v>4033</v>
      </c>
      <c r="M11" s="20" t="str">
        <f t="shared" si="0"/>
        <v>Friday</v>
      </c>
      <c r="N11" s="148">
        <v>182.24</v>
      </c>
      <c r="O11" s="150">
        <v>0</v>
      </c>
      <c r="P11" s="22">
        <v>50</v>
      </c>
      <c r="Q11" s="186">
        <v>175</v>
      </c>
      <c r="R11" s="186">
        <v>62.24</v>
      </c>
      <c r="S11" s="182">
        <f t="shared" si="1"/>
        <v>17.5</v>
      </c>
      <c r="T11" s="186">
        <v>180</v>
      </c>
      <c r="U11" s="24">
        <f t="shared" si="2"/>
        <v>185</v>
      </c>
      <c r="V11" s="19"/>
    </row>
    <row r="12" spans="1:22" s="37" customFormat="1" ht="18" customHeight="1">
      <c r="A12" s="14" t="s">
        <v>207</v>
      </c>
      <c r="B12" s="143">
        <v>1</v>
      </c>
      <c r="C12" s="16" t="str">
        <f>INDEX(PORT!$B$2:$B$20,MATCH('02'!B12,PORT!$A$2:$A$20))</f>
        <v>PNH01</v>
      </c>
      <c r="D12" s="10" t="str">
        <f>INDEX(PORT!$C$2:$C$20,MATCH('02'!B12,PORT!$A$2:$A$20))</f>
        <v>KTI AIR PORT</v>
      </c>
      <c r="E12" s="156" t="s">
        <v>273</v>
      </c>
      <c r="F12" s="144">
        <v>46058</v>
      </c>
      <c r="G12" s="155" t="s">
        <v>64</v>
      </c>
      <c r="H12" s="58" t="s">
        <v>238</v>
      </c>
      <c r="I12" s="141" t="s">
        <v>239</v>
      </c>
      <c r="J12" s="145" t="s">
        <v>240</v>
      </c>
      <c r="K12" s="147">
        <v>46059</v>
      </c>
      <c r="L12" s="21" t="str">
        <f>VLOOKUP(K12,'[1]Exchange Rate'!$A$3:$C$15,3,FALSE)</f>
        <v>4033</v>
      </c>
      <c r="M12" s="34" t="str">
        <f t="shared" si="0"/>
        <v>Friday</v>
      </c>
      <c r="N12" s="148">
        <v>288.02</v>
      </c>
      <c r="O12" s="150">
        <v>0</v>
      </c>
      <c r="P12" s="22">
        <v>50</v>
      </c>
      <c r="Q12" s="185">
        <v>165</v>
      </c>
      <c r="R12" s="185">
        <v>93.02</v>
      </c>
      <c r="S12" s="182">
        <f t="shared" si="1"/>
        <v>16.5</v>
      </c>
      <c r="T12" s="185">
        <v>195</v>
      </c>
      <c r="U12" s="24">
        <f t="shared" si="2"/>
        <v>115</v>
      </c>
      <c r="V12" s="31"/>
    </row>
    <row r="13" spans="1:22" s="37" customFormat="1" ht="18" customHeight="1">
      <c r="A13" s="14" t="s">
        <v>207</v>
      </c>
      <c r="B13" s="143">
        <v>4</v>
      </c>
      <c r="C13" s="16" t="str">
        <f>INDEX(PORT!$B$2:$B$20,MATCH('02'!B13,PORT!$A$2:$A$20))</f>
        <v>PNH04</v>
      </c>
      <c r="D13" s="10" t="str">
        <f>INDEX(PORT!$C$2:$C$20,MATCH('02'!B13,PORT!$A$2:$A$20))</f>
        <v>PNH PORT</v>
      </c>
      <c r="E13" s="144" t="s">
        <v>274</v>
      </c>
      <c r="F13" s="144">
        <v>46058</v>
      </c>
      <c r="G13" s="145" t="s">
        <v>4</v>
      </c>
      <c r="H13" s="140" t="s">
        <v>241</v>
      </c>
      <c r="I13" s="141" t="s">
        <v>242</v>
      </c>
      <c r="J13" s="145" t="s">
        <v>243</v>
      </c>
      <c r="K13" s="147">
        <v>46059</v>
      </c>
      <c r="L13" s="21" t="str">
        <f>VLOOKUP(K13,'[1]Exchange Rate'!$A$3:$C$15,3,FALSE)</f>
        <v>4033</v>
      </c>
      <c r="M13" s="34" t="str">
        <f t="shared" si="0"/>
        <v>Friday</v>
      </c>
      <c r="N13" s="148">
        <v>495.75</v>
      </c>
      <c r="O13" s="150">
        <v>0</v>
      </c>
      <c r="P13" s="22">
        <v>50</v>
      </c>
      <c r="Q13" s="184">
        <v>245</v>
      </c>
      <c r="R13" s="184">
        <v>135.75</v>
      </c>
      <c r="S13" s="184">
        <f t="shared" si="1"/>
        <v>24.5</v>
      </c>
      <c r="T13" s="184">
        <v>405</v>
      </c>
      <c r="U13" s="24">
        <f t="shared" si="2"/>
        <v>240</v>
      </c>
      <c r="V13" s="29"/>
    </row>
    <row r="14" spans="1:22" s="50" customFormat="1" ht="18.75" customHeight="1">
      <c r="A14" s="14" t="s">
        <v>207</v>
      </c>
      <c r="B14" s="143">
        <v>11</v>
      </c>
      <c r="C14" s="16" t="str">
        <f>INDEX(PORT!$B$2:$B$20,MATCH('02'!B14,PORT!$A$2:$A$20))</f>
        <v>SHV11</v>
      </c>
      <c r="D14" s="10" t="str">
        <f>INDEX(PORT!$C$2:$C$20,MATCH('02'!B14,PORT!$A$2:$A$20))</f>
        <v>SHV PORT</v>
      </c>
      <c r="E14" s="145" t="s">
        <v>275</v>
      </c>
      <c r="F14" s="144">
        <v>46062</v>
      </c>
      <c r="G14" s="145" t="s">
        <v>41</v>
      </c>
      <c r="H14" s="140" t="s">
        <v>244</v>
      </c>
      <c r="I14" s="141" t="s">
        <v>245</v>
      </c>
      <c r="J14" s="145" t="s">
        <v>246</v>
      </c>
      <c r="K14" s="147">
        <v>46063</v>
      </c>
      <c r="L14" s="21" t="str">
        <f>VLOOKUP(K14,'[1]Exchange Rate'!$A$3:$C$15,3,FALSE)</f>
        <v>4031</v>
      </c>
      <c r="M14" s="34" t="str">
        <f t="shared" si="0"/>
        <v>Tuesday</v>
      </c>
      <c r="N14" s="148">
        <v>569.45000000000005</v>
      </c>
      <c r="O14" s="150">
        <v>691.5</v>
      </c>
      <c r="P14" s="22">
        <v>5</v>
      </c>
      <c r="Q14" s="187">
        <v>200</v>
      </c>
      <c r="R14" s="187">
        <v>805.95</v>
      </c>
      <c r="S14" s="184">
        <f t="shared" si="1"/>
        <v>20</v>
      </c>
      <c r="T14" s="187">
        <v>605</v>
      </c>
      <c r="U14" s="24">
        <f t="shared" si="2"/>
        <v>345</v>
      </c>
      <c r="V14" s="49"/>
    </row>
    <row r="15" spans="1:22" s="50" customFormat="1" ht="18" customHeight="1">
      <c r="A15" s="14"/>
      <c r="B15" s="143"/>
      <c r="C15" s="157"/>
      <c r="D15" s="157"/>
      <c r="E15" s="145"/>
      <c r="F15" s="144"/>
      <c r="G15" s="145" t="s">
        <v>41</v>
      </c>
      <c r="H15" s="140"/>
      <c r="I15" s="141"/>
      <c r="J15" s="145" t="s">
        <v>327</v>
      </c>
      <c r="K15" s="147">
        <v>46070</v>
      </c>
      <c r="L15" s="158"/>
      <c r="M15" s="159" t="str">
        <f t="shared" si="0"/>
        <v>Tuesday</v>
      </c>
      <c r="N15" s="160">
        <v>120</v>
      </c>
      <c r="O15" s="140">
        <v>0</v>
      </c>
      <c r="P15" s="161">
        <v>0</v>
      </c>
      <c r="Q15" s="188"/>
      <c r="R15" s="187"/>
      <c r="S15" s="184"/>
      <c r="T15" s="187">
        <v>120</v>
      </c>
      <c r="U15" s="24">
        <f t="shared" si="2"/>
        <v>0</v>
      </c>
      <c r="V15" s="49"/>
    </row>
    <row r="16" spans="1:22" s="37" customFormat="1" ht="18" customHeight="1">
      <c r="A16" s="14" t="s">
        <v>207</v>
      </c>
      <c r="B16" s="162">
        <v>1</v>
      </c>
      <c r="C16" s="16" t="str">
        <f>INDEX(PORT!$B$2:$B$20,MATCH('02'!B16,PORT!$A$2:$A$20))</f>
        <v>PNH01</v>
      </c>
      <c r="D16" s="10" t="str">
        <f>INDEX(PORT!$C$2:$C$20,MATCH('02'!B16,PORT!$A$2:$A$20))</f>
        <v>KTI AIR PORT</v>
      </c>
      <c r="E16" s="152" t="s">
        <v>276</v>
      </c>
      <c r="F16" s="163">
        <v>46063</v>
      </c>
      <c r="G16" s="141" t="s">
        <v>10</v>
      </c>
      <c r="H16" s="140" t="s">
        <v>247</v>
      </c>
      <c r="I16" s="141" t="s">
        <v>248</v>
      </c>
      <c r="J16" s="146" t="s">
        <v>249</v>
      </c>
      <c r="K16" s="164">
        <v>46064</v>
      </c>
      <c r="L16" s="21" t="str">
        <f>VLOOKUP(K16,'[1]Exchange Rate'!$A$3:$C$15,3,FALSE)</f>
        <v>4029</v>
      </c>
      <c r="M16" s="34" t="str">
        <f t="shared" si="0"/>
        <v>Wednesday</v>
      </c>
      <c r="N16" s="140">
        <v>151.91999999999999</v>
      </c>
      <c r="O16" s="150">
        <v>60.5</v>
      </c>
      <c r="P16" s="22">
        <v>50</v>
      </c>
      <c r="Q16" s="184">
        <v>150</v>
      </c>
      <c r="R16" s="184">
        <v>82.42</v>
      </c>
      <c r="S16" s="184">
        <f t="shared" ref="S16:S40" si="3">ROUND(Q16*10%,2)</f>
        <v>15</v>
      </c>
      <c r="T16" s="184">
        <v>95</v>
      </c>
      <c r="U16" s="24">
        <f t="shared" si="2"/>
        <v>65.000000000000057</v>
      </c>
      <c r="V16" s="29"/>
    </row>
    <row r="17" spans="1:22" s="37" customFormat="1" ht="18" customHeight="1">
      <c r="A17" s="14" t="s">
        <v>207</v>
      </c>
      <c r="B17" s="143">
        <v>1</v>
      </c>
      <c r="C17" s="16" t="str">
        <f>INDEX(PORT!$B$2:$B$20,MATCH('02'!B17,PORT!$A$2:$A$20))</f>
        <v>PNH01</v>
      </c>
      <c r="D17" s="10" t="str">
        <f>INDEX(PORT!$C$2:$C$20,MATCH('02'!B17,PORT!$A$2:$A$20))</f>
        <v>KTI AIR PORT</v>
      </c>
      <c r="E17" s="145" t="s">
        <v>277</v>
      </c>
      <c r="F17" s="144">
        <v>46063</v>
      </c>
      <c r="G17" s="155" t="s">
        <v>64</v>
      </c>
      <c r="H17" s="58" t="s">
        <v>250</v>
      </c>
      <c r="I17" s="141" t="s">
        <v>251</v>
      </c>
      <c r="J17" s="145" t="s">
        <v>252</v>
      </c>
      <c r="K17" s="147">
        <v>46064</v>
      </c>
      <c r="L17" s="21" t="str">
        <f>VLOOKUP(K17,'[1]Exchange Rate'!$A$3:$C$15,3,FALSE)</f>
        <v>4029</v>
      </c>
      <c r="M17" s="34" t="str">
        <f t="shared" si="0"/>
        <v>Wednesday</v>
      </c>
      <c r="N17" s="148">
        <v>86.48</v>
      </c>
      <c r="O17" s="150">
        <v>0</v>
      </c>
      <c r="P17" s="22">
        <v>50</v>
      </c>
      <c r="Q17" s="185">
        <v>140</v>
      </c>
      <c r="R17" s="185">
        <v>16.48</v>
      </c>
      <c r="S17" s="182">
        <f t="shared" si="3"/>
        <v>14</v>
      </c>
      <c r="T17" s="185">
        <v>60</v>
      </c>
      <c r="U17" s="24">
        <f t="shared" si="2"/>
        <v>79.999999999999972</v>
      </c>
      <c r="V17" s="31"/>
    </row>
    <row r="18" spans="1:22" s="37" customFormat="1" ht="18" customHeight="1">
      <c r="A18" s="14" t="s">
        <v>207</v>
      </c>
      <c r="B18" s="143">
        <v>21</v>
      </c>
      <c r="C18" s="16" t="str">
        <f>INDEX(PORT!$B$2:$B$20,MATCH('02'!B18,PORT!$A$2:$A$20))</f>
        <v>PNH21</v>
      </c>
      <c r="D18" s="10" t="str">
        <f>INDEX(PORT!$C$2:$C$20,MATCH('02'!B18,PORT!$A$2:$A$20))</f>
        <v>OLAIR DRY PORT</v>
      </c>
      <c r="E18" s="165" t="s">
        <v>278</v>
      </c>
      <c r="F18" s="166">
        <v>46063</v>
      </c>
      <c r="G18" s="165" t="s">
        <v>4</v>
      </c>
      <c r="H18" s="140" t="s">
        <v>253</v>
      </c>
      <c r="I18" s="140" t="s">
        <v>254</v>
      </c>
      <c r="J18" s="167" t="s">
        <v>255</v>
      </c>
      <c r="K18" s="166">
        <v>46064</v>
      </c>
      <c r="L18" s="21" t="str">
        <f>VLOOKUP(K18,'[1]Exchange Rate'!$A$3:$C$15,3,FALSE)</f>
        <v>4029</v>
      </c>
      <c r="M18" s="34" t="str">
        <f t="shared" si="0"/>
        <v>Wednesday</v>
      </c>
      <c r="N18" s="148">
        <v>232.82</v>
      </c>
      <c r="O18" s="150">
        <v>549.17999999999995</v>
      </c>
      <c r="P18" s="22">
        <v>50</v>
      </c>
      <c r="Q18" s="189">
        <v>150</v>
      </c>
      <c r="R18" s="189">
        <v>632</v>
      </c>
      <c r="S18" s="190">
        <f t="shared" si="3"/>
        <v>15</v>
      </c>
      <c r="T18" s="189">
        <v>180</v>
      </c>
      <c r="U18" s="138">
        <f t="shared" si="2"/>
        <v>130</v>
      </c>
      <c r="V18" s="31"/>
    </row>
    <row r="19" spans="1:22" ht="18" customHeight="1">
      <c r="A19" s="14" t="s">
        <v>207</v>
      </c>
      <c r="B19" s="143">
        <v>21</v>
      </c>
      <c r="C19" s="16" t="str">
        <f>INDEX(PORT!$B$2:$B$20,MATCH('02'!B19,PORT!$A$2:$A$20))</f>
        <v>PNH21</v>
      </c>
      <c r="D19" s="10" t="str">
        <f>INDEX(PORT!$C$2:$C$20,MATCH('02'!B19,PORT!$A$2:$A$20))</f>
        <v>OLAIR DRY PORT</v>
      </c>
      <c r="E19" s="168" t="s">
        <v>279</v>
      </c>
      <c r="F19" s="168">
        <v>46063</v>
      </c>
      <c r="G19" s="169" t="s">
        <v>10</v>
      </c>
      <c r="H19" s="140" t="s">
        <v>256</v>
      </c>
      <c r="I19" s="141" t="s">
        <v>257</v>
      </c>
      <c r="J19" s="169" t="s">
        <v>258</v>
      </c>
      <c r="K19" s="170">
        <v>46064</v>
      </c>
      <c r="L19" s="21" t="str">
        <f>VLOOKUP(K19,'[1]Exchange Rate'!$A$3:$C$15,3,FALSE)</f>
        <v>4029</v>
      </c>
      <c r="M19" s="20" t="str">
        <f t="shared" si="0"/>
        <v>Wednesday</v>
      </c>
      <c r="N19" s="148">
        <v>218.88</v>
      </c>
      <c r="O19" s="150">
        <v>647.63</v>
      </c>
      <c r="P19" s="22">
        <v>50</v>
      </c>
      <c r="Q19" s="183">
        <v>150</v>
      </c>
      <c r="R19" s="183">
        <v>746.51</v>
      </c>
      <c r="S19" s="182">
        <f t="shared" si="3"/>
        <v>15</v>
      </c>
      <c r="T19" s="186">
        <v>150</v>
      </c>
      <c r="U19" s="24">
        <f t="shared" si="2"/>
        <v>130</v>
      </c>
      <c r="V19" s="19"/>
    </row>
    <row r="20" spans="1:22" ht="18" customHeight="1">
      <c r="A20" s="14" t="s">
        <v>207</v>
      </c>
      <c r="B20" s="143">
        <v>1</v>
      </c>
      <c r="C20" s="16" t="str">
        <f>INDEX(PORT!$B$2:$B$20,MATCH('02'!B20,PORT!$A$2:$A$20))</f>
        <v>PNH01</v>
      </c>
      <c r="D20" s="10" t="str">
        <f>INDEX(PORT!$C$2:$C$20,MATCH('02'!B20,PORT!$A$2:$A$20))</f>
        <v>KTI AIR PORT</v>
      </c>
      <c r="E20" s="171" t="s">
        <v>280</v>
      </c>
      <c r="F20" s="172">
        <v>46066</v>
      </c>
      <c r="G20" s="155" t="s">
        <v>64</v>
      </c>
      <c r="H20" s="58" t="s">
        <v>259</v>
      </c>
      <c r="I20" s="141" t="s">
        <v>260</v>
      </c>
      <c r="J20" s="173" t="s">
        <v>261</v>
      </c>
      <c r="K20" s="159">
        <v>46069</v>
      </c>
      <c r="L20" s="21" t="str">
        <f>VLOOKUP(K20,'[1]Exchange Rate'!$A$3:$C$15,3,FALSE)</f>
        <v>4023</v>
      </c>
      <c r="M20" s="20" t="str">
        <f t="shared" si="0"/>
        <v>Monday</v>
      </c>
      <c r="N20" s="161">
        <v>135.66999999999999</v>
      </c>
      <c r="O20" s="150">
        <v>0</v>
      </c>
      <c r="P20" s="22">
        <v>50</v>
      </c>
      <c r="Q20" s="186">
        <v>175</v>
      </c>
      <c r="R20" s="186">
        <v>65.67</v>
      </c>
      <c r="S20" s="182">
        <f t="shared" si="3"/>
        <v>17.5</v>
      </c>
      <c r="T20" s="186">
        <v>60</v>
      </c>
      <c r="U20" s="24">
        <f t="shared" si="2"/>
        <v>115.00000000000003</v>
      </c>
      <c r="V20" s="19"/>
    </row>
    <row r="21" spans="1:22" ht="18" customHeight="1">
      <c r="A21" s="14" t="s">
        <v>207</v>
      </c>
      <c r="B21" s="143">
        <v>1</v>
      </c>
      <c r="C21" s="16" t="str">
        <f>INDEX(PORT!$B$2:$B$20,MATCH('02'!B21,PORT!$A$2:$A$20))</f>
        <v>PNH01</v>
      </c>
      <c r="D21" s="10" t="str">
        <f>INDEX(PORT!$C$2:$C$20,MATCH('02'!B21,PORT!$A$2:$A$20))</f>
        <v>KTI AIR PORT</v>
      </c>
      <c r="E21" s="171" t="s">
        <v>281</v>
      </c>
      <c r="F21" s="172">
        <v>46067</v>
      </c>
      <c r="G21" s="155" t="s">
        <v>64</v>
      </c>
      <c r="H21" s="58" t="s">
        <v>262</v>
      </c>
      <c r="I21" s="141" t="s">
        <v>263</v>
      </c>
      <c r="J21" s="173" t="s">
        <v>264</v>
      </c>
      <c r="K21" s="159">
        <v>46069</v>
      </c>
      <c r="L21" s="21" t="str">
        <f>VLOOKUP(K21,'[1]Exchange Rate'!$A$3:$C$15,3,FALSE)</f>
        <v>4023</v>
      </c>
      <c r="M21" s="20" t="str">
        <f t="shared" si="0"/>
        <v>Monday</v>
      </c>
      <c r="N21" s="161">
        <v>330.33</v>
      </c>
      <c r="O21" s="150">
        <v>0</v>
      </c>
      <c r="P21" s="22">
        <v>50</v>
      </c>
      <c r="Q21" s="183">
        <v>210</v>
      </c>
      <c r="R21" s="183">
        <v>260.33</v>
      </c>
      <c r="S21" s="182">
        <f t="shared" si="3"/>
        <v>21</v>
      </c>
      <c r="T21" s="183">
        <v>60</v>
      </c>
      <c r="U21" s="24">
        <f t="shared" si="2"/>
        <v>149.99999999999994</v>
      </c>
      <c r="V21" s="19"/>
    </row>
    <row r="22" spans="1:22" ht="18" customHeight="1">
      <c r="A22" s="14" t="s">
        <v>207</v>
      </c>
      <c r="B22" s="15">
        <v>11</v>
      </c>
      <c r="C22" s="16" t="str">
        <f>INDEX(PORT!$B$2:$B$20,MATCH('02'!B22,PORT!$A$2:$A$20))</f>
        <v>SHV11</v>
      </c>
      <c r="D22" s="10" t="str">
        <f>INDEX(PORT!$C$2:$C$20,MATCH('02'!B22,PORT!$A$2:$A$20))</f>
        <v>SHV PORT</v>
      </c>
      <c r="E22" s="18" t="s">
        <v>283</v>
      </c>
      <c r="F22" s="18">
        <v>46071</v>
      </c>
      <c r="G22" s="19" t="s">
        <v>10</v>
      </c>
      <c r="H22" s="140" t="s">
        <v>289</v>
      </c>
      <c r="I22" s="141" t="s">
        <v>290</v>
      </c>
      <c r="J22" s="169" t="s">
        <v>321</v>
      </c>
      <c r="K22" s="20">
        <v>46072</v>
      </c>
      <c r="L22" s="21" t="str">
        <f>VLOOKUP(K22,'[2]Exchange Rate'!$A$3:$C$23,3,FALSE)</f>
        <v>4022</v>
      </c>
      <c r="M22" s="20" t="str">
        <f t="shared" si="0"/>
        <v>Thursday</v>
      </c>
      <c r="N22" s="26">
        <v>217.45</v>
      </c>
      <c r="O22" s="55">
        <v>488.4</v>
      </c>
      <c r="P22" s="22">
        <v>50</v>
      </c>
      <c r="Q22" s="186">
        <v>150</v>
      </c>
      <c r="R22" s="186">
        <v>512.25</v>
      </c>
      <c r="S22" s="182">
        <f t="shared" si="3"/>
        <v>15</v>
      </c>
      <c r="T22" s="186">
        <v>177.54</v>
      </c>
      <c r="U22" s="24">
        <f t="shared" si="2"/>
        <v>83.940000000000055</v>
      </c>
      <c r="V22" s="19"/>
    </row>
    <row r="23" spans="1:22" ht="18" customHeight="1">
      <c r="A23" s="14" t="s">
        <v>207</v>
      </c>
      <c r="B23" s="15">
        <v>11</v>
      </c>
      <c r="C23" s="16" t="str">
        <f>INDEX(PORT!$B$2:$B$20,MATCH('02'!B23,PORT!$A$2:$A$20))</f>
        <v>SHV11</v>
      </c>
      <c r="D23" s="10" t="str">
        <f>INDEX(PORT!$C$2:$C$20,MATCH('02'!B23,PORT!$A$2:$A$20))</f>
        <v>SHV PORT</v>
      </c>
      <c r="E23" s="18" t="s">
        <v>345</v>
      </c>
      <c r="F23" s="18">
        <v>46071</v>
      </c>
      <c r="G23" s="19" t="s">
        <v>10</v>
      </c>
      <c r="H23" s="140" t="s">
        <v>291</v>
      </c>
      <c r="I23" s="141" t="s">
        <v>292</v>
      </c>
      <c r="J23" s="25" t="s">
        <v>322</v>
      </c>
      <c r="K23" s="20">
        <v>46072</v>
      </c>
      <c r="L23" s="21" t="str">
        <f>VLOOKUP(K23,'[2]Exchange Rate'!$A$3:$C$23,3,FALSE)</f>
        <v>4022</v>
      </c>
      <c r="M23" s="20" t="str">
        <f t="shared" si="0"/>
        <v>Thursday</v>
      </c>
      <c r="N23" s="26">
        <v>158.57</v>
      </c>
      <c r="O23" s="55">
        <v>321.41000000000003</v>
      </c>
      <c r="P23" s="22">
        <v>50</v>
      </c>
      <c r="Q23" s="186">
        <v>150</v>
      </c>
      <c r="R23" s="186">
        <v>338.53</v>
      </c>
      <c r="S23" s="182">
        <f t="shared" si="3"/>
        <v>15</v>
      </c>
      <c r="T23" s="186">
        <v>97.9</v>
      </c>
      <c r="U23" s="24">
        <f t="shared" si="2"/>
        <v>56.449999999999932</v>
      </c>
      <c r="V23" s="19"/>
    </row>
    <row r="24" spans="1:22" ht="18" customHeight="1">
      <c r="A24" s="14" t="s">
        <v>207</v>
      </c>
      <c r="B24" s="15">
        <v>23</v>
      </c>
      <c r="C24" s="16" t="str">
        <f>INDEX(PORT!$B$2:$B$20,MATCH('02'!B24,PORT!$A$2:$A$20))</f>
        <v>PNH23</v>
      </c>
      <c r="D24" s="10" t="str">
        <f>INDEX(PORT!$C$2:$C$20,MATCH('02'!B24,PORT!$A$2:$A$20))</f>
        <v>UNION DRY PORT</v>
      </c>
      <c r="E24" s="18" t="s">
        <v>286</v>
      </c>
      <c r="F24" s="18">
        <v>46071</v>
      </c>
      <c r="G24" s="19" t="s">
        <v>64</v>
      </c>
      <c r="H24" s="58" t="s">
        <v>293</v>
      </c>
      <c r="I24" s="141" t="s">
        <v>294</v>
      </c>
      <c r="J24" s="173" t="s">
        <v>323</v>
      </c>
      <c r="K24" s="20">
        <v>46072</v>
      </c>
      <c r="L24" s="21" t="str">
        <f>VLOOKUP(K24,'[2]Exchange Rate'!$A$3:$C$23,3,FALSE)</f>
        <v>4022</v>
      </c>
      <c r="M24" s="20" t="str">
        <f t="shared" si="0"/>
        <v>Thursday</v>
      </c>
      <c r="N24" s="26">
        <v>329.75</v>
      </c>
      <c r="O24" s="55">
        <v>546.26</v>
      </c>
      <c r="P24" s="22">
        <v>50</v>
      </c>
      <c r="Q24" s="186">
        <v>150</v>
      </c>
      <c r="R24" s="186">
        <v>651.01</v>
      </c>
      <c r="S24" s="182">
        <f t="shared" si="3"/>
        <v>15</v>
      </c>
      <c r="T24" s="186">
        <v>295</v>
      </c>
      <c r="U24" s="24">
        <f t="shared" si="2"/>
        <v>170</v>
      </c>
      <c r="V24" s="19"/>
    </row>
    <row r="25" spans="1:22" ht="18" customHeight="1">
      <c r="A25" s="14" t="s">
        <v>207</v>
      </c>
      <c r="B25" s="15">
        <v>11</v>
      </c>
      <c r="C25" s="16" t="str">
        <f>INDEX(PORT!$B$2:$B$20,MATCH('02'!B25,PORT!$A$2:$A$20))</f>
        <v>SHV11</v>
      </c>
      <c r="D25" s="10" t="str">
        <f>INDEX(PORT!$C$2:$C$20,MATCH('02'!B25,PORT!$A$2:$A$20))</f>
        <v>SHV PORT</v>
      </c>
      <c r="E25" s="18" t="s">
        <v>342</v>
      </c>
      <c r="F25" s="18">
        <v>46071</v>
      </c>
      <c r="G25" s="19" t="s">
        <v>4</v>
      </c>
      <c r="H25" s="140" t="s">
        <v>295</v>
      </c>
      <c r="I25" s="141" t="s">
        <v>296</v>
      </c>
      <c r="J25" s="142" t="s">
        <v>324</v>
      </c>
      <c r="K25" s="20">
        <v>46072</v>
      </c>
      <c r="L25" s="21" t="str">
        <f>VLOOKUP(K25,'[2]Exchange Rate'!$A$3:$C$23,3,FALSE)</f>
        <v>4022</v>
      </c>
      <c r="M25" s="20" t="str">
        <f t="shared" si="0"/>
        <v>Thursday</v>
      </c>
      <c r="N25" s="26">
        <v>230.25</v>
      </c>
      <c r="O25" s="26">
        <v>553.08000000000004</v>
      </c>
      <c r="P25" s="22">
        <v>50</v>
      </c>
      <c r="Q25" s="185">
        <v>150</v>
      </c>
      <c r="R25" s="185">
        <v>573.55999999999995</v>
      </c>
      <c r="S25" s="182">
        <f t="shared" si="3"/>
        <v>15</v>
      </c>
      <c r="T25" s="185">
        <v>241.05</v>
      </c>
      <c r="U25" s="24">
        <f t="shared" si="2"/>
        <v>131.27999999999986</v>
      </c>
      <c r="V25" s="31"/>
    </row>
    <row r="26" spans="1:22" ht="18" customHeight="1">
      <c r="A26" s="14" t="s">
        <v>207</v>
      </c>
      <c r="B26" s="15">
        <v>1</v>
      </c>
      <c r="C26" s="16" t="str">
        <f>INDEX(PORT!$B$2:$B$20,MATCH('02'!B26,PORT!$A$2:$A$20))</f>
        <v>PNH01</v>
      </c>
      <c r="D26" s="10" t="str">
        <f>INDEX(PORT!$C$2:$C$20,MATCH('02'!B26,PORT!$A$2:$A$20))</f>
        <v>KTI AIR PORT</v>
      </c>
      <c r="E26" s="18" t="s">
        <v>347</v>
      </c>
      <c r="F26" s="18">
        <v>46072</v>
      </c>
      <c r="G26" s="19" t="s">
        <v>64</v>
      </c>
      <c r="H26" s="58" t="s">
        <v>297</v>
      </c>
      <c r="I26" s="141" t="s">
        <v>298</v>
      </c>
      <c r="J26" s="173" t="s">
        <v>325</v>
      </c>
      <c r="K26" s="20">
        <v>46073</v>
      </c>
      <c r="L26" s="21" t="str">
        <f>VLOOKUP(K26,'[2]Exchange Rate'!$A$3:$C$23,3,FALSE)</f>
        <v>4021</v>
      </c>
      <c r="M26" s="20" t="str">
        <f t="shared" si="0"/>
        <v>Friday</v>
      </c>
      <c r="N26" s="26">
        <v>151.41999999999999</v>
      </c>
      <c r="O26" s="26">
        <v>0</v>
      </c>
      <c r="P26" s="22">
        <v>50</v>
      </c>
      <c r="Q26" s="186">
        <v>175</v>
      </c>
      <c r="R26" s="186">
        <v>81.42</v>
      </c>
      <c r="S26" s="182">
        <f t="shared" si="3"/>
        <v>17.5</v>
      </c>
      <c r="T26" s="186">
        <v>60</v>
      </c>
      <c r="U26" s="24">
        <f t="shared" si="2"/>
        <v>115.00000000000003</v>
      </c>
      <c r="V26" s="31"/>
    </row>
    <row r="27" spans="1:22" ht="18" customHeight="1">
      <c r="A27" s="14" t="s">
        <v>207</v>
      </c>
      <c r="B27" s="15">
        <v>11</v>
      </c>
      <c r="C27" s="16" t="str">
        <f>INDEX(PORT!$B$2:$B$20,MATCH('02'!B27,PORT!$A$2:$A$20))</f>
        <v>SHV11</v>
      </c>
      <c r="D27" s="10" t="str">
        <f>INDEX(PORT!$C$2:$C$20,MATCH('02'!B27,PORT!$A$2:$A$20))</f>
        <v>SHV PORT</v>
      </c>
      <c r="E27" s="18" t="s">
        <v>339</v>
      </c>
      <c r="F27" s="18">
        <v>46073</v>
      </c>
      <c r="G27" s="19" t="s">
        <v>64</v>
      </c>
      <c r="H27" s="58" t="s">
        <v>299</v>
      </c>
      <c r="I27" s="141" t="s">
        <v>300</v>
      </c>
      <c r="J27" s="173" t="s">
        <v>326</v>
      </c>
      <c r="K27" s="20">
        <v>46076</v>
      </c>
      <c r="L27" s="21" t="str">
        <f>VLOOKUP(K27,'[2]Exchange Rate'!$A$3:$C$23,3,FALSE)</f>
        <v>4017</v>
      </c>
      <c r="M27" s="20" t="str">
        <f t="shared" si="0"/>
        <v>Monday</v>
      </c>
      <c r="N27" s="26">
        <v>417.7</v>
      </c>
      <c r="O27" s="55">
        <v>0</v>
      </c>
      <c r="P27" s="22">
        <v>50</v>
      </c>
      <c r="Q27" s="186">
        <v>245</v>
      </c>
      <c r="R27" s="186">
        <v>87.7</v>
      </c>
      <c r="S27" s="182">
        <f t="shared" si="3"/>
        <v>24.5</v>
      </c>
      <c r="T27" s="186">
        <v>362.5</v>
      </c>
      <c r="U27" s="24">
        <f t="shared" si="2"/>
        <v>227.50000000000006</v>
      </c>
      <c r="V27" s="19"/>
    </row>
    <row r="28" spans="1:22" ht="18" customHeight="1">
      <c r="A28" s="14" t="s">
        <v>207</v>
      </c>
      <c r="B28" s="15">
        <v>11</v>
      </c>
      <c r="C28" s="16" t="str">
        <f>INDEX(PORT!$B$2:$B$20,MATCH('02'!B28,PORT!$A$2:$A$20))</f>
        <v>SHV11</v>
      </c>
      <c r="D28" s="10" t="str">
        <f>INDEX(PORT!$C$2:$C$20,MATCH('02'!B28,PORT!$A$2:$A$20))</f>
        <v>SHV PORT</v>
      </c>
      <c r="E28" s="18" t="s">
        <v>340</v>
      </c>
      <c r="F28" s="18">
        <v>46073</v>
      </c>
      <c r="G28" s="19" t="s">
        <v>64</v>
      </c>
      <c r="H28" s="58" t="s">
        <v>341</v>
      </c>
      <c r="I28" s="141"/>
      <c r="J28" s="173"/>
      <c r="K28" s="20"/>
      <c r="L28" s="21"/>
      <c r="M28" s="20"/>
      <c r="N28" s="26"/>
      <c r="O28" s="55"/>
      <c r="P28" s="22"/>
      <c r="Q28" s="186"/>
      <c r="R28" s="186"/>
      <c r="S28" s="182">
        <f t="shared" si="3"/>
        <v>0</v>
      </c>
      <c r="T28" s="186"/>
      <c r="U28" s="24">
        <f t="shared" si="2"/>
        <v>0</v>
      </c>
      <c r="V28" s="19"/>
    </row>
    <row r="29" spans="1:22" ht="18" customHeight="1">
      <c r="A29" s="14" t="s">
        <v>207</v>
      </c>
      <c r="B29" s="15">
        <v>11</v>
      </c>
      <c r="C29" s="16" t="str">
        <f>INDEX(PORT!$B$2:$B$20,MATCH('02'!B29,PORT!$A$2:$A$20))</f>
        <v>SHV11</v>
      </c>
      <c r="D29" s="10" t="str">
        <f>INDEX(PORT!$C$2:$C$20,MATCH('02'!B29,PORT!$A$2:$A$20))</f>
        <v>SHV PORT</v>
      </c>
      <c r="E29" s="18" t="s">
        <v>343</v>
      </c>
      <c r="F29" s="18">
        <v>46073</v>
      </c>
      <c r="G29" s="19" t="s">
        <v>41</v>
      </c>
      <c r="H29" s="140" t="s">
        <v>301</v>
      </c>
      <c r="I29" s="141" t="s">
        <v>302</v>
      </c>
      <c r="J29" s="25" t="s">
        <v>327</v>
      </c>
      <c r="K29" s="20">
        <v>46076</v>
      </c>
      <c r="L29" s="21" t="str">
        <f>VLOOKUP(K29,'[2]Exchange Rate'!$A$3:$C$23,3,FALSE)</f>
        <v>4017</v>
      </c>
      <c r="M29" s="20" t="str">
        <f t="shared" ref="M29:M37" si="4">TEXT(K29,"dddd")</f>
        <v>Monday</v>
      </c>
      <c r="N29" s="26">
        <v>444.75</v>
      </c>
      <c r="O29" s="26">
        <v>0</v>
      </c>
      <c r="P29" s="22">
        <v>5</v>
      </c>
      <c r="Q29" s="185">
        <v>215</v>
      </c>
      <c r="R29" s="185">
        <v>64.75</v>
      </c>
      <c r="S29" s="182">
        <f t="shared" si="3"/>
        <v>21.5</v>
      </c>
      <c r="T29" s="185">
        <v>529</v>
      </c>
      <c r="U29" s="24">
        <f t="shared" si="2"/>
        <v>359</v>
      </c>
      <c r="V29" s="31"/>
    </row>
    <row r="30" spans="1:22" ht="18" customHeight="1">
      <c r="A30" s="14" t="s">
        <v>207</v>
      </c>
      <c r="B30" s="15">
        <v>11</v>
      </c>
      <c r="C30" s="16" t="str">
        <f>INDEX(PORT!$B$2:$B$20,MATCH('02'!B30,PORT!$A$2:$A$20))</f>
        <v>SHV11</v>
      </c>
      <c r="D30" s="10" t="str">
        <f>INDEX(PORT!$C$2:$C$20,MATCH('02'!B30,PORT!$A$2:$A$20))</f>
        <v>SHV PORT</v>
      </c>
      <c r="E30" s="17" t="s">
        <v>344</v>
      </c>
      <c r="F30" s="18">
        <v>46073</v>
      </c>
      <c r="G30" s="19" t="s">
        <v>41</v>
      </c>
      <c r="H30" s="140" t="s">
        <v>303</v>
      </c>
      <c r="I30" s="141" t="s">
        <v>304</v>
      </c>
      <c r="J30" s="25" t="s">
        <v>328</v>
      </c>
      <c r="K30" s="20">
        <v>46076</v>
      </c>
      <c r="L30" s="21" t="str">
        <f>VLOOKUP(K30,'[2]Exchange Rate'!$A$3:$C$23,3,FALSE)</f>
        <v>4017</v>
      </c>
      <c r="M30" s="20" t="str">
        <f t="shared" si="4"/>
        <v>Monday</v>
      </c>
      <c r="N30" s="22">
        <v>589.45000000000005</v>
      </c>
      <c r="O30" s="55">
        <v>691.5</v>
      </c>
      <c r="P30" s="22">
        <v>5</v>
      </c>
      <c r="Q30" s="182">
        <v>200</v>
      </c>
      <c r="R30" s="182">
        <v>805.95</v>
      </c>
      <c r="S30" s="182">
        <f t="shared" si="3"/>
        <v>20</v>
      </c>
      <c r="T30" s="182">
        <v>760</v>
      </c>
      <c r="U30" s="24">
        <f t="shared" si="2"/>
        <v>480</v>
      </c>
      <c r="V30" s="17"/>
    </row>
    <row r="31" spans="1:22" ht="18" customHeight="1">
      <c r="A31" s="14" t="s">
        <v>207</v>
      </c>
      <c r="B31" s="15">
        <v>1</v>
      </c>
      <c r="C31" s="16" t="str">
        <f>INDEX(PORT!$B$2:$B$20,MATCH('02'!B31,PORT!$A$2:$A$20))</f>
        <v>PNH01</v>
      </c>
      <c r="D31" s="10" t="str">
        <f>INDEX(PORT!$C$2:$C$20,MATCH('02'!B31,PORT!$A$2:$A$20))</f>
        <v>KTI AIR PORT</v>
      </c>
      <c r="E31" s="18" t="s">
        <v>284</v>
      </c>
      <c r="F31" s="18">
        <v>46076</v>
      </c>
      <c r="G31" s="19" t="s">
        <v>64</v>
      </c>
      <c r="H31" s="58" t="s">
        <v>305</v>
      </c>
      <c r="I31" s="141" t="s">
        <v>306</v>
      </c>
      <c r="J31" s="173" t="s">
        <v>330</v>
      </c>
      <c r="K31" s="20">
        <v>46077</v>
      </c>
      <c r="L31" s="21" t="str">
        <f>VLOOKUP(K31,'[2]Exchange Rate'!$A$3:$C$23,3,FALSE)</f>
        <v>4017</v>
      </c>
      <c r="M31" s="20" t="str">
        <f t="shared" si="4"/>
        <v>Tuesday</v>
      </c>
      <c r="N31" s="26">
        <v>126.08</v>
      </c>
      <c r="O31" s="26">
        <v>0</v>
      </c>
      <c r="P31" s="22">
        <v>50</v>
      </c>
      <c r="Q31" s="186">
        <v>150</v>
      </c>
      <c r="R31" s="186">
        <v>56.08</v>
      </c>
      <c r="S31" s="182">
        <f t="shared" si="3"/>
        <v>15</v>
      </c>
      <c r="T31" s="186">
        <v>60</v>
      </c>
      <c r="U31" s="24">
        <f t="shared" si="2"/>
        <v>90</v>
      </c>
      <c r="V31" s="19"/>
    </row>
    <row r="32" spans="1:22" ht="18" customHeight="1">
      <c r="A32" s="14" t="s">
        <v>207</v>
      </c>
      <c r="B32" s="15">
        <v>1</v>
      </c>
      <c r="C32" s="16" t="str">
        <f>INDEX(PORT!$B$2:$B$20,MATCH('02'!B32,PORT!$A$2:$A$20))</f>
        <v>PNH01</v>
      </c>
      <c r="D32" s="10" t="str">
        <f>INDEX(PORT!$C$2:$C$20,MATCH('02'!B32,PORT!$A$2:$A$20))</f>
        <v>KTI AIR PORT</v>
      </c>
      <c r="E32" s="18" t="s">
        <v>348</v>
      </c>
      <c r="F32" s="18">
        <v>46076</v>
      </c>
      <c r="G32" s="19" t="s">
        <v>64</v>
      </c>
      <c r="H32" s="58" t="s">
        <v>307</v>
      </c>
      <c r="I32" s="141" t="s">
        <v>308</v>
      </c>
      <c r="J32" s="173" t="s">
        <v>331</v>
      </c>
      <c r="K32" s="20">
        <v>46077</v>
      </c>
      <c r="L32" s="21" t="str">
        <f>VLOOKUP(K32,'[2]Exchange Rate'!$A$3:$C$23,3,FALSE)</f>
        <v>4017</v>
      </c>
      <c r="M32" s="20" t="str">
        <f t="shared" si="4"/>
        <v>Tuesday</v>
      </c>
      <c r="N32" s="26">
        <v>167</v>
      </c>
      <c r="O32" s="26">
        <v>0</v>
      </c>
      <c r="P32" s="22">
        <v>50</v>
      </c>
      <c r="Q32" s="186">
        <v>175</v>
      </c>
      <c r="R32" s="186">
        <v>97</v>
      </c>
      <c r="S32" s="182">
        <f t="shared" si="3"/>
        <v>17.5</v>
      </c>
      <c r="T32" s="186">
        <v>60</v>
      </c>
      <c r="U32" s="24">
        <f t="shared" si="2"/>
        <v>115</v>
      </c>
      <c r="V32" s="19"/>
    </row>
    <row r="33" spans="1:22" ht="18" customHeight="1">
      <c r="A33" s="14" t="s">
        <v>207</v>
      </c>
      <c r="B33" s="15">
        <v>11</v>
      </c>
      <c r="C33" s="16" t="str">
        <f>INDEX(PORT!$B$2:$B$20,MATCH('02'!B33,PORT!$A$2:$A$20))</f>
        <v>SHV11</v>
      </c>
      <c r="D33" s="10" t="str">
        <f>INDEX(PORT!$C$2:$C$20,MATCH('02'!B33,PORT!$A$2:$A$20))</f>
        <v>SHV PORT</v>
      </c>
      <c r="E33" s="18" t="s">
        <v>346</v>
      </c>
      <c r="F33" s="18">
        <v>46081</v>
      </c>
      <c r="G33" s="19" t="s">
        <v>10</v>
      </c>
      <c r="H33" s="140" t="s">
        <v>317</v>
      </c>
      <c r="I33" s="141" t="s">
        <v>318</v>
      </c>
      <c r="J33" s="178" t="s">
        <v>333</v>
      </c>
      <c r="K33" s="20">
        <v>46081</v>
      </c>
      <c r="L33" s="21">
        <f>VLOOKUP(K33,'[2]Exchange Rate'!$A$3:$C$23,3,FALSE)</f>
        <v>4010</v>
      </c>
      <c r="M33" s="20" t="str">
        <f t="shared" si="4"/>
        <v>Saturday</v>
      </c>
      <c r="N33" s="26">
        <v>179.23</v>
      </c>
      <c r="O33" s="55">
        <v>335.72</v>
      </c>
      <c r="P33" s="22">
        <v>50</v>
      </c>
      <c r="Q33" s="186">
        <v>150</v>
      </c>
      <c r="R33" s="186">
        <v>354.52</v>
      </c>
      <c r="S33" s="182">
        <f t="shared" si="3"/>
        <v>15</v>
      </c>
      <c r="T33" s="186">
        <v>116.95</v>
      </c>
      <c r="U33" s="24">
        <f t="shared" si="2"/>
        <v>56.519999999999982</v>
      </c>
      <c r="V33" s="19"/>
    </row>
    <row r="34" spans="1:22" ht="18" customHeight="1">
      <c r="A34" s="14" t="s">
        <v>207</v>
      </c>
      <c r="B34" s="15">
        <v>4</v>
      </c>
      <c r="C34" s="16" t="str">
        <f>INDEX(PORT!$B$2:$B$20,MATCH('02'!B34,PORT!$A$2:$A$20))</f>
        <v>PNH04</v>
      </c>
      <c r="D34" s="10" t="str">
        <f>INDEX(PORT!$C$2:$C$20,MATCH('02'!B34,PORT!$A$2:$A$20))</f>
        <v>PNH PORT</v>
      </c>
      <c r="E34" s="18" t="s">
        <v>282</v>
      </c>
      <c r="F34" s="18">
        <v>46080</v>
      </c>
      <c r="G34" s="19" t="s">
        <v>10</v>
      </c>
      <c r="H34" s="174" t="s">
        <v>352</v>
      </c>
      <c r="I34" s="177" t="s">
        <v>353</v>
      </c>
      <c r="J34" s="178" t="s">
        <v>334</v>
      </c>
      <c r="K34" s="20">
        <v>46081</v>
      </c>
      <c r="L34" s="21">
        <f>VLOOKUP(K34,'[2]Exchange Rate'!$A$3:$C$23,3,FALSE)</f>
        <v>4010</v>
      </c>
      <c r="M34" s="20" t="str">
        <f t="shared" si="4"/>
        <v>Saturday</v>
      </c>
      <c r="N34" s="26">
        <v>359.85</v>
      </c>
      <c r="O34" s="55">
        <v>0</v>
      </c>
      <c r="P34" s="22">
        <v>50</v>
      </c>
      <c r="Q34" s="186">
        <v>215</v>
      </c>
      <c r="R34" s="186">
        <v>94.85</v>
      </c>
      <c r="S34" s="182">
        <f t="shared" si="3"/>
        <v>21.5</v>
      </c>
      <c r="T34" s="186">
        <v>255</v>
      </c>
      <c r="U34" s="24">
        <f t="shared" si="2"/>
        <v>155</v>
      </c>
      <c r="V34" s="19"/>
    </row>
    <row r="35" spans="1:22" ht="18" customHeight="1">
      <c r="A35" s="14" t="s">
        <v>207</v>
      </c>
      <c r="B35" s="15">
        <v>4</v>
      </c>
      <c r="C35" s="16" t="str">
        <f>INDEX(PORT!$B$2:$B$20,MATCH('02'!B35,PORT!$A$2:$A$20))</f>
        <v>PNH04</v>
      </c>
      <c r="D35" s="10" t="str">
        <f>INDEX(PORT!$C$2:$C$20,MATCH('02'!B35,PORT!$A$2:$A$20))</f>
        <v>PNH PORT</v>
      </c>
      <c r="E35" s="19" t="s">
        <v>287</v>
      </c>
      <c r="F35" s="18">
        <v>46080</v>
      </c>
      <c r="G35" s="19" t="s">
        <v>4</v>
      </c>
      <c r="H35" s="140" t="s">
        <v>313</v>
      </c>
      <c r="I35" s="141" t="s">
        <v>314</v>
      </c>
      <c r="J35" s="142" t="s">
        <v>335</v>
      </c>
      <c r="K35" s="20">
        <v>46081</v>
      </c>
      <c r="L35" s="21">
        <f>VLOOKUP(K35,'[2]Exchange Rate'!$A$3:$C$23,3,FALSE)</f>
        <v>4010</v>
      </c>
      <c r="M35" s="20" t="str">
        <f t="shared" si="4"/>
        <v>Saturday</v>
      </c>
      <c r="N35" s="26">
        <v>930.26</v>
      </c>
      <c r="O35" s="55">
        <v>0</v>
      </c>
      <c r="P35" s="22">
        <v>50</v>
      </c>
      <c r="Q35" s="183">
        <v>490</v>
      </c>
      <c r="R35" s="183">
        <v>260.26</v>
      </c>
      <c r="S35" s="182">
        <f t="shared" si="3"/>
        <v>49</v>
      </c>
      <c r="T35" s="183">
        <v>739</v>
      </c>
      <c r="U35" s="24">
        <f t="shared" si="2"/>
        <v>509</v>
      </c>
      <c r="V35" s="19"/>
    </row>
    <row r="36" spans="1:22" s="139" customFormat="1" ht="18" customHeight="1">
      <c r="A36" s="14" t="s">
        <v>207</v>
      </c>
      <c r="B36" s="15">
        <v>4</v>
      </c>
      <c r="C36" s="16" t="str">
        <f>INDEX(PORT!$B$2:$B$20,MATCH('02'!B36,PORT!$A$2:$A$20))</f>
        <v>PNH04</v>
      </c>
      <c r="D36" s="10" t="str">
        <f>INDEX(PORT!$C$2:$C$20,MATCH('02'!B36,PORT!$A$2:$A$20))</f>
        <v>PNH PORT</v>
      </c>
      <c r="E36" s="19" t="s">
        <v>288</v>
      </c>
      <c r="F36" s="18">
        <v>46080</v>
      </c>
      <c r="G36" s="19" t="s">
        <v>41</v>
      </c>
      <c r="H36" s="140" t="s">
        <v>315</v>
      </c>
      <c r="I36" s="141" t="s">
        <v>316</v>
      </c>
      <c r="J36" s="25" t="s">
        <v>329</v>
      </c>
      <c r="K36" s="20">
        <v>46081</v>
      </c>
      <c r="L36" s="21">
        <f>VLOOKUP(K36,'[2]Exchange Rate'!$A$3:$C$23,3,FALSE)</f>
        <v>4010</v>
      </c>
      <c r="M36" s="20" t="str">
        <f t="shared" si="4"/>
        <v>Saturday</v>
      </c>
      <c r="N36" s="26">
        <v>480.75</v>
      </c>
      <c r="O36" s="55">
        <v>0</v>
      </c>
      <c r="P36" s="22">
        <v>5</v>
      </c>
      <c r="Q36" s="183">
        <v>242</v>
      </c>
      <c r="R36" s="183">
        <v>135.75</v>
      </c>
      <c r="S36" s="182">
        <f t="shared" si="3"/>
        <v>24.2</v>
      </c>
      <c r="T36" s="183">
        <v>449</v>
      </c>
      <c r="U36" s="24">
        <f t="shared" si="2"/>
        <v>341</v>
      </c>
      <c r="V36" s="19"/>
    </row>
    <row r="37" spans="1:22" s="12" customFormat="1" ht="18" customHeight="1">
      <c r="A37" s="14" t="s">
        <v>207</v>
      </c>
      <c r="B37" s="15">
        <v>11</v>
      </c>
      <c r="C37" s="16" t="str">
        <f>INDEX(PORT!$B$2:$B$20,MATCH('02'!B37,PORT!$A$2:$A$20))</f>
        <v>SHV11</v>
      </c>
      <c r="D37" s="10" t="str">
        <f>INDEX(PORT!$C$2:$C$20,MATCH('02'!B37,PORT!$A$2:$A$20))</f>
        <v>SHV PORT</v>
      </c>
      <c r="E37" s="16" t="s">
        <v>337</v>
      </c>
      <c r="F37" s="54">
        <v>46081</v>
      </c>
      <c r="G37" s="19" t="s">
        <v>4</v>
      </c>
      <c r="H37" s="140" t="s">
        <v>319</v>
      </c>
      <c r="I37" s="141" t="s">
        <v>320</v>
      </c>
      <c r="J37" s="142" t="s">
        <v>336</v>
      </c>
      <c r="K37" s="20">
        <v>46081</v>
      </c>
      <c r="L37" s="21">
        <f>VLOOKUP(K37,'[2]Exchange Rate'!$A$3:$C$23,3,FALSE)</f>
        <v>4010</v>
      </c>
      <c r="M37" s="20" t="str">
        <f t="shared" si="4"/>
        <v>Saturday</v>
      </c>
      <c r="N37" s="55">
        <v>246.18</v>
      </c>
      <c r="O37" s="55">
        <v>295.24</v>
      </c>
      <c r="P37" s="22">
        <v>50</v>
      </c>
      <c r="Q37" s="191">
        <v>150</v>
      </c>
      <c r="R37" s="191">
        <v>326.11</v>
      </c>
      <c r="S37" s="182">
        <f t="shared" si="3"/>
        <v>15</v>
      </c>
      <c r="T37" s="192">
        <v>210.15</v>
      </c>
      <c r="U37" s="24">
        <f t="shared" si="2"/>
        <v>94.839999999999918</v>
      </c>
      <c r="V37" s="58"/>
    </row>
    <row r="38" spans="1:22" s="12" customFormat="1" ht="18" customHeight="1">
      <c r="A38" s="14" t="s">
        <v>207</v>
      </c>
      <c r="B38" s="15">
        <v>11</v>
      </c>
      <c r="C38" s="16" t="str">
        <f>INDEX(PORT!$B$2:$B$20,MATCH('02'!B38,PORT!$A$2:$A$20))</f>
        <v>SHV11</v>
      </c>
      <c r="D38" s="10" t="str">
        <f>INDEX(PORT!$C$2:$C$20,MATCH('02'!B38,PORT!$A$2:$A$20))</f>
        <v>SHV PORT</v>
      </c>
      <c r="E38" s="16" t="s">
        <v>338</v>
      </c>
      <c r="F38" s="54">
        <v>46081</v>
      </c>
      <c r="G38" s="19" t="s">
        <v>4</v>
      </c>
      <c r="H38" s="140" t="s">
        <v>341</v>
      </c>
      <c r="I38" s="141"/>
      <c r="J38" s="142"/>
      <c r="K38" s="20"/>
      <c r="L38" s="21"/>
      <c r="M38" s="20"/>
      <c r="N38" s="55"/>
      <c r="O38" s="55"/>
      <c r="P38" s="22"/>
      <c r="Q38" s="191"/>
      <c r="R38" s="191"/>
      <c r="S38" s="182">
        <f t="shared" si="3"/>
        <v>0</v>
      </c>
      <c r="T38" s="192"/>
      <c r="U38" s="24">
        <f t="shared" si="2"/>
        <v>0</v>
      </c>
      <c r="V38" s="58"/>
    </row>
    <row r="39" spans="1:22" s="12" customFormat="1" ht="18" customHeight="1">
      <c r="A39" s="14" t="s">
        <v>207</v>
      </c>
      <c r="B39" s="59">
        <v>11</v>
      </c>
      <c r="C39" s="16" t="s">
        <v>23</v>
      </c>
      <c r="D39" s="10" t="s">
        <v>24</v>
      </c>
      <c r="E39" s="60" t="s">
        <v>350</v>
      </c>
      <c r="F39" s="54">
        <v>46078</v>
      </c>
      <c r="G39" s="19" t="s">
        <v>351</v>
      </c>
      <c r="H39" s="175" t="s">
        <v>309</v>
      </c>
      <c r="I39" s="176" t="s">
        <v>310</v>
      </c>
      <c r="J39" s="178" t="s">
        <v>332</v>
      </c>
      <c r="K39" s="20">
        <v>46079</v>
      </c>
      <c r="L39" s="21" t="s">
        <v>355</v>
      </c>
      <c r="M39" s="20" t="str">
        <f>TEXT(K39,"dddd")</f>
        <v>Thursday</v>
      </c>
      <c r="N39" s="26">
        <v>163.75</v>
      </c>
      <c r="O39" s="55"/>
      <c r="P39" s="22">
        <v>50</v>
      </c>
      <c r="Q39" s="191">
        <v>150</v>
      </c>
      <c r="R39" s="191">
        <v>314.75</v>
      </c>
      <c r="S39" s="182">
        <f t="shared" si="3"/>
        <v>15</v>
      </c>
      <c r="T39" s="192">
        <v>100</v>
      </c>
      <c r="U39" s="24">
        <f t="shared" si="2"/>
        <v>351</v>
      </c>
      <c r="V39" s="58"/>
    </row>
    <row r="40" spans="1:22" ht="18" customHeight="1">
      <c r="A40" s="14" t="s">
        <v>207</v>
      </c>
      <c r="B40" s="15">
        <v>1</v>
      </c>
      <c r="C40" s="16" t="str">
        <f>INDEX(PORT!$B$2:$B$20,MATCH('02'!B40,PORT!$A$2:$A$20))</f>
        <v>PNH01</v>
      </c>
      <c r="D40" s="10" t="str">
        <f>INDEX(PORT!$C$2:$C$20,MATCH('02'!B40,PORT!$A$2:$A$20))</f>
        <v>KTI AIR PORT</v>
      </c>
      <c r="E40" s="18" t="s">
        <v>285</v>
      </c>
      <c r="F40" s="18">
        <v>46079</v>
      </c>
      <c r="G40" s="19" t="s">
        <v>64</v>
      </c>
      <c r="H40" s="174" t="s">
        <v>311</v>
      </c>
      <c r="I40" s="177" t="s">
        <v>312</v>
      </c>
      <c r="J40" s="179" t="s">
        <v>354</v>
      </c>
      <c r="K40" s="20">
        <v>46081</v>
      </c>
      <c r="L40" s="21">
        <f>VLOOKUP(K40,'[2]Exchange Rate'!$A$3:$C$23,3,FALSE)</f>
        <v>4010</v>
      </c>
      <c r="M40" s="20" t="str">
        <f>TEXT(K40,"dddd")</f>
        <v>Saturday</v>
      </c>
      <c r="N40" s="26">
        <v>181.78</v>
      </c>
      <c r="O40" s="26">
        <v>0</v>
      </c>
      <c r="P40" s="22">
        <v>50</v>
      </c>
      <c r="Q40" s="185">
        <v>210</v>
      </c>
      <c r="R40" s="185">
        <v>111.78</v>
      </c>
      <c r="S40" s="182">
        <f t="shared" si="3"/>
        <v>21</v>
      </c>
      <c r="T40" s="185">
        <v>180</v>
      </c>
      <c r="U40" s="24">
        <f t="shared" si="2"/>
        <v>270</v>
      </c>
      <c r="V40" s="31"/>
    </row>
    <row r="41" spans="1:22" ht="15.75">
      <c r="A41" s="14"/>
      <c r="B41" s="15"/>
      <c r="C41" s="10"/>
      <c r="D41" s="65"/>
      <c r="E41" s="66" t="s">
        <v>9</v>
      </c>
      <c r="F41" s="66"/>
      <c r="G41" s="67"/>
      <c r="H41" s="68"/>
      <c r="I41" s="31"/>
      <c r="J41" s="63"/>
      <c r="K41" s="34"/>
      <c r="L41" s="32"/>
      <c r="M41" s="20"/>
      <c r="N41" s="26"/>
      <c r="O41" s="26"/>
      <c r="P41" s="35"/>
      <c r="Q41" s="39"/>
      <c r="R41" s="39"/>
      <c r="S41" s="36"/>
      <c r="T41" s="39"/>
      <c r="U41" s="24"/>
      <c r="V41" s="31"/>
    </row>
    <row r="42" spans="1:22">
      <c r="A42" s="14"/>
      <c r="B42" s="15"/>
      <c r="C42" s="10"/>
      <c r="D42" s="10"/>
      <c r="E42" s="18" t="s">
        <v>349</v>
      </c>
      <c r="F42" s="18"/>
      <c r="G42" s="19"/>
      <c r="H42" s="61"/>
      <c r="I42" s="19"/>
      <c r="J42" s="62"/>
      <c r="K42" s="62"/>
      <c r="L42" s="21"/>
      <c r="M42" s="52"/>
      <c r="O42" s="52"/>
      <c r="P42" s="26"/>
      <c r="Q42" s="42"/>
      <c r="R42" s="42"/>
      <c r="S42" s="42"/>
      <c r="T42" s="42"/>
      <c r="U42" s="24"/>
      <c r="V42" s="19"/>
    </row>
    <row r="43" spans="1:22">
      <c r="A43" s="14"/>
      <c r="B43" s="15"/>
      <c r="C43" s="10"/>
      <c r="D43" s="51"/>
      <c r="E43" s="18" t="s">
        <v>7</v>
      </c>
      <c r="F43" s="18"/>
      <c r="G43" s="19"/>
      <c r="H43" s="61"/>
      <c r="I43" s="19"/>
      <c r="J43" s="62"/>
      <c r="K43" s="62"/>
      <c r="L43" s="69"/>
      <c r="M43" s="52"/>
      <c r="N43" s="52"/>
      <c r="O43" s="52"/>
      <c r="P43" s="26"/>
      <c r="Q43" s="42"/>
      <c r="R43" s="42"/>
      <c r="S43" s="42"/>
      <c r="T43" s="42"/>
      <c r="U43" s="24"/>
      <c r="V43" s="19"/>
    </row>
    <row r="44" spans="1:22">
      <c r="A44" s="70"/>
      <c r="B44" s="70"/>
      <c r="C44" s="81"/>
      <c r="D44" s="82"/>
      <c r="E44" s="83"/>
      <c r="F44" s="84"/>
      <c r="G44" s="85"/>
      <c r="H44" s="75"/>
      <c r="I44" s="74"/>
      <c r="J44" s="76"/>
      <c r="K44" s="76"/>
      <c r="L44" s="77"/>
      <c r="M44" s="86"/>
      <c r="N44" s="133"/>
      <c r="O44" s="78"/>
      <c r="P44" s="78"/>
      <c r="Q44" s="79"/>
      <c r="R44" s="79"/>
      <c r="S44" s="79"/>
      <c r="T44" s="79"/>
      <c r="U44" s="80"/>
      <c r="V44" s="74"/>
    </row>
    <row r="45" spans="1:22" ht="15.75">
      <c r="A45" s="88"/>
      <c r="B45" s="89">
        <f>SUBTOTAL(3,B3:B44)</f>
        <v>37</v>
      </c>
      <c r="C45" s="88"/>
      <c r="D45" s="90"/>
      <c r="E45" s="342" t="s">
        <v>3</v>
      </c>
      <c r="F45" s="343"/>
      <c r="G45" s="344"/>
      <c r="H45" s="91">
        <f>SUBTOTAL(3,H3:H44)</f>
        <v>37</v>
      </c>
      <c r="I45" s="91">
        <f>SUBTOTAL(3,I3:I44)</f>
        <v>35</v>
      </c>
      <c r="J45" s="91">
        <f>SUBTOTAL(3,J3:J44)</f>
        <v>36</v>
      </c>
      <c r="K45" s="92"/>
      <c r="L45" s="89"/>
      <c r="M45" s="89"/>
      <c r="N45" s="93">
        <f>SUBTOTAL(9,N3:N39)</f>
        <v>9192.4399999999987</v>
      </c>
      <c r="O45" s="136">
        <f>SUBTOTAL(9,O3:O39)</f>
        <v>6193.51</v>
      </c>
      <c r="P45" s="91">
        <f>SUBTOTAL(9,P3:P39)</f>
        <v>1520</v>
      </c>
      <c r="Q45" s="91">
        <f>SUBTOTAL(9,Q3:Q40)</f>
        <v>6332</v>
      </c>
      <c r="R45" s="7">
        <f>SUBTOTAL(9,R3:R40)</f>
        <v>8741.9900000000016</v>
      </c>
      <c r="S45" s="7">
        <f>SUBTOTAL(9,S3:S40)</f>
        <v>633.20000000000005</v>
      </c>
      <c r="T45" s="7">
        <f>SUBTOTAL(9,T3:T40)</f>
        <v>7734.8399999999992</v>
      </c>
      <c r="U45" s="7">
        <f>SUBTOTAL(9,U3:U43)</f>
        <v>6015.5300000000007</v>
      </c>
      <c r="V45" s="94"/>
    </row>
    <row r="46" spans="1:22" ht="23.1" customHeight="1">
      <c r="B46" s="95"/>
      <c r="C46" s="96"/>
      <c r="D46" s="97"/>
      <c r="E46" s="98"/>
      <c r="F46" s="98"/>
      <c r="G46" s="8"/>
      <c r="H46" s="11"/>
      <c r="I46" s="99"/>
      <c r="J46" s="100"/>
      <c r="K46" s="100"/>
      <c r="M46" s="101" t="s">
        <v>207</v>
      </c>
      <c r="N46" s="102">
        <f>SUMIFS($N$3:$N$40,$A$3:$A$40,$M$46)</f>
        <v>9254.2199999999993</v>
      </c>
      <c r="O46" s="103"/>
      <c r="P46" s="104"/>
      <c r="Q46" s="105"/>
      <c r="R46" s="106"/>
      <c r="S46" s="107"/>
      <c r="T46" s="107"/>
      <c r="U46" s="108"/>
      <c r="V46" s="109"/>
    </row>
    <row r="47" spans="1:22" ht="23.1" customHeight="1">
      <c r="B47" s="95"/>
      <c r="C47" s="110"/>
      <c r="D47" s="111"/>
      <c r="E47" s="98"/>
      <c r="F47" s="98"/>
      <c r="G47" s="8"/>
      <c r="H47" s="11"/>
      <c r="I47" s="99"/>
      <c r="J47" s="100"/>
      <c r="K47" s="100"/>
      <c r="M47" s="112" t="s">
        <v>208</v>
      </c>
      <c r="N47" s="113">
        <f>SUMIFS($N$3:$N$40,$A$3:$A$40,$M$47)</f>
        <v>0</v>
      </c>
      <c r="O47" s="114"/>
      <c r="P47" s="104"/>
      <c r="R47" s="181"/>
      <c r="S47" s="115"/>
      <c r="T47" s="115"/>
      <c r="U47" s="116"/>
    </row>
    <row r="48" spans="1:22">
      <c r="B48" s="95"/>
      <c r="C48" s="117"/>
      <c r="D48" s="118"/>
      <c r="E48" s="98"/>
      <c r="F48" s="98"/>
      <c r="G48" s="8"/>
      <c r="H48" s="11"/>
      <c r="I48" s="99"/>
      <c r="J48" s="100"/>
      <c r="K48" s="100"/>
      <c r="O48" s="119"/>
      <c r="R48" s="115"/>
      <c r="S48" s="115"/>
      <c r="T48" s="115"/>
      <c r="U48" s="116"/>
    </row>
    <row r="49" spans="11:16" ht="15" customHeight="1">
      <c r="K49" s="120" t="s">
        <v>356</v>
      </c>
      <c r="L49" s="351" t="s">
        <v>357</v>
      </c>
      <c r="M49" s="351"/>
      <c r="O49" s="9" t="s">
        <v>358</v>
      </c>
      <c r="P49" s="95"/>
    </row>
    <row r="50" spans="11:16" ht="15" customHeight="1">
      <c r="K50" s="120" t="s">
        <v>359</v>
      </c>
      <c r="L50" s="8" t="s">
        <v>360</v>
      </c>
      <c r="N50" s="95"/>
      <c r="P50" s="134"/>
    </row>
    <row r="51" spans="11:16" ht="15" customHeight="1">
      <c r="K51" s="120" t="s">
        <v>361</v>
      </c>
      <c r="L51" s="8" t="s">
        <v>360</v>
      </c>
      <c r="N51" s="180">
        <v>46074</v>
      </c>
    </row>
  </sheetData>
  <autoFilter ref="A2:V43"/>
  <sortState ref="A3:V39">
    <sortCondition ref="K3"/>
  </sortState>
  <mergeCells count="2">
    <mergeCell ref="E45:G45"/>
    <mergeCell ref="L49:M49"/>
  </mergeCells>
  <conditionalFormatting sqref="A16:V40 A3:V14 A15 R15:V15 M41 O41">
    <cfRule type="expression" dxfId="1163" priority="34">
      <formula>$A3="PAID"</formula>
    </cfRule>
  </conditionalFormatting>
  <conditionalFormatting sqref="A3:XFD43">
    <cfRule type="expression" dxfId="1162" priority="1">
      <formula>$E3="STORAGE"</formula>
    </cfRule>
    <cfRule type="expression" dxfId="1161" priority="2">
      <formula>$E3="LOLO"</formula>
    </cfRule>
    <cfRule type="expression" dxfId="1160" priority="3">
      <formula>$E3="THC"</formula>
    </cfRule>
  </conditionalFormatting>
  <conditionalFormatting sqref="B4:B14 B16:B21">
    <cfRule type="expression" dxfId="1159" priority="31">
      <formula>$C4=$N$2</formula>
    </cfRule>
  </conditionalFormatting>
  <conditionalFormatting sqref="B15:D15">
    <cfRule type="expression" dxfId="1158" priority="8">
      <formula>$C15=$N$2</formula>
    </cfRule>
  </conditionalFormatting>
  <conditionalFormatting sqref="B3:G3 B22:O27 B28:V38 B39:O39 B40:N40 B41:L43 K3:V3 L4:M14 L16:M27 M41:O41 C4:D14 P4:V14 R15:V15 C16:D27 P16:V27 S26:S28 P39:V43">
    <cfRule type="expression" dxfId="1157" priority="40">
      <formula>$D3=$O$2</formula>
    </cfRule>
  </conditionalFormatting>
  <conditionalFormatting sqref="E1:E3 E22:E1048576">
    <cfRule type="duplicateValues" dxfId="1156" priority="39"/>
  </conditionalFormatting>
  <conditionalFormatting sqref="E6 E8 E10">
    <cfRule type="duplicateValues" dxfId="1155" priority="26"/>
  </conditionalFormatting>
  <conditionalFormatting sqref="E7">
    <cfRule type="duplicateValues" dxfId="1154" priority="22"/>
    <cfRule type="duplicateValues" dxfId="1153" priority="23"/>
    <cfRule type="duplicateValues" dxfId="1152" priority="24"/>
  </conditionalFormatting>
  <conditionalFormatting sqref="E8 E6 E10">
    <cfRule type="duplicateValues" dxfId="1151" priority="27"/>
  </conditionalFormatting>
  <conditionalFormatting sqref="E8 E6">
    <cfRule type="duplicateValues" dxfId="1150" priority="25"/>
  </conditionalFormatting>
  <conditionalFormatting sqref="E14 E16:E19">
    <cfRule type="duplicateValues" dxfId="1149" priority="28"/>
  </conditionalFormatting>
  <conditionalFormatting sqref="E15">
    <cfRule type="duplicateValues" dxfId="1148" priority="4"/>
  </conditionalFormatting>
  <conditionalFormatting sqref="E20:E21">
    <cfRule type="duplicateValues" dxfId="1147" priority="29"/>
  </conditionalFormatting>
  <conditionalFormatting sqref="E20:G21">
    <cfRule type="expression" dxfId="1146" priority="30">
      <formula>$C20=$N$2</formula>
    </cfRule>
  </conditionalFormatting>
  <conditionalFormatting sqref="G11:G12">
    <cfRule type="expression" dxfId="1145" priority="20">
      <formula>$C11=$N$2</formula>
    </cfRule>
  </conditionalFormatting>
  <conditionalFormatting sqref="G17">
    <cfRule type="expression" dxfId="1144" priority="19">
      <formula>$C17=$N$2</formula>
    </cfRule>
  </conditionalFormatting>
  <conditionalFormatting sqref="H46:J1048576 H1:J2 H22:J44">
    <cfRule type="duplicateValues" dxfId="1143" priority="48"/>
  </conditionalFormatting>
  <conditionalFormatting sqref="I46:I1048576 I1:I2 I22:I44">
    <cfRule type="duplicateValues" dxfId="1142" priority="49"/>
  </conditionalFormatting>
  <conditionalFormatting sqref="I46:I1048576">
    <cfRule type="duplicateValues" dxfId="1141" priority="37"/>
  </conditionalFormatting>
  <conditionalFormatting sqref="J20:J21">
    <cfRule type="duplicateValues" dxfId="1140" priority="33"/>
  </conditionalFormatting>
  <conditionalFormatting sqref="J24">
    <cfRule type="expression" dxfId="1139" priority="13">
      <formula>$C24=$N$2</formula>
    </cfRule>
    <cfRule type="duplicateValues" dxfId="1138" priority="14"/>
  </conditionalFormatting>
  <conditionalFormatting sqref="J26:J28">
    <cfRule type="expression" dxfId="1137" priority="11">
      <formula>$C26=$N$2</formula>
    </cfRule>
    <cfRule type="duplicateValues" dxfId="1136" priority="12"/>
  </conditionalFormatting>
  <conditionalFormatting sqref="J31:J32 J40">
    <cfRule type="expression" dxfId="1135" priority="1349">
      <formula>$C31=$N$2</formula>
    </cfRule>
    <cfRule type="duplicateValues" dxfId="1134" priority="1350"/>
  </conditionalFormatting>
  <conditionalFormatting sqref="J46:J1048576 J1:J2 J22:J44">
    <cfRule type="duplicateValues" dxfId="1133" priority="36"/>
  </conditionalFormatting>
  <conditionalFormatting sqref="J20:K21">
    <cfRule type="expression" dxfId="1132" priority="17">
      <formula>$C20=$N$2</formula>
    </cfRule>
  </conditionalFormatting>
  <conditionalFormatting sqref="L40">
    <cfRule type="expression" dxfId="1131" priority="1206">
      <formula>#REF!=$M$1</formula>
    </cfRule>
  </conditionalFormatting>
  <conditionalFormatting sqref="L42:L43">
    <cfRule type="expression" dxfId="1130" priority="1219">
      <formula>#REF!=$M$1</formula>
    </cfRule>
  </conditionalFormatting>
  <conditionalFormatting sqref="L3:M14 L16:M41">
    <cfRule type="expression" dxfId="1129" priority="38">
      <formula>$M3=$M$1</formula>
    </cfRule>
  </conditionalFormatting>
  <conditionalFormatting sqref="L15:M15">
    <cfRule type="expression" dxfId="1128" priority="5">
      <formula>$L15=$L$1</formula>
    </cfRule>
  </conditionalFormatting>
  <conditionalFormatting sqref="L15:Q15">
    <cfRule type="expression" dxfId="1127" priority="6">
      <formula>$C15=$N$2</formula>
    </cfRule>
  </conditionalFormatting>
  <conditionalFormatting sqref="N16:N20">
    <cfRule type="expression" dxfId="1126" priority="16">
      <formula>$C16=$N$2</formula>
    </cfRule>
  </conditionalFormatting>
  <conditionalFormatting sqref="N4:O14 O16:O21">
    <cfRule type="expression" dxfId="1125" priority="15">
      <formula>$C4=$N$2</formula>
    </cfRule>
  </conditionalFormatting>
  <conditionalFormatting sqref="O40">
    <cfRule type="expression" dxfId="1124" priority="50">
      <formula>$A31=$A$1</formula>
    </cfRule>
    <cfRule type="expression" dxfId="1123" priority="51">
      <formula>$E31=$G$1</formula>
    </cfRule>
    <cfRule type="expression" dxfId="1122" priority="52">
      <formula>$D31=$O$2</formula>
    </cfRule>
  </conditionalFormatting>
  <pageMargins left="0.7" right="0.7" top="0.75" bottom="0.75" header="0.3" footer="0.3"/>
  <pageSetup paperSize="9" scale="9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86"/>
  <sheetViews>
    <sheetView view="pageBreakPreview" zoomScale="70" zoomScaleNormal="70" zoomScaleSheetLayoutView="70" workbookViewId="0">
      <pane xSplit="8" ySplit="2" topLeftCell="I12" activePane="bottomRight" state="frozenSplit"/>
      <selection pane="topRight" activeCell="G1" sqref="G1"/>
      <selection pane="bottomLeft" activeCell="A12" sqref="A12"/>
      <selection pane="bottomRight" activeCell="I40" sqref="I40"/>
    </sheetView>
  </sheetViews>
  <sheetFormatPr defaultColWidth="14" defaultRowHeight="15" customHeight="1"/>
  <cols>
    <col min="1" max="3" width="14" style="9"/>
    <col min="4" max="4" width="23.85546875" style="9" customWidth="1"/>
    <col min="5" max="5" width="30.42578125" style="9" customWidth="1"/>
    <col min="6" max="6" width="16.85546875" style="9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6" width="14" style="9"/>
    <col min="17" max="17" width="14.85546875" style="9" customWidth="1"/>
    <col min="18" max="18" width="13.42578125" style="9" customWidth="1"/>
    <col min="19" max="20" width="14" style="9"/>
    <col min="21" max="21" width="15.42578125" style="9" customWidth="1"/>
    <col min="22" max="22" width="23" style="9" customWidth="1"/>
    <col min="23" max="16384" width="14" style="9"/>
  </cols>
  <sheetData>
    <row r="1" spans="1:22">
      <c r="A1" s="8"/>
      <c r="C1" s="10"/>
      <c r="D1" s="10"/>
      <c r="E1" s="5" t="s">
        <v>0</v>
      </c>
      <c r="F1" s="5"/>
      <c r="G1" s="6"/>
      <c r="H1" s="11"/>
      <c r="I1" s="12"/>
      <c r="J1" s="13"/>
      <c r="K1" s="13"/>
      <c r="L1" s="11"/>
      <c r="M1" s="11" t="s">
        <v>193</v>
      </c>
      <c r="U1" s="8"/>
    </row>
    <row r="2" spans="1:22" ht="31.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2" ht="18" customHeight="1">
      <c r="A3" s="14" t="s">
        <v>207</v>
      </c>
      <c r="B3" s="15">
        <v>1</v>
      </c>
      <c r="C3" s="16" t="str">
        <f>INDEX(PORT!$B$2:$B$20,MATCH('03'!B3,PORT!$A$2:$A$20))</f>
        <v>PNH01</v>
      </c>
      <c r="D3" s="10" t="str">
        <f>INDEX(PORT!$C$2:$C$20,MATCH('03'!B3,PORT!$A$2:$A$20))</f>
        <v>KTI AIR PORT</v>
      </c>
      <c r="E3" s="16" t="s">
        <v>362</v>
      </c>
      <c r="F3" s="18">
        <v>46083</v>
      </c>
      <c r="G3" s="19" t="s">
        <v>10</v>
      </c>
      <c r="H3" s="49" t="s">
        <v>369</v>
      </c>
      <c r="I3" s="196" t="s">
        <v>370</v>
      </c>
      <c r="J3" s="142" t="s">
        <v>403</v>
      </c>
      <c r="K3" s="194">
        <v>46084</v>
      </c>
      <c r="L3" s="21" t="str">
        <f>VLOOKUP(K3,'[3]Exchange Rate'!$A$3:$C$24,3,FALSE)</f>
        <v>4013</v>
      </c>
      <c r="M3" s="20" t="str">
        <f t="shared" ref="M3:M34" si="0">TEXT(K3,"dddd")</f>
        <v>Tuesday</v>
      </c>
      <c r="N3" s="22">
        <v>83.75</v>
      </c>
      <c r="O3" s="55">
        <v>0</v>
      </c>
      <c r="P3" s="22">
        <v>50</v>
      </c>
      <c r="Q3" s="182">
        <v>140</v>
      </c>
      <c r="R3" s="182">
        <v>13.75</v>
      </c>
      <c r="S3" s="182">
        <f t="shared" ref="S3:S33" si="1">ROUND(Q3*10%,2)</f>
        <v>14</v>
      </c>
      <c r="T3" s="182">
        <v>60</v>
      </c>
      <c r="U3" s="24">
        <f t="shared" ref="U3:U49" si="2">(Q3+R3+T3)-(N3+O3+P3)</f>
        <v>80</v>
      </c>
      <c r="V3" s="17"/>
    </row>
    <row r="4" spans="1:22" ht="18" customHeight="1">
      <c r="A4" s="14" t="s">
        <v>207</v>
      </c>
      <c r="B4" s="143">
        <v>1</v>
      </c>
      <c r="C4" s="16" t="str">
        <f>INDEX(PORT!$B$2:$B$20,MATCH('03'!B4,PORT!$A$2:$A$20))</f>
        <v>PNH01</v>
      </c>
      <c r="D4" s="10" t="str">
        <f>INDEX(PORT!$C$2:$C$20,MATCH('03'!B4,PORT!$A$2:$A$20))</f>
        <v>KTI AIR PORT</v>
      </c>
      <c r="E4" s="144" t="s">
        <v>551</v>
      </c>
      <c r="F4" s="144">
        <v>46083</v>
      </c>
      <c r="G4" s="145" t="s">
        <v>10</v>
      </c>
      <c r="H4" s="49" t="s">
        <v>371</v>
      </c>
      <c r="I4" s="196" t="s">
        <v>372</v>
      </c>
      <c r="J4" s="146" t="s">
        <v>404</v>
      </c>
      <c r="K4" s="147">
        <v>46084</v>
      </c>
      <c r="L4" s="21" t="str">
        <f>VLOOKUP(K4,'[3]Exchange Rate'!$A$3:$C$24,3,FALSE)</f>
        <v>4013</v>
      </c>
      <c r="M4" s="20" t="str">
        <f t="shared" si="0"/>
        <v>Tuesday</v>
      </c>
      <c r="N4" s="148">
        <v>83.75</v>
      </c>
      <c r="O4" s="55">
        <v>0</v>
      </c>
      <c r="P4" s="22">
        <v>50</v>
      </c>
      <c r="Q4" s="182">
        <v>140</v>
      </c>
      <c r="R4" s="182">
        <v>13.75</v>
      </c>
      <c r="S4" s="182">
        <f t="shared" si="1"/>
        <v>14</v>
      </c>
      <c r="T4" s="182">
        <v>60</v>
      </c>
      <c r="U4" s="24">
        <f t="shared" si="2"/>
        <v>80</v>
      </c>
      <c r="V4" s="17"/>
    </row>
    <row r="5" spans="1:22" ht="18" customHeight="1">
      <c r="A5" s="14" t="s">
        <v>207</v>
      </c>
      <c r="B5" s="15">
        <v>11</v>
      </c>
      <c r="C5" s="16" t="str">
        <f>INDEX(PORT!$B$2:$B$20,MATCH('03'!B5,PORT!$A$2:$A$20))</f>
        <v>SHV11</v>
      </c>
      <c r="D5" s="10" t="str">
        <f>INDEX(PORT!$C$2:$C$20,MATCH('03'!B5,PORT!$A$2:$A$20))</f>
        <v>SHV PORT</v>
      </c>
      <c r="E5" s="18" t="s">
        <v>552</v>
      </c>
      <c r="F5" s="18">
        <v>46083</v>
      </c>
      <c r="G5" s="19" t="s">
        <v>41</v>
      </c>
      <c r="H5" s="49" t="s">
        <v>373</v>
      </c>
      <c r="I5" s="196" t="s">
        <v>374</v>
      </c>
      <c r="J5" s="25" t="s">
        <v>405</v>
      </c>
      <c r="K5" s="194">
        <v>46084</v>
      </c>
      <c r="L5" s="21" t="str">
        <f>VLOOKUP(K5,'[3]Exchange Rate'!$A$3:$C$24,3,FALSE)</f>
        <v>4013</v>
      </c>
      <c r="M5" s="20" t="str">
        <f t="shared" si="0"/>
        <v>Tuesday</v>
      </c>
      <c r="N5" s="26">
        <v>569.45000000000005</v>
      </c>
      <c r="O5" s="55">
        <v>691.5</v>
      </c>
      <c r="P5" s="22">
        <v>0</v>
      </c>
      <c r="Q5" s="186">
        <v>200</v>
      </c>
      <c r="R5" s="186">
        <v>805.95</v>
      </c>
      <c r="S5" s="182">
        <f t="shared" si="1"/>
        <v>20</v>
      </c>
      <c r="T5" s="186">
        <v>585</v>
      </c>
      <c r="U5" s="24">
        <f t="shared" si="2"/>
        <v>330</v>
      </c>
      <c r="V5" s="19"/>
    </row>
    <row r="6" spans="1:22" ht="18" customHeight="1">
      <c r="A6" s="14" t="s">
        <v>207</v>
      </c>
      <c r="B6" s="15">
        <v>11</v>
      </c>
      <c r="C6" s="16" t="str">
        <f>INDEX(PORT!$B$2:$B$20,MATCH('03'!B6,PORT!$A$2:$A$20))</f>
        <v>SHV11</v>
      </c>
      <c r="D6" s="10" t="str">
        <f>INDEX(PORT!$C$2:$C$20,MATCH('03'!B6,PORT!$A$2:$A$20))</f>
        <v>SHV PORT</v>
      </c>
      <c r="E6" s="18" t="s">
        <v>368</v>
      </c>
      <c r="F6" s="18">
        <v>46083</v>
      </c>
      <c r="G6" s="19" t="s">
        <v>41</v>
      </c>
      <c r="H6" s="49" t="s">
        <v>375</v>
      </c>
      <c r="I6" s="196" t="s">
        <v>376</v>
      </c>
      <c r="J6" s="173" t="s">
        <v>406</v>
      </c>
      <c r="K6" s="194">
        <v>46084</v>
      </c>
      <c r="L6" s="21" t="str">
        <f>VLOOKUP(K6,'[3]Exchange Rate'!$A$3:$C$24,3,FALSE)</f>
        <v>4013</v>
      </c>
      <c r="M6" s="20" t="str">
        <f t="shared" si="0"/>
        <v>Tuesday</v>
      </c>
      <c r="N6" s="26">
        <v>526.45000000000005</v>
      </c>
      <c r="O6" s="55">
        <v>476.5</v>
      </c>
      <c r="P6" s="22">
        <v>0</v>
      </c>
      <c r="Q6" s="186">
        <v>180</v>
      </c>
      <c r="R6" s="186">
        <v>557.95000000000005</v>
      </c>
      <c r="S6" s="182">
        <f t="shared" si="1"/>
        <v>18</v>
      </c>
      <c r="T6" s="186">
        <v>485</v>
      </c>
      <c r="U6" s="24">
        <f t="shared" si="2"/>
        <v>220</v>
      </c>
      <c r="V6" s="19"/>
    </row>
    <row r="7" spans="1:22" s="37" customFormat="1" ht="18" customHeight="1">
      <c r="A7" s="14" t="s">
        <v>207</v>
      </c>
      <c r="B7" s="143">
        <v>1</v>
      </c>
      <c r="C7" s="16" t="str">
        <f>INDEX(PORT!$B$2:$B$20,MATCH('03'!B7,PORT!$A$2:$A$20))</f>
        <v>PNH01</v>
      </c>
      <c r="D7" s="10" t="str">
        <f>INDEX(PORT!$C$2:$C$20,MATCH('03'!B7,PORT!$A$2:$A$20))</f>
        <v>KTI AIR PORT</v>
      </c>
      <c r="E7" s="211" t="s">
        <v>553</v>
      </c>
      <c r="F7" s="144">
        <v>46088</v>
      </c>
      <c r="G7" s="145" t="s">
        <v>10</v>
      </c>
      <c r="H7" s="49" t="s">
        <v>377</v>
      </c>
      <c r="I7" s="196" t="s">
        <v>378</v>
      </c>
      <c r="J7" s="146" t="s">
        <v>410</v>
      </c>
      <c r="K7" s="147">
        <v>46090</v>
      </c>
      <c r="L7" s="21" t="str">
        <f>VLOOKUP(K7,'[3]Exchange Rate'!$A$3:$C$24,3,FALSE)</f>
        <v>4013</v>
      </c>
      <c r="M7" s="20" t="str">
        <f t="shared" si="0"/>
        <v>Monday</v>
      </c>
      <c r="N7" s="148">
        <v>83.75</v>
      </c>
      <c r="O7" s="55">
        <v>0</v>
      </c>
      <c r="P7" s="22">
        <v>50</v>
      </c>
      <c r="Q7" s="182">
        <v>140</v>
      </c>
      <c r="R7" s="182">
        <v>13.75</v>
      </c>
      <c r="S7" s="182">
        <f t="shared" si="1"/>
        <v>14</v>
      </c>
      <c r="T7" s="182">
        <v>60</v>
      </c>
      <c r="U7" s="24">
        <f t="shared" si="2"/>
        <v>80</v>
      </c>
      <c r="V7" s="17"/>
    </row>
    <row r="8" spans="1:22" s="37" customFormat="1" ht="18" customHeight="1">
      <c r="A8" s="14" t="s">
        <v>207</v>
      </c>
      <c r="B8" s="143">
        <v>1</v>
      </c>
      <c r="C8" s="16" t="str">
        <f>INDEX(PORT!$B$2:$B$20,MATCH('03'!B8,PORT!$A$2:$A$20))</f>
        <v>PNH01</v>
      </c>
      <c r="D8" s="10" t="str">
        <f>INDEX(PORT!$C$2:$C$20,MATCH('03'!B8,PORT!$A$2:$A$20))</f>
        <v>KTI AIR PORT</v>
      </c>
      <c r="E8" s="211" t="s">
        <v>554</v>
      </c>
      <c r="F8" s="144">
        <v>46087</v>
      </c>
      <c r="G8" s="145" t="s">
        <v>64</v>
      </c>
      <c r="H8" s="49" t="s">
        <v>379</v>
      </c>
      <c r="I8" s="196" t="s">
        <v>380</v>
      </c>
      <c r="J8" s="145" t="s">
        <v>420</v>
      </c>
      <c r="K8" s="147">
        <v>46090</v>
      </c>
      <c r="L8" s="21" t="str">
        <f>VLOOKUP(K8,'[3]Exchange Rate'!$A$3:$C$24,3,FALSE)</f>
        <v>4013</v>
      </c>
      <c r="M8" s="20" t="str">
        <f t="shared" si="0"/>
        <v>Monday</v>
      </c>
      <c r="N8" s="148">
        <v>128.63</v>
      </c>
      <c r="O8" s="55">
        <v>0</v>
      </c>
      <c r="P8" s="22">
        <v>50</v>
      </c>
      <c r="Q8" s="193">
        <v>175</v>
      </c>
      <c r="R8" s="187">
        <v>58.63</v>
      </c>
      <c r="S8" s="182">
        <f t="shared" si="1"/>
        <v>17.5</v>
      </c>
      <c r="T8" s="187">
        <v>60</v>
      </c>
      <c r="U8" s="24">
        <f t="shared" si="2"/>
        <v>115</v>
      </c>
      <c r="V8" s="49"/>
    </row>
    <row r="9" spans="1:22" s="37" customFormat="1" ht="18" customHeight="1">
      <c r="A9" s="14" t="s">
        <v>207</v>
      </c>
      <c r="B9" s="162">
        <v>1</v>
      </c>
      <c r="C9" s="16" t="str">
        <f>INDEX(PORT!$B$2:$B$20,MATCH('03'!B9,PORT!$A$2:$A$20))</f>
        <v>PNH01</v>
      </c>
      <c r="D9" s="10" t="str">
        <f>INDEX(PORT!$C$2:$C$20,MATCH('03'!B9,PORT!$A$2:$A$20))</f>
        <v>KTI AIR PORT</v>
      </c>
      <c r="E9" s="212" t="s">
        <v>555</v>
      </c>
      <c r="F9" s="163">
        <v>46087</v>
      </c>
      <c r="G9" s="141" t="s">
        <v>64</v>
      </c>
      <c r="H9" s="49" t="s">
        <v>381</v>
      </c>
      <c r="I9" s="196" t="s">
        <v>382</v>
      </c>
      <c r="J9" s="145" t="s">
        <v>421</v>
      </c>
      <c r="K9" s="164">
        <v>46090</v>
      </c>
      <c r="L9" s="21" t="str">
        <f>VLOOKUP(K9,'[3]Exchange Rate'!$A$3:$C$24,3,FALSE)</f>
        <v>4013</v>
      </c>
      <c r="M9" s="20" t="str">
        <f t="shared" si="0"/>
        <v>Monday</v>
      </c>
      <c r="N9" s="140">
        <v>206.42</v>
      </c>
      <c r="O9" s="55">
        <v>0</v>
      </c>
      <c r="P9" s="22">
        <v>50</v>
      </c>
      <c r="Q9" s="184">
        <v>210</v>
      </c>
      <c r="R9" s="184">
        <v>136.41999999999999</v>
      </c>
      <c r="S9" s="182">
        <f t="shared" si="1"/>
        <v>21</v>
      </c>
      <c r="T9" s="184">
        <v>60</v>
      </c>
      <c r="U9" s="24">
        <f t="shared" si="2"/>
        <v>150</v>
      </c>
      <c r="V9" s="29"/>
    </row>
    <row r="10" spans="1:22" s="37" customFormat="1" ht="18" customHeight="1">
      <c r="A10" s="14" t="s">
        <v>207</v>
      </c>
      <c r="B10" s="143">
        <v>1</v>
      </c>
      <c r="C10" s="16" t="str">
        <f>INDEX(PORT!$B$2:$B$20,MATCH('03'!B10,PORT!$A$2:$A$20))</f>
        <v>PNH01</v>
      </c>
      <c r="D10" s="10" t="str">
        <f>INDEX(PORT!$C$2:$C$20,MATCH('03'!B10,PORT!$A$2:$A$20))</f>
        <v>KTI AIR PORT</v>
      </c>
      <c r="E10" s="211" t="s">
        <v>556</v>
      </c>
      <c r="F10" s="144">
        <v>46088</v>
      </c>
      <c r="G10" s="155" t="s">
        <v>64</v>
      </c>
      <c r="H10" s="49" t="s">
        <v>383</v>
      </c>
      <c r="I10" s="196" t="s">
        <v>384</v>
      </c>
      <c r="J10" s="145" t="s">
        <v>422</v>
      </c>
      <c r="K10" s="147">
        <v>46090</v>
      </c>
      <c r="L10" s="21" t="str">
        <f>VLOOKUP(K10,'[3]Exchange Rate'!$A$3:$C$24,3,FALSE)</f>
        <v>4013</v>
      </c>
      <c r="M10" s="20" t="str">
        <f t="shared" si="0"/>
        <v>Monday</v>
      </c>
      <c r="N10" s="148">
        <v>604.02</v>
      </c>
      <c r="O10" s="55">
        <v>0</v>
      </c>
      <c r="P10" s="22">
        <v>50</v>
      </c>
      <c r="Q10" s="185">
        <v>230</v>
      </c>
      <c r="R10" s="185">
        <v>484.02</v>
      </c>
      <c r="S10" s="182">
        <f t="shared" si="1"/>
        <v>23</v>
      </c>
      <c r="T10" s="185">
        <v>180</v>
      </c>
      <c r="U10" s="24">
        <f t="shared" si="2"/>
        <v>240</v>
      </c>
      <c r="V10" s="31"/>
    </row>
    <row r="11" spans="1:22" ht="18" customHeight="1">
      <c r="A11" s="14" t="s">
        <v>207</v>
      </c>
      <c r="B11" s="143">
        <v>4</v>
      </c>
      <c r="C11" s="16" t="str">
        <f>INDEX(PORT!$B$2:$B$20,MATCH('03'!B11,PORT!$A$2:$A$20))</f>
        <v>PNH04</v>
      </c>
      <c r="D11" s="10" t="str">
        <f>INDEX(PORT!$C$2:$C$20,MATCH('03'!B11,PORT!$A$2:$A$20))</f>
        <v>PNH PORT</v>
      </c>
      <c r="E11" s="209" t="s">
        <v>367</v>
      </c>
      <c r="F11" s="172">
        <v>46087</v>
      </c>
      <c r="G11" s="155" t="s">
        <v>41</v>
      </c>
      <c r="H11" s="49" t="s">
        <v>385</v>
      </c>
      <c r="I11" s="196" t="s">
        <v>386</v>
      </c>
      <c r="J11" s="173" t="s">
        <v>407</v>
      </c>
      <c r="K11" s="195">
        <v>46090</v>
      </c>
      <c r="L11" s="21" t="str">
        <f>VLOOKUP(K11,'[3]Exchange Rate'!$A$3:$C$24,3,FALSE)</f>
        <v>4013</v>
      </c>
      <c r="M11" s="20" t="str">
        <f t="shared" si="0"/>
        <v>Monday</v>
      </c>
      <c r="N11" s="161">
        <v>517.75</v>
      </c>
      <c r="O11" s="55">
        <v>528</v>
      </c>
      <c r="P11" s="22">
        <v>0</v>
      </c>
      <c r="Q11" s="186">
        <v>242</v>
      </c>
      <c r="R11" s="186">
        <f>916.45-N12</f>
        <v>903.25</v>
      </c>
      <c r="S11" s="182">
        <f t="shared" si="1"/>
        <v>24.2</v>
      </c>
      <c r="T11" s="186">
        <v>729</v>
      </c>
      <c r="U11" s="24">
        <f>(Q11+R11+T11)-(N11+O11+P11)</f>
        <v>828.5</v>
      </c>
      <c r="V11" s="19" t="s">
        <v>515</v>
      </c>
    </row>
    <row r="12" spans="1:22" s="12" customFormat="1" ht="18" customHeight="1">
      <c r="A12" s="14" t="s">
        <v>207</v>
      </c>
      <c r="B12" s="143">
        <v>4</v>
      </c>
      <c r="C12" s="16" t="str">
        <f>INDEX(PORT!$B$2:$B$20,MATCH('03'!B12,PORT!$A$2:$A$20))</f>
        <v>PNH04</v>
      </c>
      <c r="D12" s="10" t="str">
        <f>INDEX(PORT!$C$2:$C$20,MATCH('03'!B12,PORT!$A$2:$A$20))</f>
        <v>PNH PORT</v>
      </c>
      <c r="E12" s="209" t="s">
        <v>367</v>
      </c>
      <c r="F12" s="172">
        <v>46087</v>
      </c>
      <c r="G12" s="155" t="s">
        <v>41</v>
      </c>
      <c r="H12" s="49"/>
      <c r="I12" s="49"/>
      <c r="J12" s="200"/>
      <c r="K12" s="195">
        <v>46090</v>
      </c>
      <c r="L12" s="21" t="str">
        <f>VLOOKUP(K12,'[3]Exchange Rate'!$A$3:$C$24,3,FALSE)</f>
        <v>4013</v>
      </c>
      <c r="M12" s="20" t="str">
        <f t="shared" si="0"/>
        <v>Monday</v>
      </c>
      <c r="N12" s="161">
        <v>13.2</v>
      </c>
      <c r="O12" s="55">
        <v>0</v>
      </c>
      <c r="P12" s="22">
        <v>0</v>
      </c>
      <c r="Q12" s="191"/>
      <c r="R12" s="191">
        <v>13.2</v>
      </c>
      <c r="S12" s="182">
        <f t="shared" si="1"/>
        <v>0</v>
      </c>
      <c r="T12" s="192"/>
      <c r="U12" s="24">
        <f t="shared" si="2"/>
        <v>0</v>
      </c>
      <c r="V12" s="205" t="s">
        <v>490</v>
      </c>
    </row>
    <row r="13" spans="1:22" s="37" customFormat="1" ht="18" customHeight="1">
      <c r="A13" s="14" t="s">
        <v>207</v>
      </c>
      <c r="B13" s="143">
        <v>4</v>
      </c>
      <c r="C13" s="16" t="str">
        <f>INDEX(PORT!$B$2:$B$20,MATCH('03'!B13,PORT!$A$2:$A$20))</f>
        <v>PNH04</v>
      </c>
      <c r="D13" s="10" t="str">
        <f>INDEX(PORT!$C$2:$C$20,MATCH('03'!B13,PORT!$A$2:$A$20))</f>
        <v>PNH PORT</v>
      </c>
      <c r="E13" s="209" t="s">
        <v>557</v>
      </c>
      <c r="F13" s="172">
        <v>46087</v>
      </c>
      <c r="G13" s="155" t="s">
        <v>41</v>
      </c>
      <c r="H13" s="49" t="s">
        <v>387</v>
      </c>
      <c r="I13" s="196" t="s">
        <v>388</v>
      </c>
      <c r="J13" s="173" t="s">
        <v>408</v>
      </c>
      <c r="K13" s="195">
        <v>46090</v>
      </c>
      <c r="L13" s="21" t="str">
        <f>VLOOKUP(K13,'[3]Exchange Rate'!$A$3:$C$24,3,FALSE)</f>
        <v>4013</v>
      </c>
      <c r="M13" s="20" t="str">
        <f t="shared" si="0"/>
        <v>Monday</v>
      </c>
      <c r="N13" s="161">
        <v>515.75</v>
      </c>
      <c r="O13" s="55">
        <v>506</v>
      </c>
      <c r="P13" s="22">
        <v>0</v>
      </c>
      <c r="Q13" s="183">
        <v>242</v>
      </c>
      <c r="R13" s="183">
        <f>691.75-N14</f>
        <v>371.75</v>
      </c>
      <c r="S13" s="182">
        <f t="shared" si="1"/>
        <v>24.2</v>
      </c>
      <c r="T13" s="183">
        <v>1219</v>
      </c>
      <c r="U13" s="24">
        <f t="shared" si="2"/>
        <v>811</v>
      </c>
      <c r="V13" s="19"/>
    </row>
    <row r="14" spans="1:22" s="37" customFormat="1" ht="18" customHeight="1">
      <c r="A14" s="14" t="s">
        <v>207</v>
      </c>
      <c r="B14" s="143">
        <v>4</v>
      </c>
      <c r="C14" s="16" t="str">
        <f>INDEX(PORT!$B$2:$B$20,MATCH('03'!B14,PORT!$A$2:$A$20))</f>
        <v>PNH04</v>
      </c>
      <c r="D14" s="10" t="str">
        <f>INDEX(PORT!$C$2:$C$20,MATCH('03'!B14,PORT!$A$2:$A$20))</f>
        <v>PNH PORT</v>
      </c>
      <c r="E14" s="209" t="s">
        <v>557</v>
      </c>
      <c r="F14" s="172">
        <v>46087</v>
      </c>
      <c r="G14" s="155" t="s">
        <v>41</v>
      </c>
      <c r="H14" s="49"/>
      <c r="I14" s="49"/>
      <c r="J14" s="173"/>
      <c r="K14" s="195">
        <v>46090</v>
      </c>
      <c r="L14" s="21" t="str">
        <f>VLOOKUP(K14,'[3]Exchange Rate'!$A$3:$C$24,3,FALSE)</f>
        <v>4013</v>
      </c>
      <c r="M14" s="20" t="str">
        <f t="shared" si="0"/>
        <v>Monday</v>
      </c>
      <c r="N14" s="161">
        <v>320</v>
      </c>
      <c r="O14" s="55">
        <v>0</v>
      </c>
      <c r="P14" s="22">
        <v>0</v>
      </c>
      <c r="Q14" s="183"/>
      <c r="R14" s="183">
        <v>320</v>
      </c>
      <c r="S14" s="182">
        <f t="shared" si="1"/>
        <v>0</v>
      </c>
      <c r="T14" s="183"/>
      <c r="U14" s="24">
        <f t="shared" si="2"/>
        <v>0</v>
      </c>
      <c r="V14" s="19" t="s">
        <v>492</v>
      </c>
    </row>
    <row r="15" spans="1:22" s="50" customFormat="1" ht="18" customHeight="1">
      <c r="A15" s="14" t="s">
        <v>207</v>
      </c>
      <c r="B15" s="143">
        <v>1</v>
      </c>
      <c r="C15" s="16" t="str">
        <f>INDEX(PORT!$B$2:$B$20,MATCH('03'!B15,PORT!$A$2:$A$20))</f>
        <v>PNH01</v>
      </c>
      <c r="D15" s="10" t="str">
        <f>INDEX(PORT!$C$2:$C$20,MATCH('03'!B15,PORT!$A$2:$A$20))</f>
        <v>KTI AIR PORT</v>
      </c>
      <c r="E15" s="213" t="s">
        <v>558</v>
      </c>
      <c r="F15" s="153">
        <v>46090</v>
      </c>
      <c r="G15" s="155" t="s">
        <v>10</v>
      </c>
      <c r="H15" s="49" t="s">
        <v>389</v>
      </c>
      <c r="I15" s="196" t="s">
        <v>390</v>
      </c>
      <c r="J15" s="146" t="s">
        <v>411</v>
      </c>
      <c r="K15" s="153">
        <v>46091</v>
      </c>
      <c r="L15" s="21" t="str">
        <f>VLOOKUP(K15,'[3]Exchange Rate'!$A$3:$C$24,3,FALSE)</f>
        <v>4013</v>
      </c>
      <c r="M15" s="20" t="str">
        <f t="shared" si="0"/>
        <v>Tuesday</v>
      </c>
      <c r="N15" s="148">
        <v>172.57</v>
      </c>
      <c r="O15" s="55">
        <v>60.5</v>
      </c>
      <c r="P15" s="22">
        <v>50</v>
      </c>
      <c r="Q15" s="186">
        <v>150</v>
      </c>
      <c r="R15" s="186">
        <v>93.07</v>
      </c>
      <c r="S15" s="182">
        <f t="shared" si="1"/>
        <v>15</v>
      </c>
      <c r="T15" s="186">
        <v>119.75</v>
      </c>
      <c r="U15" s="24">
        <f t="shared" si="2"/>
        <v>79.75</v>
      </c>
      <c r="V15" s="19"/>
    </row>
    <row r="16" spans="1:22" s="50" customFormat="1" ht="18" customHeight="1">
      <c r="A16" s="14" t="s">
        <v>207</v>
      </c>
      <c r="B16" s="143">
        <v>1</v>
      </c>
      <c r="C16" s="16" t="str">
        <f>INDEX(PORT!$B$2:$B$20,MATCH('03'!B16,PORT!$A$2:$A$20))</f>
        <v>PNH01</v>
      </c>
      <c r="D16" s="10" t="str">
        <f>INDEX(PORT!$C$2:$C$20,MATCH('03'!B16,PORT!$A$2:$A$20))</f>
        <v>KTI AIR PORT</v>
      </c>
      <c r="E16" s="214" t="s">
        <v>364</v>
      </c>
      <c r="F16" s="144">
        <v>46090</v>
      </c>
      <c r="G16" s="155" t="s">
        <v>10</v>
      </c>
      <c r="H16" s="49" t="s">
        <v>391</v>
      </c>
      <c r="I16" s="196" t="s">
        <v>392</v>
      </c>
      <c r="J16" s="146" t="s">
        <v>412</v>
      </c>
      <c r="K16" s="147">
        <v>46091</v>
      </c>
      <c r="L16" s="21" t="str">
        <f>VLOOKUP(K16,'[3]Exchange Rate'!$A$3:$C$24,3,FALSE)</f>
        <v>4013</v>
      </c>
      <c r="M16" s="20" t="str">
        <f t="shared" si="0"/>
        <v>Tuesday</v>
      </c>
      <c r="N16" s="148">
        <v>175.14</v>
      </c>
      <c r="O16" s="55">
        <v>110</v>
      </c>
      <c r="P16" s="22">
        <v>50</v>
      </c>
      <c r="Q16" s="202">
        <v>150</v>
      </c>
      <c r="R16" s="185">
        <v>145.13999999999999</v>
      </c>
      <c r="S16" s="182">
        <f t="shared" si="1"/>
        <v>15</v>
      </c>
      <c r="T16" s="185">
        <v>119.75</v>
      </c>
      <c r="U16" s="24">
        <f t="shared" si="2"/>
        <v>79.75</v>
      </c>
      <c r="V16" s="31"/>
    </row>
    <row r="17" spans="1:22" s="37" customFormat="1" ht="18" customHeight="1">
      <c r="A17" s="14" t="s">
        <v>207</v>
      </c>
      <c r="B17" s="197">
        <v>21</v>
      </c>
      <c r="C17" s="16" t="str">
        <f>INDEX(PORT!$B$2:$B$20,MATCH('03'!B17,PORT!$A$2:$A$20))</f>
        <v>PNH21</v>
      </c>
      <c r="D17" s="10" t="str">
        <f>INDEX(PORT!$C$2:$C$20,MATCH('03'!B17,PORT!$A$2:$A$20))</f>
        <v>OLAIR DRY PORT</v>
      </c>
      <c r="E17" s="213" t="s">
        <v>559</v>
      </c>
      <c r="F17" s="144">
        <v>46091</v>
      </c>
      <c r="G17" s="145" t="s">
        <v>10</v>
      </c>
      <c r="H17" s="49" t="s">
        <v>393</v>
      </c>
      <c r="I17" s="196" t="s">
        <v>394</v>
      </c>
      <c r="J17" s="146" t="s">
        <v>413</v>
      </c>
      <c r="K17" s="147">
        <v>46092</v>
      </c>
      <c r="L17" s="21" t="str">
        <f>VLOOKUP(K17,'[3]Exchange Rate'!$A$3:$C$24,3,FALSE)</f>
        <v>4013</v>
      </c>
      <c r="M17" s="20" t="str">
        <f t="shared" si="0"/>
        <v>Wednesday</v>
      </c>
      <c r="N17" s="148">
        <v>115</v>
      </c>
      <c r="O17" s="55">
        <v>205.43</v>
      </c>
      <c r="P17" s="22">
        <v>50</v>
      </c>
      <c r="Q17" s="184">
        <v>150</v>
      </c>
      <c r="R17" s="184">
        <v>230.43</v>
      </c>
      <c r="S17" s="182">
        <f t="shared" si="1"/>
        <v>15</v>
      </c>
      <c r="T17" s="184">
        <v>103.5</v>
      </c>
      <c r="U17" s="24">
        <f t="shared" si="2"/>
        <v>113.5</v>
      </c>
      <c r="V17" s="29"/>
    </row>
    <row r="18" spans="1:22" s="37" customFormat="1" ht="18" customHeight="1">
      <c r="A18" s="14" t="s">
        <v>207</v>
      </c>
      <c r="B18" s="15">
        <v>21</v>
      </c>
      <c r="C18" s="16" t="str">
        <f>INDEX(PORT!$B$2:$B$20,MATCH('03'!B18,PORT!$A$2:$A$20))</f>
        <v>PNH21</v>
      </c>
      <c r="D18" s="10" t="str">
        <f>INDEX(PORT!$C$2:$C$20,MATCH('03'!B18,PORT!$A$2:$A$20))</f>
        <v>OLAIR DRY PORT</v>
      </c>
      <c r="E18" s="18" t="s">
        <v>425</v>
      </c>
      <c r="F18" s="18">
        <v>46091</v>
      </c>
      <c r="G18" s="19" t="s">
        <v>4</v>
      </c>
      <c r="H18" s="49" t="s">
        <v>395</v>
      </c>
      <c r="I18" s="196" t="s">
        <v>396</v>
      </c>
      <c r="J18" s="142" t="s">
        <v>428</v>
      </c>
      <c r="K18" s="194">
        <v>46092</v>
      </c>
      <c r="L18" s="21" t="str">
        <f>VLOOKUP(K18,'[3]Exchange Rate'!$A$3:$C$24,3,FALSE)</f>
        <v>4013</v>
      </c>
      <c r="M18" s="20" t="str">
        <f t="shared" si="0"/>
        <v>Wednesday</v>
      </c>
      <c r="N18" s="26">
        <v>145</v>
      </c>
      <c r="O18" s="55">
        <v>176</v>
      </c>
      <c r="P18" s="22">
        <v>50</v>
      </c>
      <c r="Q18" s="185">
        <v>150</v>
      </c>
      <c r="R18" s="185">
        <v>201</v>
      </c>
      <c r="S18" s="182">
        <f t="shared" si="1"/>
        <v>15</v>
      </c>
      <c r="T18" s="185">
        <v>181</v>
      </c>
      <c r="U18" s="24">
        <f t="shared" si="2"/>
        <v>161</v>
      </c>
      <c r="V18" s="31"/>
    </row>
    <row r="19" spans="1:22" s="37" customFormat="1" ht="18" customHeight="1">
      <c r="A19" s="14" t="s">
        <v>207</v>
      </c>
      <c r="B19" s="143">
        <v>1</v>
      </c>
      <c r="C19" s="16" t="str">
        <f>INDEX(PORT!$B$2:$B$20,MATCH('03'!B19,PORT!$A$2:$A$20))</f>
        <v>PNH01</v>
      </c>
      <c r="D19" s="10" t="str">
        <f>INDEX(PORT!$C$2:$C$20,MATCH('03'!B19,PORT!$A$2:$A$20))</f>
        <v>KTI AIR PORT</v>
      </c>
      <c r="E19" s="144" t="s">
        <v>363</v>
      </c>
      <c r="F19" s="144">
        <v>46093</v>
      </c>
      <c r="G19" s="145" t="s">
        <v>10</v>
      </c>
      <c r="H19" s="49" t="s">
        <v>397</v>
      </c>
      <c r="I19" s="196" t="s">
        <v>398</v>
      </c>
      <c r="J19" s="146" t="s">
        <v>414</v>
      </c>
      <c r="K19" s="147">
        <v>46094</v>
      </c>
      <c r="L19" s="21" t="str">
        <f>VLOOKUP(K19,'[3]Exchange Rate'!$A$3:$C$24,3,FALSE)</f>
        <v>4013</v>
      </c>
      <c r="M19" s="20" t="str">
        <f t="shared" si="0"/>
        <v>Friday</v>
      </c>
      <c r="N19" s="148">
        <v>85.95</v>
      </c>
      <c r="O19" s="55">
        <v>0</v>
      </c>
      <c r="P19" s="22">
        <v>50</v>
      </c>
      <c r="Q19" s="183">
        <v>140</v>
      </c>
      <c r="R19" s="183">
        <v>15.95</v>
      </c>
      <c r="S19" s="182">
        <f t="shared" si="1"/>
        <v>14</v>
      </c>
      <c r="T19" s="183">
        <v>60</v>
      </c>
      <c r="U19" s="24">
        <f t="shared" si="2"/>
        <v>80</v>
      </c>
      <c r="V19" s="19"/>
    </row>
    <row r="20" spans="1:22" ht="18" customHeight="1">
      <c r="A20" s="14" t="s">
        <v>207</v>
      </c>
      <c r="B20" s="143">
        <v>1</v>
      </c>
      <c r="C20" s="16" t="str">
        <f>INDEX(PORT!$B$2:$B$20,MATCH('03'!B20,PORT!$A$2:$A$20))</f>
        <v>PNH01</v>
      </c>
      <c r="D20" s="10" t="str">
        <f>INDEX(PORT!$C$2:$C$20,MATCH('03'!B20,PORT!$A$2:$A$20))</f>
        <v>KTI AIR PORT</v>
      </c>
      <c r="E20" s="144" t="s">
        <v>365</v>
      </c>
      <c r="F20" s="144">
        <v>46093</v>
      </c>
      <c r="G20" s="145" t="s">
        <v>10</v>
      </c>
      <c r="H20" s="49" t="s">
        <v>399</v>
      </c>
      <c r="I20" s="196" t="s">
        <v>400</v>
      </c>
      <c r="J20" s="146" t="s">
        <v>415</v>
      </c>
      <c r="K20" s="147">
        <v>46094</v>
      </c>
      <c r="L20" s="21" t="str">
        <f>VLOOKUP(K20,'[3]Exchange Rate'!$A$3:$C$24,3,FALSE)</f>
        <v>4013</v>
      </c>
      <c r="M20" s="20" t="str">
        <f t="shared" si="0"/>
        <v>Friday</v>
      </c>
      <c r="N20" s="148">
        <v>158.4</v>
      </c>
      <c r="O20" s="55">
        <v>60.5</v>
      </c>
      <c r="P20" s="22">
        <v>50</v>
      </c>
      <c r="Q20" s="184">
        <v>150</v>
      </c>
      <c r="R20" s="184">
        <v>78.900000000000006</v>
      </c>
      <c r="S20" s="182">
        <f t="shared" si="1"/>
        <v>15</v>
      </c>
      <c r="T20" s="184">
        <v>119.75</v>
      </c>
      <c r="U20" s="24">
        <f t="shared" si="2"/>
        <v>79.75</v>
      </c>
      <c r="V20" s="29"/>
    </row>
    <row r="21" spans="1:22" ht="18" customHeight="1">
      <c r="A21" s="14" t="s">
        <v>207</v>
      </c>
      <c r="B21" s="15">
        <v>11</v>
      </c>
      <c r="C21" s="16" t="str">
        <f>INDEX(PORT!$B$2:$B$20,MATCH('03'!B21,PORT!$A$2:$A$20))</f>
        <v>SHV11</v>
      </c>
      <c r="D21" s="10" t="str">
        <f>INDEX(PORT!$C$2:$C$20,MATCH('03'!B21,PORT!$A$2:$A$20))</f>
        <v>SHV PORT</v>
      </c>
      <c r="E21" s="18" t="s">
        <v>426</v>
      </c>
      <c r="F21" s="18">
        <v>46093</v>
      </c>
      <c r="G21" s="19" t="s">
        <v>4</v>
      </c>
      <c r="H21" s="49" t="s">
        <v>401</v>
      </c>
      <c r="I21" s="196" t="s">
        <v>402</v>
      </c>
      <c r="J21" s="142" t="s">
        <v>429</v>
      </c>
      <c r="K21" s="194">
        <v>46094</v>
      </c>
      <c r="L21" s="21" t="str">
        <f>VLOOKUP(K21,'[3]Exchange Rate'!$A$3:$C$24,3,FALSE)</f>
        <v>4013</v>
      </c>
      <c r="M21" s="20" t="str">
        <f t="shared" si="0"/>
        <v>Friday</v>
      </c>
      <c r="N21" s="26">
        <v>271.99</v>
      </c>
      <c r="O21" s="55">
        <v>365.01</v>
      </c>
      <c r="P21" s="22">
        <v>50</v>
      </c>
      <c r="Q21" s="186">
        <v>150</v>
      </c>
      <c r="R21" s="186">
        <v>385.49</v>
      </c>
      <c r="S21" s="182">
        <f t="shared" si="1"/>
        <v>15</v>
      </c>
      <c r="T21" s="186">
        <v>243.84</v>
      </c>
      <c r="U21" s="24">
        <f t="shared" si="2"/>
        <v>92.330000000000041</v>
      </c>
      <c r="V21" s="31"/>
    </row>
    <row r="22" spans="1:22" ht="18" customHeight="1">
      <c r="A22" s="14" t="s">
        <v>207</v>
      </c>
      <c r="B22" s="15">
        <v>11</v>
      </c>
      <c r="C22" s="16" t="str">
        <f>INDEX(PORT!$B$2:$B$20,MATCH('03'!B22,PORT!$A$2:$A$20))</f>
        <v>SHV11</v>
      </c>
      <c r="D22" s="10" t="str">
        <f>INDEX(PORT!$C$2:$C$20,MATCH('03'!B22,PORT!$A$2:$A$20))</f>
        <v>SHV PORT</v>
      </c>
      <c r="E22" s="18" t="s">
        <v>427</v>
      </c>
      <c r="F22" s="18">
        <v>46093</v>
      </c>
      <c r="G22" s="19" t="s">
        <v>4</v>
      </c>
      <c r="H22" s="49" t="s">
        <v>432</v>
      </c>
      <c r="I22" s="196" t="s">
        <v>433</v>
      </c>
      <c r="J22" s="142" t="s">
        <v>430</v>
      </c>
      <c r="K22" s="194">
        <v>46094</v>
      </c>
      <c r="L22" s="21" t="str">
        <f>VLOOKUP(K22,'[3]Exchange Rate'!$A$3:$C$24,3,FALSE)</f>
        <v>4013</v>
      </c>
      <c r="M22" s="20" t="str">
        <f t="shared" si="0"/>
        <v>Friday</v>
      </c>
      <c r="N22" s="26">
        <v>202.51</v>
      </c>
      <c r="O22" s="55">
        <v>245.98</v>
      </c>
      <c r="P22" s="22">
        <v>50</v>
      </c>
      <c r="Q22" s="186">
        <v>150</v>
      </c>
      <c r="R22" s="186">
        <v>263.10000000000002</v>
      </c>
      <c r="S22" s="182">
        <f t="shared" si="1"/>
        <v>15</v>
      </c>
      <c r="T22" s="186">
        <v>152.84</v>
      </c>
      <c r="U22" s="24">
        <f t="shared" si="2"/>
        <v>67.450000000000045</v>
      </c>
      <c r="V22" s="19"/>
    </row>
    <row r="23" spans="1:22" ht="18" customHeight="1">
      <c r="A23" s="14" t="s">
        <v>207</v>
      </c>
      <c r="B23" s="151">
        <v>1</v>
      </c>
      <c r="C23" s="16" t="str">
        <f>INDEX(PORT!$B$2:$B$20,MATCH('03'!B23,PORT!$A$2:$A$20))</f>
        <v>PNH01</v>
      </c>
      <c r="D23" s="10" t="str">
        <f>INDEX(PORT!$C$2:$C$20,MATCH('03'!B23,PORT!$A$2:$A$20))</f>
        <v>KTI AIR PORT</v>
      </c>
      <c r="E23" s="213" t="s">
        <v>560</v>
      </c>
      <c r="F23" s="153">
        <v>46094</v>
      </c>
      <c r="G23" s="152" t="s">
        <v>10</v>
      </c>
      <c r="H23" s="49" t="s">
        <v>434</v>
      </c>
      <c r="I23" s="196" t="s">
        <v>435</v>
      </c>
      <c r="J23" s="146" t="s">
        <v>416</v>
      </c>
      <c r="K23" s="153">
        <v>46097</v>
      </c>
      <c r="L23" s="21" t="str">
        <f>VLOOKUP(K23,'[3]Exchange Rate'!$A$3:$C$24,3,FALSE)</f>
        <v>4013</v>
      </c>
      <c r="M23" s="20" t="str">
        <f t="shared" si="0"/>
        <v>Monday</v>
      </c>
      <c r="N23" s="148">
        <v>86.83</v>
      </c>
      <c r="O23" s="55">
        <v>0</v>
      </c>
      <c r="P23" s="22">
        <v>50</v>
      </c>
      <c r="Q23" s="184">
        <v>140</v>
      </c>
      <c r="R23" s="184">
        <v>16.829999999999998</v>
      </c>
      <c r="S23" s="182">
        <f t="shared" si="1"/>
        <v>14</v>
      </c>
      <c r="T23" s="184">
        <v>60</v>
      </c>
      <c r="U23" s="24">
        <f t="shared" si="2"/>
        <v>80</v>
      </c>
      <c r="V23" s="29"/>
    </row>
    <row r="24" spans="1:22" ht="18" customHeight="1">
      <c r="A24" s="14" t="s">
        <v>207</v>
      </c>
      <c r="B24" s="151">
        <v>1</v>
      </c>
      <c r="C24" s="16" t="str">
        <f>INDEX(PORT!$B$2:$B$20,MATCH('03'!B24,PORT!$A$2:$A$20))</f>
        <v>PNH01</v>
      </c>
      <c r="D24" s="10" t="str">
        <f>INDEX(PORT!$C$2:$C$20,MATCH('03'!B24,PORT!$A$2:$A$20))</f>
        <v>KTI AIR PORT</v>
      </c>
      <c r="E24" s="144" t="s">
        <v>561</v>
      </c>
      <c r="F24" s="144">
        <v>46095</v>
      </c>
      <c r="G24" s="145" t="s">
        <v>10</v>
      </c>
      <c r="H24" s="49" t="s">
        <v>436</v>
      </c>
      <c r="I24" s="196" t="s">
        <v>437</v>
      </c>
      <c r="J24" s="146" t="s">
        <v>417</v>
      </c>
      <c r="K24" s="147">
        <v>46097</v>
      </c>
      <c r="L24" s="21" t="str">
        <f>VLOOKUP(K24,'[3]Exchange Rate'!$A$3:$C$24,3,FALSE)</f>
        <v>4013</v>
      </c>
      <c r="M24" s="20" t="str">
        <f t="shared" si="0"/>
        <v>Monday</v>
      </c>
      <c r="N24" s="148">
        <v>90.26</v>
      </c>
      <c r="O24" s="55">
        <v>0</v>
      </c>
      <c r="P24" s="22">
        <v>50</v>
      </c>
      <c r="Q24" s="184">
        <v>140</v>
      </c>
      <c r="R24" s="184">
        <v>20.260000000000002</v>
      </c>
      <c r="S24" s="182">
        <f t="shared" si="1"/>
        <v>14</v>
      </c>
      <c r="T24" s="185">
        <v>60</v>
      </c>
      <c r="U24" s="24">
        <f t="shared" si="2"/>
        <v>80</v>
      </c>
      <c r="V24" s="29"/>
    </row>
    <row r="25" spans="1:22" ht="18" customHeight="1">
      <c r="A25" s="14" t="s">
        <v>207</v>
      </c>
      <c r="B25" s="143">
        <v>1</v>
      </c>
      <c r="C25" s="16" t="str">
        <f>INDEX(PORT!$B$2:$B$20,MATCH('03'!B25,PORT!$A$2:$A$20))</f>
        <v>PNH01</v>
      </c>
      <c r="D25" s="10" t="str">
        <f>INDEX(PORT!$C$2:$C$20,MATCH('03'!B25,PORT!$A$2:$A$20))</f>
        <v>KTI AIR PORT</v>
      </c>
      <c r="E25" s="213" t="s">
        <v>562</v>
      </c>
      <c r="F25" s="153">
        <v>46095</v>
      </c>
      <c r="G25" s="152" t="s">
        <v>10</v>
      </c>
      <c r="H25" s="49" t="s">
        <v>438</v>
      </c>
      <c r="I25" s="196" t="s">
        <v>439</v>
      </c>
      <c r="J25" s="146" t="s">
        <v>418</v>
      </c>
      <c r="K25" s="153">
        <v>46097</v>
      </c>
      <c r="L25" s="21" t="str">
        <f>VLOOKUP(K25,'[3]Exchange Rate'!$A$3:$C$24,3,FALSE)</f>
        <v>4013</v>
      </c>
      <c r="M25" s="20" t="str">
        <f t="shared" si="0"/>
        <v>Monday</v>
      </c>
      <c r="N25" s="148">
        <v>83.75</v>
      </c>
      <c r="O25" s="55">
        <v>0</v>
      </c>
      <c r="P25" s="22">
        <v>50</v>
      </c>
      <c r="Q25" s="184">
        <v>140</v>
      </c>
      <c r="R25" s="184">
        <v>13.75</v>
      </c>
      <c r="S25" s="182">
        <f t="shared" si="1"/>
        <v>14</v>
      </c>
      <c r="T25" s="184">
        <v>60</v>
      </c>
      <c r="U25" s="24">
        <f t="shared" si="2"/>
        <v>80</v>
      </c>
      <c r="V25" s="29"/>
    </row>
    <row r="26" spans="1:22" ht="18" customHeight="1">
      <c r="A26" s="14" t="s">
        <v>207</v>
      </c>
      <c r="B26" s="143">
        <v>11</v>
      </c>
      <c r="C26" s="16" t="str">
        <f>INDEX(PORT!$B$2:$B$20,MATCH('03'!B26,PORT!$A$2:$A$20))</f>
        <v>SHV11</v>
      </c>
      <c r="D26" s="10" t="str">
        <f>INDEX(PORT!$C$2:$C$20,MATCH('03'!B26,PORT!$A$2:$A$20))</f>
        <v>SHV PORT</v>
      </c>
      <c r="E26" s="211" t="s">
        <v>563</v>
      </c>
      <c r="F26" s="144">
        <v>46095</v>
      </c>
      <c r="G26" s="145" t="s">
        <v>10</v>
      </c>
      <c r="H26" s="49" t="s">
        <v>448</v>
      </c>
      <c r="I26" s="196" t="s">
        <v>449</v>
      </c>
      <c r="J26" s="146" t="s">
        <v>419</v>
      </c>
      <c r="K26" s="147">
        <v>46097</v>
      </c>
      <c r="L26" s="21" t="str">
        <f>VLOOKUP(K26,'[3]Exchange Rate'!$A$3:$C$24,3,FALSE)</f>
        <v>4013</v>
      </c>
      <c r="M26" s="20" t="str">
        <f t="shared" si="0"/>
        <v>Monday</v>
      </c>
      <c r="N26" s="148">
        <v>152.44999999999999</v>
      </c>
      <c r="O26" s="55">
        <v>238.92</v>
      </c>
      <c r="P26" s="22">
        <v>50</v>
      </c>
      <c r="Q26" s="187">
        <v>150</v>
      </c>
      <c r="R26" s="187">
        <v>254.35</v>
      </c>
      <c r="S26" s="182">
        <f t="shared" si="1"/>
        <v>15</v>
      </c>
      <c r="T26" s="187">
        <v>100.15</v>
      </c>
      <c r="U26" s="24">
        <f t="shared" si="2"/>
        <v>63.129999999999995</v>
      </c>
      <c r="V26" s="49"/>
    </row>
    <row r="27" spans="1:22" ht="18" customHeight="1">
      <c r="A27" s="14" t="s">
        <v>207</v>
      </c>
      <c r="B27" s="143">
        <v>1</v>
      </c>
      <c r="C27" s="16" t="str">
        <f>INDEX(PORT!$B$2:$B$20,MATCH('03'!B27,PORT!$A$2:$A$20))</f>
        <v>PNH01</v>
      </c>
      <c r="D27" s="10" t="str">
        <f>INDEX(PORT!$C$2:$C$20,MATCH('03'!B27,PORT!$A$2:$A$20))</f>
        <v>KTI AIR PORT</v>
      </c>
      <c r="E27" s="215" t="s">
        <v>564</v>
      </c>
      <c r="F27" s="166">
        <v>46094</v>
      </c>
      <c r="G27" s="165" t="s">
        <v>64</v>
      </c>
      <c r="H27" s="49" t="s">
        <v>450</v>
      </c>
      <c r="I27" s="196" t="s">
        <v>451</v>
      </c>
      <c r="J27" s="167" t="s">
        <v>423</v>
      </c>
      <c r="K27" s="166">
        <v>46097</v>
      </c>
      <c r="L27" s="21" t="str">
        <f>VLOOKUP(K27,'[3]Exchange Rate'!$A$3:$C$24,3,FALSE)</f>
        <v>4013</v>
      </c>
      <c r="M27" s="20" t="str">
        <f t="shared" si="0"/>
        <v>Monday</v>
      </c>
      <c r="N27" s="148">
        <v>125.37</v>
      </c>
      <c r="O27" s="55">
        <v>0</v>
      </c>
      <c r="P27" s="22">
        <v>50</v>
      </c>
      <c r="Q27" s="189">
        <v>150</v>
      </c>
      <c r="R27" s="189">
        <v>55.37</v>
      </c>
      <c r="S27" s="182">
        <f t="shared" si="1"/>
        <v>15</v>
      </c>
      <c r="T27" s="189">
        <v>180</v>
      </c>
      <c r="U27" s="24">
        <f t="shared" si="2"/>
        <v>210</v>
      </c>
      <c r="V27" s="31"/>
    </row>
    <row r="28" spans="1:22" ht="18" customHeight="1">
      <c r="A28" s="14" t="s">
        <v>207</v>
      </c>
      <c r="B28" s="143">
        <v>1</v>
      </c>
      <c r="C28" s="16" t="str">
        <f>INDEX(PORT!$B$2:$B$20,MATCH('03'!B28,PORT!$A$2:$A$20))</f>
        <v>PNH01</v>
      </c>
      <c r="D28" s="10" t="str">
        <f>INDEX(PORT!$C$2:$C$20,MATCH('03'!B28,PORT!$A$2:$A$20))</f>
        <v>KTI AIR PORT</v>
      </c>
      <c r="E28" s="168" t="s">
        <v>366</v>
      </c>
      <c r="F28" s="168">
        <v>46094</v>
      </c>
      <c r="G28" s="169" t="s">
        <v>64</v>
      </c>
      <c r="H28" s="49" t="s">
        <v>452</v>
      </c>
      <c r="I28" s="196" t="s">
        <v>453</v>
      </c>
      <c r="J28" s="169" t="s">
        <v>424</v>
      </c>
      <c r="K28" s="170">
        <v>46097</v>
      </c>
      <c r="L28" s="21" t="str">
        <f>VLOOKUP(K28,'[3]Exchange Rate'!$A$3:$C$24,3,FALSE)</f>
        <v>4013</v>
      </c>
      <c r="M28" s="20" t="str">
        <f t="shared" si="0"/>
        <v>Monday</v>
      </c>
      <c r="N28" s="148">
        <v>165.41</v>
      </c>
      <c r="O28" s="55">
        <v>0</v>
      </c>
      <c r="P28" s="22">
        <v>50</v>
      </c>
      <c r="Q28" s="183">
        <v>175</v>
      </c>
      <c r="R28" s="183">
        <v>95.41</v>
      </c>
      <c r="S28" s="182">
        <f t="shared" si="1"/>
        <v>17.5</v>
      </c>
      <c r="T28" s="186">
        <v>60</v>
      </c>
      <c r="U28" s="24">
        <f t="shared" si="2"/>
        <v>114.99999999999997</v>
      </c>
      <c r="V28" s="19"/>
    </row>
    <row r="29" spans="1:22" ht="18" customHeight="1">
      <c r="A29" s="14" t="s">
        <v>207</v>
      </c>
      <c r="B29" s="15">
        <v>4</v>
      </c>
      <c r="C29" s="16" t="str">
        <f>INDEX(PORT!$B$2:$B$20,MATCH('03'!B29,PORT!$A$2:$A$20))</f>
        <v>PNH04</v>
      </c>
      <c r="D29" s="10" t="str">
        <f>INDEX(PORT!$C$2:$C$20,MATCH('03'!B29,PORT!$A$2:$A$20))</f>
        <v>PNH PORT</v>
      </c>
      <c r="E29" s="18" t="s">
        <v>565</v>
      </c>
      <c r="F29" s="18">
        <v>46094</v>
      </c>
      <c r="G29" s="19" t="s">
        <v>41</v>
      </c>
      <c r="H29" s="49" t="s">
        <v>454</v>
      </c>
      <c r="I29" s="196" t="s">
        <v>455</v>
      </c>
      <c r="J29" s="169" t="s">
        <v>409</v>
      </c>
      <c r="K29" s="194">
        <v>46097</v>
      </c>
      <c r="L29" s="21" t="str">
        <f>VLOOKUP(K29,'[3]Exchange Rate'!$A$3:$C$24,3,FALSE)</f>
        <v>4013</v>
      </c>
      <c r="M29" s="20" t="str">
        <f t="shared" si="0"/>
        <v>Monday</v>
      </c>
      <c r="N29" s="26">
        <v>516.85</v>
      </c>
      <c r="O29" s="55">
        <v>466</v>
      </c>
      <c r="P29" s="22">
        <v>0</v>
      </c>
      <c r="Q29" s="186">
        <v>213</v>
      </c>
      <c r="R29" s="186">
        <v>567.85</v>
      </c>
      <c r="S29" s="182">
        <f t="shared" si="1"/>
        <v>21.3</v>
      </c>
      <c r="T29" s="186">
        <v>621.58000000000004</v>
      </c>
      <c r="U29" s="24">
        <f t="shared" si="2"/>
        <v>419.58000000000004</v>
      </c>
      <c r="V29" s="19" t="s">
        <v>515</v>
      </c>
    </row>
    <row r="30" spans="1:22" ht="18" customHeight="1">
      <c r="A30" s="14" t="s">
        <v>207</v>
      </c>
      <c r="B30" s="15">
        <v>11</v>
      </c>
      <c r="C30" s="16" t="str">
        <f>INDEX(PORT!$B$2:$B$20,MATCH('03'!B30,PORT!$A$2:$A$20))</f>
        <v>SHV11</v>
      </c>
      <c r="D30" s="10" t="str">
        <f>INDEX(PORT!$C$2:$C$20,MATCH('03'!B30,PORT!$A$2:$A$20))</f>
        <v>SHV PORT</v>
      </c>
      <c r="E30" s="18" t="s">
        <v>566</v>
      </c>
      <c r="F30" s="18">
        <v>46095</v>
      </c>
      <c r="G30" s="19" t="s">
        <v>4</v>
      </c>
      <c r="H30" s="49" t="s">
        <v>456</v>
      </c>
      <c r="I30" s="196" t="s">
        <v>457</v>
      </c>
      <c r="J30" s="142" t="s">
        <v>431</v>
      </c>
      <c r="K30" s="194">
        <v>46097</v>
      </c>
      <c r="L30" s="21" t="str">
        <f>VLOOKUP(K30,'[3]Exchange Rate'!$A$3:$C$24,3,FALSE)</f>
        <v>4013</v>
      </c>
      <c r="M30" s="20" t="str">
        <f t="shared" si="0"/>
        <v>Monday</v>
      </c>
      <c r="N30" s="26">
        <v>155.43</v>
      </c>
      <c r="O30" s="55">
        <v>198.4</v>
      </c>
      <c r="P30" s="22">
        <v>50</v>
      </c>
      <c r="Q30" s="186">
        <v>150</v>
      </c>
      <c r="R30" s="186">
        <v>213.83</v>
      </c>
      <c r="S30" s="182">
        <f t="shared" si="1"/>
        <v>15</v>
      </c>
      <c r="T30" s="186">
        <v>160.52000000000001</v>
      </c>
      <c r="U30" s="24">
        <f t="shared" si="2"/>
        <v>120.51999999999998</v>
      </c>
      <c r="V30" s="19"/>
    </row>
    <row r="31" spans="1:22" ht="18" customHeight="1">
      <c r="A31" s="14" t="s">
        <v>207</v>
      </c>
      <c r="B31" s="15">
        <v>19</v>
      </c>
      <c r="C31" s="16" t="str">
        <f>INDEX(PORT!$B$2:$B$20,MATCH('03'!B31,PORT!$A$2:$A$20))</f>
        <v>PNH19</v>
      </c>
      <c r="D31" s="10" t="str">
        <f>INDEX(PORT!$C$2:$C$20,MATCH('03'!B31,PORT!$A$2:$A$20))</f>
        <v>TEC SRUN DRYPORT</v>
      </c>
      <c r="E31" s="18" t="s">
        <v>567</v>
      </c>
      <c r="F31" s="18">
        <v>46097</v>
      </c>
      <c r="G31" s="19" t="s">
        <v>10</v>
      </c>
      <c r="H31" s="49" t="s">
        <v>458</v>
      </c>
      <c r="I31" s="196" t="s">
        <v>459</v>
      </c>
      <c r="J31" s="198" t="s">
        <v>476</v>
      </c>
      <c r="K31" s="194">
        <v>46098</v>
      </c>
      <c r="L31" s="21" t="str">
        <f>VLOOKUP(K31,'[3]Exchange Rate'!$A$3:$C$24,3,FALSE)</f>
        <v>4013</v>
      </c>
      <c r="M31" s="20" t="str">
        <f t="shared" si="0"/>
        <v>Tuesday</v>
      </c>
      <c r="N31" s="26">
        <v>116.1</v>
      </c>
      <c r="O31" s="55">
        <v>194.13</v>
      </c>
      <c r="P31" s="22">
        <v>50</v>
      </c>
      <c r="Q31" s="185">
        <v>150</v>
      </c>
      <c r="R31" s="185">
        <v>220.23</v>
      </c>
      <c r="S31" s="182">
        <f t="shared" si="1"/>
        <v>15</v>
      </c>
      <c r="T31" s="185">
        <v>108.5</v>
      </c>
      <c r="U31" s="24">
        <f t="shared" si="2"/>
        <v>118.5</v>
      </c>
      <c r="V31" s="31"/>
    </row>
    <row r="32" spans="1:22" ht="18" customHeight="1">
      <c r="A32" s="14" t="s">
        <v>207</v>
      </c>
      <c r="B32" s="15">
        <v>19</v>
      </c>
      <c r="C32" s="16" t="str">
        <f>INDEX(PORT!$B$2:$B$20,MATCH('03'!B32,PORT!$A$2:$A$20))</f>
        <v>PNH19</v>
      </c>
      <c r="D32" s="10" t="str">
        <f>INDEX(PORT!$C$2:$C$20,MATCH('03'!B32,PORT!$A$2:$A$20))</f>
        <v>TEC SRUN DRYPORT</v>
      </c>
      <c r="E32" s="16" t="s">
        <v>444</v>
      </c>
      <c r="F32" s="54">
        <v>46097</v>
      </c>
      <c r="G32" s="19" t="s">
        <v>4</v>
      </c>
      <c r="H32" s="49" t="s">
        <v>460</v>
      </c>
      <c r="I32" s="196" t="s">
        <v>461</v>
      </c>
      <c r="J32" s="199" t="s">
        <v>483</v>
      </c>
      <c r="K32" s="20">
        <v>46098</v>
      </c>
      <c r="L32" s="21" t="str">
        <f>VLOOKUP(K32,'[3]Exchange Rate'!$A$3:$C$24,3,FALSE)</f>
        <v>4013</v>
      </c>
      <c r="M32" s="20" t="str">
        <f t="shared" si="0"/>
        <v>Tuesday</v>
      </c>
      <c r="N32" s="55">
        <v>136.1</v>
      </c>
      <c r="O32" s="55">
        <v>194.13</v>
      </c>
      <c r="P32" s="22">
        <v>50</v>
      </c>
      <c r="Q32" s="191">
        <v>150</v>
      </c>
      <c r="R32" s="191">
        <v>220.23</v>
      </c>
      <c r="S32" s="182">
        <f t="shared" si="1"/>
        <v>15</v>
      </c>
      <c r="T32" s="192">
        <v>147</v>
      </c>
      <c r="U32" s="24">
        <f t="shared" si="2"/>
        <v>137</v>
      </c>
      <c r="V32" s="58"/>
    </row>
    <row r="33" spans="1:22" ht="18" customHeight="1">
      <c r="A33" s="14" t="s">
        <v>207</v>
      </c>
      <c r="B33" s="15">
        <v>11</v>
      </c>
      <c r="C33" s="16" t="str">
        <f>INDEX(PORT!$B$2:$B$20,MATCH('03'!B33,PORT!$A$2:$A$20))</f>
        <v>SHV11</v>
      </c>
      <c r="D33" s="10" t="str">
        <f>INDEX(PORT!$C$2:$C$20,MATCH('03'!B33,PORT!$A$2:$A$20))</f>
        <v>SHV PORT</v>
      </c>
      <c r="E33" s="16" t="s">
        <v>568</v>
      </c>
      <c r="F33" s="18">
        <v>46099</v>
      </c>
      <c r="G33" s="19" t="s">
        <v>10</v>
      </c>
      <c r="H33" s="49" t="s">
        <v>462</v>
      </c>
      <c r="I33" s="196" t="s">
        <v>463</v>
      </c>
      <c r="J33" s="198" t="s">
        <v>477</v>
      </c>
      <c r="K33" s="194">
        <v>46100</v>
      </c>
      <c r="L33" s="21" t="str">
        <f>VLOOKUP(K33,'[3]Exchange Rate'!$A$3:$C$24,3,FALSE)</f>
        <v>4013</v>
      </c>
      <c r="M33" s="20" t="str">
        <f t="shared" si="0"/>
        <v>Thursday</v>
      </c>
      <c r="N33" s="22">
        <v>168.06</v>
      </c>
      <c r="O33" s="55">
        <v>312.74</v>
      </c>
      <c r="P33" s="22">
        <v>50</v>
      </c>
      <c r="Q33" s="182">
        <v>150</v>
      </c>
      <c r="R33" s="182">
        <v>329.86</v>
      </c>
      <c r="S33" s="182">
        <f t="shared" si="1"/>
        <v>15</v>
      </c>
      <c r="T33" s="182">
        <v>108.64</v>
      </c>
      <c r="U33" s="24">
        <f t="shared" si="2"/>
        <v>57.700000000000045</v>
      </c>
      <c r="V33" s="17"/>
    </row>
    <row r="34" spans="1:22" ht="18" customHeight="1">
      <c r="A34" s="14" t="s">
        <v>207</v>
      </c>
      <c r="B34" s="15">
        <v>11</v>
      </c>
      <c r="C34" s="16" t="str">
        <f>INDEX(PORT!$B$2:$B$20,MATCH('03'!B34,PORT!$A$2:$A$20))</f>
        <v>SHV11</v>
      </c>
      <c r="D34" s="10" t="str">
        <f>INDEX(PORT!$C$2:$C$20,MATCH('03'!B34,PORT!$A$2:$A$20))</f>
        <v>SHV PORT</v>
      </c>
      <c r="E34" s="18" t="s">
        <v>569</v>
      </c>
      <c r="F34" s="18">
        <v>46099</v>
      </c>
      <c r="G34" s="19" t="s">
        <v>10</v>
      </c>
      <c r="H34" s="49" t="s">
        <v>464</v>
      </c>
      <c r="I34" s="196" t="s">
        <v>465</v>
      </c>
      <c r="J34" s="200" t="s">
        <v>478</v>
      </c>
      <c r="K34" s="194">
        <v>46100</v>
      </c>
      <c r="L34" s="21" t="str">
        <f>VLOOKUP(K34,'[3]Exchange Rate'!$A$3:$C$24,3,FALSE)</f>
        <v>4013</v>
      </c>
      <c r="M34" s="20" t="str">
        <f t="shared" si="0"/>
        <v>Thursday</v>
      </c>
      <c r="N34" s="26">
        <v>145.43</v>
      </c>
      <c r="O34" s="55">
        <v>206.25</v>
      </c>
      <c r="P34" s="22">
        <v>50</v>
      </c>
      <c r="Q34" s="186">
        <v>150</v>
      </c>
      <c r="R34" s="186">
        <v>221.68</v>
      </c>
      <c r="S34" s="182">
        <f>ROUND(Q34*10%,2)</f>
        <v>15</v>
      </c>
      <c r="T34" s="186">
        <v>112.31</v>
      </c>
      <c r="U34" s="24">
        <f t="shared" si="2"/>
        <v>82.31</v>
      </c>
      <c r="V34" s="19"/>
    </row>
    <row r="35" spans="1:22" ht="18" customHeight="1">
      <c r="A35" s="14" t="s">
        <v>207</v>
      </c>
      <c r="B35" s="59">
        <v>11</v>
      </c>
      <c r="C35" s="16" t="str">
        <f>INDEX(PORT!$B$2:$B$20,MATCH('03'!B35,PORT!$A$2:$A$20))</f>
        <v>SHV11</v>
      </c>
      <c r="D35" s="10" t="str">
        <f>INDEX(PORT!$C$2:$C$20,MATCH('03'!B35,PORT!$A$2:$A$20))</f>
        <v>SHV PORT</v>
      </c>
      <c r="E35" s="60" t="s">
        <v>570</v>
      </c>
      <c r="F35" s="54">
        <v>46099</v>
      </c>
      <c r="G35" s="19" t="s">
        <v>4</v>
      </c>
      <c r="H35" s="49" t="s">
        <v>466</v>
      </c>
      <c r="I35" s="196" t="s">
        <v>467</v>
      </c>
      <c r="J35" s="198" t="s">
        <v>484</v>
      </c>
      <c r="K35" s="20">
        <v>46100</v>
      </c>
      <c r="L35" s="21" t="str">
        <f>VLOOKUP(K35,'[3]Exchange Rate'!$A$3:$C$24,3,FALSE)</f>
        <v>4013</v>
      </c>
      <c r="M35" s="20" t="str">
        <f t="shared" ref="M35:M57" si="3">TEXT(K35,"dddd")</f>
        <v>Thursday</v>
      </c>
      <c r="N35" s="26">
        <v>219.3</v>
      </c>
      <c r="O35" s="55">
        <v>256.01</v>
      </c>
      <c r="P35" s="22">
        <v>50</v>
      </c>
      <c r="Q35" s="191">
        <v>150</v>
      </c>
      <c r="R35" s="191">
        <v>274.81</v>
      </c>
      <c r="S35" s="182">
        <f t="shared" ref="S35:S57" si="4">ROUND(Q35*10%,2)</f>
        <v>15</v>
      </c>
      <c r="T35" s="192">
        <v>196.9</v>
      </c>
      <c r="U35" s="24">
        <f t="shared" si="2"/>
        <v>96.400000000000091</v>
      </c>
      <c r="V35" s="58"/>
    </row>
    <row r="36" spans="1:22" ht="18" customHeight="1">
      <c r="A36" s="14" t="s">
        <v>207</v>
      </c>
      <c r="B36" s="15">
        <v>4</v>
      </c>
      <c r="C36" s="16" t="str">
        <f>INDEX(PORT!$B$2:$B$20,MATCH('03'!B36,PORT!$A$2:$A$20))</f>
        <v>PNH04</v>
      </c>
      <c r="D36" s="10" t="str">
        <f>INDEX(PORT!$C$2:$C$20,MATCH('03'!B36,PORT!$A$2:$A$20))</f>
        <v>PNH PORT</v>
      </c>
      <c r="E36" s="216" t="s">
        <v>442</v>
      </c>
      <c r="F36" s="18">
        <v>46100</v>
      </c>
      <c r="G36" s="19" t="s">
        <v>4</v>
      </c>
      <c r="H36" s="49" t="s">
        <v>468</v>
      </c>
      <c r="I36" s="196" t="s">
        <v>469</v>
      </c>
      <c r="J36" s="198" t="s">
        <v>485</v>
      </c>
      <c r="K36" s="194">
        <v>46101</v>
      </c>
      <c r="L36" s="21" t="str">
        <f>VLOOKUP(K36,'[3]Exchange Rate'!$A$3:$C$24,3,FALSE)</f>
        <v>4011</v>
      </c>
      <c r="M36" s="20" t="str">
        <f t="shared" si="3"/>
        <v>Friday</v>
      </c>
      <c r="N36" s="26">
        <v>1108.76</v>
      </c>
      <c r="O36" s="55">
        <v>0</v>
      </c>
      <c r="P36" s="22">
        <v>50</v>
      </c>
      <c r="Q36" s="183">
        <v>490</v>
      </c>
      <c r="R36" s="183">
        <v>286.75</v>
      </c>
      <c r="S36" s="182">
        <f t="shared" si="4"/>
        <v>49</v>
      </c>
      <c r="T36" s="183">
        <v>974</v>
      </c>
      <c r="U36" s="24">
        <f t="shared" si="2"/>
        <v>591.99</v>
      </c>
      <c r="V36" s="19"/>
    </row>
    <row r="37" spans="1:22" s="139" customFormat="1" ht="18" customHeight="1">
      <c r="A37" s="14" t="s">
        <v>207</v>
      </c>
      <c r="B37" s="15">
        <v>1</v>
      </c>
      <c r="C37" s="16" t="str">
        <f>INDEX(PORT!$B$2:$B$20,MATCH('03'!B37,PORT!$A$2:$A$20))</f>
        <v>PNH01</v>
      </c>
      <c r="D37" s="10" t="str">
        <f>INDEX(PORT!$C$2:$C$20,MATCH('03'!B37,PORT!$A$2:$A$20))</f>
        <v>KTI AIR PORT</v>
      </c>
      <c r="E37" s="18" t="s">
        <v>571</v>
      </c>
      <c r="F37" s="18">
        <v>46102</v>
      </c>
      <c r="G37" s="19" t="s">
        <v>64</v>
      </c>
      <c r="H37" s="49" t="s">
        <v>470</v>
      </c>
      <c r="I37" s="196" t="s">
        <v>471</v>
      </c>
      <c r="J37" s="198" t="s">
        <v>480</v>
      </c>
      <c r="K37" s="194">
        <v>46104</v>
      </c>
      <c r="L37" s="21" t="str">
        <f>VLOOKUP(K37,'[3]Exchange Rate'!$A$3:$C$24,3,FALSE)</f>
        <v>4010</v>
      </c>
      <c r="M37" s="20" t="str">
        <f t="shared" si="3"/>
        <v>Monday</v>
      </c>
      <c r="N37" s="26">
        <v>173.35</v>
      </c>
      <c r="O37" s="55">
        <v>0</v>
      </c>
      <c r="P37" s="22">
        <v>50</v>
      </c>
      <c r="Q37" s="186">
        <v>175</v>
      </c>
      <c r="R37" s="186">
        <v>53.35</v>
      </c>
      <c r="S37" s="182">
        <f t="shared" si="4"/>
        <v>17.5</v>
      </c>
      <c r="T37" s="186">
        <v>180</v>
      </c>
      <c r="U37" s="24">
        <f t="shared" si="2"/>
        <v>185.00000000000003</v>
      </c>
      <c r="V37" s="19"/>
    </row>
    <row r="38" spans="1:22" s="201" customFormat="1" ht="18" customHeight="1">
      <c r="A38" s="14" t="s">
        <v>207</v>
      </c>
      <c r="B38" s="15">
        <v>1</v>
      </c>
      <c r="C38" s="16" t="str">
        <f>INDEX(PORT!$B$2:$B$20,MATCH('03'!B38,PORT!$A$2:$A$20))</f>
        <v>PNH01</v>
      </c>
      <c r="D38" s="10" t="str">
        <f>INDEX(PORT!$C$2:$C$20,MATCH('03'!B38,PORT!$A$2:$A$20))</f>
        <v>KTI AIR PORT</v>
      </c>
      <c r="E38" s="18" t="s">
        <v>572</v>
      </c>
      <c r="F38" s="18">
        <v>46102</v>
      </c>
      <c r="G38" s="19" t="s">
        <v>64</v>
      </c>
      <c r="H38" s="49" t="s">
        <v>472</v>
      </c>
      <c r="I38" s="196" t="s">
        <v>473</v>
      </c>
      <c r="J38" s="198" t="s">
        <v>481</v>
      </c>
      <c r="K38" s="194">
        <v>46104</v>
      </c>
      <c r="L38" s="21" t="str">
        <f>VLOOKUP(K38,'[3]Exchange Rate'!$A$3:$C$24,3,FALSE)</f>
        <v>4010</v>
      </c>
      <c r="M38" s="20" t="str">
        <f t="shared" si="3"/>
        <v>Monday</v>
      </c>
      <c r="N38" s="26">
        <v>251.41</v>
      </c>
      <c r="O38" s="55">
        <v>0</v>
      </c>
      <c r="P38" s="22">
        <v>50</v>
      </c>
      <c r="Q38" s="186">
        <v>210</v>
      </c>
      <c r="R38" s="186">
        <v>131.41</v>
      </c>
      <c r="S38" s="182">
        <f t="shared" si="4"/>
        <v>21</v>
      </c>
      <c r="T38" s="186">
        <v>180</v>
      </c>
      <c r="U38" s="24">
        <f t="shared" si="2"/>
        <v>220</v>
      </c>
      <c r="V38" s="19"/>
    </row>
    <row r="39" spans="1:22" s="12" customFormat="1" ht="18" customHeight="1">
      <c r="A39" s="14" t="s">
        <v>207</v>
      </c>
      <c r="B39" s="15">
        <v>4</v>
      </c>
      <c r="C39" s="16" t="str">
        <f>INDEX(PORT!$B$2:$B$20,MATCH('03'!B39,PORT!$A$2:$A$20))</f>
        <v>PNH04</v>
      </c>
      <c r="D39" s="10" t="str">
        <f>INDEX(PORT!$C$2:$C$20,MATCH('03'!B39,PORT!$A$2:$A$20))</f>
        <v>PNH PORT</v>
      </c>
      <c r="E39" s="16" t="s">
        <v>443</v>
      </c>
      <c r="F39" s="54">
        <v>46101</v>
      </c>
      <c r="G39" s="19" t="s">
        <v>4</v>
      </c>
      <c r="H39" s="49" t="s">
        <v>474</v>
      </c>
      <c r="I39" s="196" t="s">
        <v>475</v>
      </c>
      <c r="J39" s="198" t="s">
        <v>486</v>
      </c>
      <c r="K39" s="20">
        <v>46104</v>
      </c>
      <c r="L39" s="21" t="str">
        <f>VLOOKUP(K39,'[3]Exchange Rate'!$A$3:$C$24,3,FALSE)</f>
        <v>4010</v>
      </c>
      <c r="M39" s="20" t="str">
        <f t="shared" si="3"/>
        <v>Monday</v>
      </c>
      <c r="N39" s="55">
        <v>579.25</v>
      </c>
      <c r="O39" s="55">
        <v>0</v>
      </c>
      <c r="P39" s="22">
        <v>50</v>
      </c>
      <c r="Q39" s="191">
        <v>245</v>
      </c>
      <c r="R39" s="191">
        <v>143.25</v>
      </c>
      <c r="S39" s="182">
        <f t="shared" si="4"/>
        <v>24.5</v>
      </c>
      <c r="T39" s="192">
        <v>602</v>
      </c>
      <c r="U39" s="24">
        <f t="shared" si="2"/>
        <v>361</v>
      </c>
      <c r="V39" s="58"/>
    </row>
    <row r="40" spans="1:22" s="12" customFormat="1" ht="18" customHeight="1">
      <c r="A40" s="14" t="s">
        <v>207</v>
      </c>
      <c r="B40" s="59">
        <v>4</v>
      </c>
      <c r="C40" s="16" t="str">
        <f>INDEX(PORT!$B$2:$B$20,MATCH('03'!B40,PORT!$A$2:$A$20))</f>
        <v>PNH04</v>
      </c>
      <c r="D40" s="10" t="str">
        <f>INDEX(PORT!$C$2:$C$20,MATCH('03'!B40,PORT!$A$2:$A$20))</f>
        <v>PNH PORT</v>
      </c>
      <c r="E40" s="60" t="s">
        <v>447</v>
      </c>
      <c r="F40" s="54">
        <v>46101</v>
      </c>
      <c r="G40" s="19" t="s">
        <v>41</v>
      </c>
      <c r="H40" s="49" t="s">
        <v>493</v>
      </c>
      <c r="I40" s="196" t="s">
        <v>494</v>
      </c>
      <c r="J40" s="198" t="s">
        <v>482</v>
      </c>
      <c r="K40" s="20">
        <v>46104</v>
      </c>
      <c r="L40" s="21" t="str">
        <f>VLOOKUP(K40,'[3]Exchange Rate'!$A$3:$C$24,3,FALSE)</f>
        <v>4010</v>
      </c>
      <c r="M40" s="20" t="str">
        <f t="shared" si="3"/>
        <v>Monday</v>
      </c>
      <c r="N40" s="26">
        <v>541.85</v>
      </c>
      <c r="O40" s="55">
        <v>462</v>
      </c>
      <c r="P40" s="22">
        <v>0</v>
      </c>
      <c r="Q40" s="191">
        <v>213</v>
      </c>
      <c r="R40" s="191">
        <v>725.85</v>
      </c>
      <c r="S40" s="182">
        <f t="shared" si="4"/>
        <v>21.3</v>
      </c>
      <c r="T40" s="192">
        <v>741.5</v>
      </c>
      <c r="U40" s="24">
        <f t="shared" si="2"/>
        <v>676.49999999999989</v>
      </c>
      <c r="V40" s="58" t="s">
        <v>515</v>
      </c>
    </row>
    <row r="41" spans="1:22" s="12" customFormat="1" ht="18" customHeight="1">
      <c r="A41" s="14" t="s">
        <v>207</v>
      </c>
      <c r="B41" s="15">
        <v>1</v>
      </c>
      <c r="C41" s="16" t="str">
        <f>INDEX(PORT!$B$2:$B$20,MATCH('03'!B41,PORT!$A$2:$A$20))</f>
        <v>PNH01</v>
      </c>
      <c r="D41" s="10" t="str">
        <f>INDEX(PORT!$C$2:$C$20,MATCH('03'!B41,PORT!$A$2:$A$20))</f>
        <v>KTI AIR PORT</v>
      </c>
      <c r="E41" s="18" t="s">
        <v>573</v>
      </c>
      <c r="F41" s="18">
        <v>46104</v>
      </c>
      <c r="G41" s="19" t="s">
        <v>4</v>
      </c>
      <c r="H41" s="49" t="s">
        <v>495</v>
      </c>
      <c r="I41" s="196" t="s">
        <v>496</v>
      </c>
      <c r="J41" s="198" t="s">
        <v>487</v>
      </c>
      <c r="K41" s="194">
        <v>46105</v>
      </c>
      <c r="L41" s="21" t="str">
        <f>VLOOKUP(K41,'[3]Exchange Rate'!$A$3:$C$24,3,FALSE)</f>
        <v>4007</v>
      </c>
      <c r="M41" s="20" t="str">
        <f t="shared" si="3"/>
        <v>Tuesday</v>
      </c>
      <c r="N41" s="26">
        <v>83.75</v>
      </c>
      <c r="O41" s="55">
        <v>0</v>
      </c>
      <c r="P41" s="22">
        <v>50</v>
      </c>
      <c r="Q41" s="203">
        <v>140</v>
      </c>
      <c r="R41" s="203">
        <v>13.75</v>
      </c>
      <c r="S41" s="204">
        <f t="shared" si="4"/>
        <v>14</v>
      </c>
      <c r="T41" s="203">
        <v>60</v>
      </c>
      <c r="U41" s="24">
        <f t="shared" si="2"/>
        <v>80</v>
      </c>
      <c r="V41" s="19"/>
    </row>
    <row r="42" spans="1:22" s="12" customFormat="1" ht="18" customHeight="1">
      <c r="A42" s="14" t="s">
        <v>207</v>
      </c>
      <c r="B42" s="15">
        <v>1</v>
      </c>
      <c r="C42" s="16" t="str">
        <f>INDEX(PORT!$B$2:$B$20,MATCH('03'!B42,PORT!$A$2:$A$20))</f>
        <v>PNH01</v>
      </c>
      <c r="D42" s="10" t="str">
        <f>INDEX(PORT!$C$2:$C$20,MATCH('03'!B42,PORT!$A$2:$A$20))</f>
        <v>KTI AIR PORT</v>
      </c>
      <c r="E42" s="216" t="s">
        <v>441</v>
      </c>
      <c r="F42" s="18">
        <v>46104</v>
      </c>
      <c r="G42" s="19" t="s">
        <v>4</v>
      </c>
      <c r="H42" s="49" t="s">
        <v>497</v>
      </c>
      <c r="I42" s="196" t="s">
        <v>498</v>
      </c>
      <c r="J42" s="198" t="s">
        <v>488</v>
      </c>
      <c r="K42" s="194">
        <v>46105</v>
      </c>
      <c r="L42" s="21" t="str">
        <f>VLOOKUP(K42,'[3]Exchange Rate'!$A$3:$C$24,3,FALSE)</f>
        <v>4007</v>
      </c>
      <c r="M42" s="20" t="str">
        <f t="shared" si="3"/>
        <v>Tuesday</v>
      </c>
      <c r="N42" s="26">
        <v>83.75</v>
      </c>
      <c r="O42" s="55">
        <v>0</v>
      </c>
      <c r="P42" s="22">
        <v>50</v>
      </c>
      <c r="Q42" s="183">
        <v>140</v>
      </c>
      <c r="R42" s="183">
        <v>13.75</v>
      </c>
      <c r="S42" s="182">
        <f t="shared" si="4"/>
        <v>14</v>
      </c>
      <c r="T42" s="183">
        <v>60</v>
      </c>
      <c r="U42" s="24">
        <f t="shared" si="2"/>
        <v>80</v>
      </c>
      <c r="V42" s="19"/>
    </row>
    <row r="43" spans="1:22" s="12" customFormat="1" ht="18" customHeight="1">
      <c r="A43" s="14" t="s">
        <v>207</v>
      </c>
      <c r="B43" s="59">
        <v>1</v>
      </c>
      <c r="C43" s="16" t="str">
        <f>INDEX(PORT!$B$2:$B$20,MATCH('03'!B43,PORT!$A$2:$A$20))</f>
        <v>PNH01</v>
      </c>
      <c r="D43" s="10" t="str">
        <f>INDEX(PORT!$C$2:$C$20,MATCH('03'!B43,PORT!$A$2:$A$20))</f>
        <v>KTI AIR PORT</v>
      </c>
      <c r="E43" s="60" t="s">
        <v>446</v>
      </c>
      <c r="F43" s="54">
        <v>46104</v>
      </c>
      <c r="G43" s="19" t="s">
        <v>10</v>
      </c>
      <c r="H43" s="49" t="s">
        <v>499</v>
      </c>
      <c r="I43" s="196" t="s">
        <v>500</v>
      </c>
      <c r="J43" s="198" t="s">
        <v>479</v>
      </c>
      <c r="K43" s="20">
        <v>46105</v>
      </c>
      <c r="L43" s="21" t="str">
        <f>VLOOKUP(K43,'[3]Exchange Rate'!$A$3:$C$24,3,FALSE)</f>
        <v>4007</v>
      </c>
      <c r="M43" s="20" t="str">
        <f t="shared" si="3"/>
        <v>Tuesday</v>
      </c>
      <c r="N43" s="26">
        <v>164.56</v>
      </c>
      <c r="O43" s="55">
        <v>60.5</v>
      </c>
      <c r="P43" s="22">
        <v>50</v>
      </c>
      <c r="Q43" s="191">
        <v>150</v>
      </c>
      <c r="R43" s="191">
        <v>85.06</v>
      </c>
      <c r="S43" s="182">
        <f t="shared" si="4"/>
        <v>15</v>
      </c>
      <c r="T43" s="192">
        <v>119.76</v>
      </c>
      <c r="U43" s="24">
        <f t="shared" si="2"/>
        <v>79.759999999999991</v>
      </c>
      <c r="V43" s="58"/>
    </row>
    <row r="44" spans="1:22" s="12" customFormat="1" ht="18" customHeight="1">
      <c r="A44" s="14" t="s">
        <v>207</v>
      </c>
      <c r="B44" s="59">
        <v>21</v>
      </c>
      <c r="C44" s="16" t="str">
        <f>INDEX(PORT!$B$2:$B$20,MATCH('03'!B44,PORT!$A$2:$A$20))</f>
        <v>PNH21</v>
      </c>
      <c r="D44" s="10" t="str">
        <f>INDEX(PORT!$C$2:$C$20,MATCH('03'!B44,PORT!$A$2:$A$20))</f>
        <v>OLAIR DRY PORT</v>
      </c>
      <c r="E44" s="60" t="s">
        <v>445</v>
      </c>
      <c r="F44" s="54">
        <v>46105</v>
      </c>
      <c r="G44" s="19" t="s">
        <v>4</v>
      </c>
      <c r="H44" s="49" t="s">
        <v>501</v>
      </c>
      <c r="I44" s="196" t="s">
        <v>502</v>
      </c>
      <c r="J44" s="198" t="s">
        <v>489</v>
      </c>
      <c r="K44" s="20">
        <v>46106</v>
      </c>
      <c r="L44" s="21" t="str">
        <f>VLOOKUP(K44,'[3]Exchange Rate'!$A$3:$C$24,3,FALSE)</f>
        <v>4006</v>
      </c>
      <c r="M44" s="20" t="str">
        <f t="shared" si="3"/>
        <v>Wednesday</v>
      </c>
      <c r="N44" s="26">
        <v>272.13</v>
      </c>
      <c r="O44" s="55">
        <v>699.33</v>
      </c>
      <c r="P44" s="22">
        <v>50</v>
      </c>
      <c r="Q44" s="191">
        <v>150</v>
      </c>
      <c r="R44" s="191">
        <v>801.46</v>
      </c>
      <c r="S44" s="182">
        <f t="shared" si="4"/>
        <v>15</v>
      </c>
      <c r="T44" s="192">
        <v>229.5</v>
      </c>
      <c r="U44" s="24">
        <f t="shared" si="2"/>
        <v>159.5</v>
      </c>
      <c r="V44" s="206"/>
    </row>
    <row r="45" spans="1:22" s="12" customFormat="1" ht="18" customHeight="1">
      <c r="A45" s="14" t="s">
        <v>207</v>
      </c>
      <c r="B45" s="59">
        <v>11</v>
      </c>
      <c r="C45" s="16" t="str">
        <f>INDEX(PORT!$B$2:$B$20,MATCH('03'!B45,PORT!$A$2:$A$20))</f>
        <v>SHV11</v>
      </c>
      <c r="D45" s="10" t="str">
        <f>INDEX(PORT!$C$2:$C$20,MATCH('03'!B45,PORT!$A$2:$A$20))</f>
        <v>SHV PORT</v>
      </c>
      <c r="E45" s="60" t="s">
        <v>574</v>
      </c>
      <c r="F45" s="54">
        <v>46106</v>
      </c>
      <c r="G45" s="19" t="s">
        <v>10</v>
      </c>
      <c r="H45" s="49" t="s">
        <v>517</v>
      </c>
      <c r="I45" s="196" t="s">
        <v>518</v>
      </c>
      <c r="J45" s="198" t="s">
        <v>503</v>
      </c>
      <c r="K45" s="20">
        <v>46107</v>
      </c>
      <c r="L45" s="21" t="str">
        <f>VLOOKUP(K45,'[3]Exchange Rate'!$A$3:$C$24,3,FALSE)</f>
        <v>4004</v>
      </c>
      <c r="M45" s="20" t="str">
        <f t="shared" si="3"/>
        <v>Thursday</v>
      </c>
      <c r="N45" s="26">
        <v>238.24</v>
      </c>
      <c r="O45" s="55">
        <v>419.76</v>
      </c>
      <c r="P45" s="22">
        <v>50</v>
      </c>
      <c r="Q45" s="191">
        <v>150</v>
      </c>
      <c r="R45" s="191">
        <v>443.61</v>
      </c>
      <c r="S45" s="182">
        <f t="shared" si="4"/>
        <v>15</v>
      </c>
      <c r="T45" s="192">
        <v>215.9</v>
      </c>
      <c r="U45" s="24">
        <f t="shared" si="2"/>
        <v>101.50999999999999</v>
      </c>
      <c r="V45" s="206"/>
    </row>
    <row r="46" spans="1:22" s="12" customFormat="1" ht="18" customHeight="1">
      <c r="A46" s="14" t="s">
        <v>207</v>
      </c>
      <c r="B46" s="59">
        <v>19</v>
      </c>
      <c r="C46" s="16" t="str">
        <f>INDEX(PORT!$B$2:$B$20,MATCH('03'!B46,PORT!$A$2:$A$20))</f>
        <v>PNH19</v>
      </c>
      <c r="D46" s="10" t="str">
        <f>INDEX(PORT!$C$2:$C$20,MATCH('03'!B46,PORT!$A$2:$A$20))</f>
        <v>TEC SRUN DRYPORT</v>
      </c>
      <c r="E46" s="60" t="s">
        <v>575</v>
      </c>
      <c r="F46" s="54">
        <v>46108</v>
      </c>
      <c r="G46" s="19" t="s">
        <v>10</v>
      </c>
      <c r="H46" s="49" t="s">
        <v>525</v>
      </c>
      <c r="I46" s="196" t="s">
        <v>519</v>
      </c>
      <c r="J46" s="198" t="s">
        <v>504</v>
      </c>
      <c r="K46" s="20">
        <v>46111</v>
      </c>
      <c r="L46" s="21" t="str">
        <f>VLOOKUP(K46,'[3]Exchange Rate'!$A$3:$C$24,3,FALSE)</f>
        <v>4001</v>
      </c>
      <c r="M46" s="20" t="str">
        <f t="shared" si="3"/>
        <v>Monday</v>
      </c>
      <c r="N46" s="26">
        <v>117.11</v>
      </c>
      <c r="O46" s="55">
        <v>271.62</v>
      </c>
      <c r="P46" s="22">
        <v>50</v>
      </c>
      <c r="Q46" s="191">
        <v>150</v>
      </c>
      <c r="R46" s="191">
        <v>298.73</v>
      </c>
      <c r="S46" s="182">
        <f t="shared" si="4"/>
        <v>15</v>
      </c>
      <c r="T46" s="192">
        <v>103.5</v>
      </c>
      <c r="U46" s="24">
        <f t="shared" si="2"/>
        <v>113.5</v>
      </c>
      <c r="V46" s="206"/>
    </row>
    <row r="47" spans="1:22" s="12" customFormat="1" ht="18" customHeight="1">
      <c r="A47" s="14" t="s">
        <v>207</v>
      </c>
      <c r="B47" s="59">
        <v>11</v>
      </c>
      <c r="C47" s="16" t="str">
        <f>INDEX(PORT!$B$2:$B$20,MATCH('03'!B47,PORT!$A$2:$A$20))</f>
        <v>SHV11</v>
      </c>
      <c r="D47" s="10" t="str">
        <f>INDEX(PORT!$C$2:$C$20,MATCH('03'!B47,PORT!$A$2:$A$20))</f>
        <v>SHV PORT</v>
      </c>
      <c r="E47" s="60" t="s">
        <v>576</v>
      </c>
      <c r="F47" s="54">
        <v>46108</v>
      </c>
      <c r="G47" s="19" t="s">
        <v>4</v>
      </c>
      <c r="H47" s="49" t="s">
        <v>526</v>
      </c>
      <c r="I47" s="196" t="s">
        <v>520</v>
      </c>
      <c r="J47" s="198" t="s">
        <v>505</v>
      </c>
      <c r="K47" s="20">
        <v>46111</v>
      </c>
      <c r="L47" s="21" t="str">
        <f>VLOOKUP(K47,'[3]Exchange Rate'!$A$3:$C$24,3,FALSE)</f>
        <v>4001</v>
      </c>
      <c r="M47" s="20" t="str">
        <f t="shared" si="3"/>
        <v>Monday</v>
      </c>
      <c r="N47" s="26">
        <v>225.31</v>
      </c>
      <c r="O47" s="55">
        <v>297.92</v>
      </c>
      <c r="P47" s="22">
        <v>50</v>
      </c>
      <c r="Q47" s="191">
        <v>150</v>
      </c>
      <c r="R47" s="191">
        <v>313.35000000000002</v>
      </c>
      <c r="S47" s="182">
        <f>ROUND(Q47*10%,2)</f>
        <v>15</v>
      </c>
      <c r="T47" s="192">
        <v>196.73</v>
      </c>
      <c r="U47" s="24">
        <f t="shared" si="2"/>
        <v>86.850000000000023</v>
      </c>
      <c r="V47" s="206"/>
    </row>
    <row r="48" spans="1:22" s="12" customFormat="1" ht="18" customHeight="1">
      <c r="A48" s="14" t="s">
        <v>207</v>
      </c>
      <c r="B48" s="59">
        <v>19</v>
      </c>
      <c r="C48" s="16" t="str">
        <f>INDEX(PORT!$B$2:$B$20,MATCH('03'!B48,PORT!$A$2:$A$20))</f>
        <v>PNH19</v>
      </c>
      <c r="D48" s="10" t="str">
        <f>INDEX(PORT!$C$2:$C$20,MATCH('03'!B48,PORT!$A$2:$A$20))</f>
        <v>TEC SRUN DRYPORT</v>
      </c>
      <c r="E48" s="60" t="s">
        <v>577</v>
      </c>
      <c r="F48" s="54">
        <v>46108</v>
      </c>
      <c r="G48" s="19" t="s">
        <v>4</v>
      </c>
      <c r="H48" s="49" t="s">
        <v>527</v>
      </c>
      <c r="I48" s="196" t="s">
        <v>521</v>
      </c>
      <c r="J48" s="198" t="s">
        <v>506</v>
      </c>
      <c r="K48" s="20">
        <v>46111</v>
      </c>
      <c r="L48" s="21" t="str">
        <f>VLOOKUP(K48,'[3]Exchange Rate'!$A$3:$C$24,3,FALSE)</f>
        <v>4001</v>
      </c>
      <c r="M48" s="20" t="str">
        <f t="shared" si="3"/>
        <v>Monday</v>
      </c>
      <c r="N48" s="26">
        <v>158.22</v>
      </c>
      <c r="O48" s="55">
        <v>436.69</v>
      </c>
      <c r="P48" s="22">
        <v>50</v>
      </c>
      <c r="Q48" s="191">
        <v>150</v>
      </c>
      <c r="R48" s="191">
        <v>479.91</v>
      </c>
      <c r="S48" s="182">
        <f t="shared" si="4"/>
        <v>15</v>
      </c>
      <c r="T48" s="192">
        <v>147</v>
      </c>
      <c r="U48" s="24">
        <f t="shared" si="2"/>
        <v>132.00000000000011</v>
      </c>
      <c r="V48" s="206"/>
    </row>
    <row r="49" spans="1:22" s="12" customFormat="1" ht="18" customHeight="1">
      <c r="A49" s="14" t="s">
        <v>207</v>
      </c>
      <c r="B49" s="59">
        <v>1</v>
      </c>
      <c r="C49" s="16" t="str">
        <f>INDEX(PORT!$B$2:$B$20,MATCH('03'!B49,PORT!$A$2:$A$20))</f>
        <v>PNH01</v>
      </c>
      <c r="D49" s="10" t="str">
        <f>INDEX(PORT!$C$2:$C$20,MATCH('03'!B49,PORT!$A$2:$A$20))</f>
        <v>KTI AIR PORT</v>
      </c>
      <c r="E49" s="60" t="s">
        <v>513</v>
      </c>
      <c r="F49" s="54">
        <v>46108</v>
      </c>
      <c r="G49" s="19" t="s">
        <v>64</v>
      </c>
      <c r="H49" s="49" t="s">
        <v>528</v>
      </c>
      <c r="I49" s="196" t="s">
        <v>522</v>
      </c>
      <c r="J49" s="198" t="s">
        <v>514</v>
      </c>
      <c r="K49" s="20">
        <v>46111</v>
      </c>
      <c r="L49" s="21" t="str">
        <f>VLOOKUP(K49,'[3]Exchange Rate'!$A$3:$C$24,3,FALSE)</f>
        <v>4001</v>
      </c>
      <c r="M49" s="20" t="str">
        <f t="shared" si="3"/>
        <v>Monday</v>
      </c>
      <c r="N49" s="26">
        <v>192.36</v>
      </c>
      <c r="O49" s="55">
        <v>0</v>
      </c>
      <c r="P49" s="22">
        <v>50</v>
      </c>
      <c r="Q49" s="191">
        <v>175</v>
      </c>
      <c r="R49" s="191">
        <v>72.36</v>
      </c>
      <c r="S49" s="182">
        <f t="shared" si="4"/>
        <v>17.5</v>
      </c>
      <c r="T49" s="192">
        <v>180</v>
      </c>
      <c r="U49" s="24">
        <f t="shared" si="2"/>
        <v>185</v>
      </c>
      <c r="V49" s="206"/>
    </row>
    <row r="50" spans="1:22" s="201" customFormat="1" ht="18" customHeight="1">
      <c r="A50" s="14"/>
      <c r="B50" s="59">
        <v>11</v>
      </c>
      <c r="C50" s="16" t="str">
        <f>INDEX(PORT!$B$2:$B$20,MATCH('03'!B50,PORT!$A$2:$A$20))</f>
        <v>SHV11</v>
      </c>
      <c r="D50" s="10" t="str">
        <f>INDEX(PORT!$C$2:$C$20,MATCH('03'!B50,PORT!$A$2:$A$20))</f>
        <v>SHV PORT</v>
      </c>
      <c r="E50" s="60" t="s">
        <v>544</v>
      </c>
      <c r="F50" s="54">
        <v>46099</v>
      </c>
      <c r="G50" s="19" t="s">
        <v>491</v>
      </c>
      <c r="H50" s="49"/>
      <c r="I50" s="49" t="s">
        <v>523</v>
      </c>
      <c r="J50" s="198" t="s">
        <v>507</v>
      </c>
      <c r="K50" s="20">
        <v>46112</v>
      </c>
      <c r="L50" s="21" t="str">
        <f>VLOOKUP(K50,'[3]Exchange Rate'!$A$3:$C$24,3,FALSE)</f>
        <v>4001</v>
      </c>
      <c r="M50" s="20" t="str">
        <f t="shared" si="3"/>
        <v>Tuesday</v>
      </c>
      <c r="N50" s="26">
        <v>0</v>
      </c>
      <c r="O50" s="55">
        <v>466</v>
      </c>
      <c r="P50" s="22">
        <v>0</v>
      </c>
      <c r="Q50" s="191">
        <v>0</v>
      </c>
      <c r="R50" s="191">
        <v>466</v>
      </c>
      <c r="S50" s="204">
        <f t="shared" si="4"/>
        <v>0</v>
      </c>
      <c r="T50" s="207">
        <v>120</v>
      </c>
      <c r="U50" s="24">
        <f t="shared" ref="U50:U57" si="5">(Q50+R50+T50)-(N50+O50+P50)</f>
        <v>120</v>
      </c>
      <c r="V50" s="60" t="s">
        <v>539</v>
      </c>
    </row>
    <row r="51" spans="1:22" s="201" customFormat="1" ht="18" customHeight="1">
      <c r="A51" s="14"/>
      <c r="B51" s="59">
        <v>4</v>
      </c>
      <c r="C51" s="16" t="str">
        <f>INDEX(PORT!$B$2:$B$20,MATCH('03'!B51,PORT!$A$2:$A$20))</f>
        <v>PNH04</v>
      </c>
      <c r="D51" s="10" t="str">
        <f>INDEX(PORT!$C$2:$C$20,MATCH('03'!B51,PORT!$A$2:$A$20))</f>
        <v>PNH PORT</v>
      </c>
      <c r="E51" s="60" t="s">
        <v>545</v>
      </c>
      <c r="F51" s="54">
        <v>46093</v>
      </c>
      <c r="G51" s="19" t="s">
        <v>41</v>
      </c>
      <c r="H51" s="49"/>
      <c r="I51" s="49" t="s">
        <v>524</v>
      </c>
      <c r="J51" s="198" t="s">
        <v>508</v>
      </c>
      <c r="K51" s="20">
        <v>46112</v>
      </c>
      <c r="L51" s="21" t="str">
        <f>VLOOKUP(K51,'[3]Exchange Rate'!$A$3:$C$24,3,FALSE)</f>
        <v>4001</v>
      </c>
      <c r="M51" s="20" t="str">
        <f t="shared" si="3"/>
        <v>Tuesday</v>
      </c>
      <c r="N51" s="26">
        <v>0</v>
      </c>
      <c r="O51" s="55">
        <v>506</v>
      </c>
      <c r="P51" s="22">
        <v>0</v>
      </c>
      <c r="Q51" s="191">
        <v>0</v>
      </c>
      <c r="R51" s="191">
        <v>506</v>
      </c>
      <c r="S51" s="204">
        <f t="shared" si="4"/>
        <v>0</v>
      </c>
      <c r="T51" s="207">
        <v>160</v>
      </c>
      <c r="U51" s="24">
        <f t="shared" si="5"/>
        <v>160</v>
      </c>
      <c r="V51" s="60" t="s">
        <v>540</v>
      </c>
    </row>
    <row r="52" spans="1:22" s="201" customFormat="1" ht="18" customHeight="1">
      <c r="A52" s="14"/>
      <c r="B52" s="59">
        <v>4</v>
      </c>
      <c r="C52" s="16" t="str">
        <f>INDEX(PORT!$B$2:$B$20,MATCH('03'!B52,PORT!$A$2:$A$20))</f>
        <v>PNH04</v>
      </c>
      <c r="D52" s="10" t="str">
        <f>INDEX(PORT!$C$2:$C$20,MATCH('03'!B52,PORT!$A$2:$A$20))</f>
        <v>PNH PORT</v>
      </c>
      <c r="E52" s="60" t="s">
        <v>546</v>
      </c>
      <c r="F52" s="54">
        <v>46099</v>
      </c>
      <c r="G52" s="19" t="s">
        <v>41</v>
      </c>
      <c r="H52" s="49"/>
      <c r="I52" s="49" t="s">
        <v>529</v>
      </c>
      <c r="J52" s="198" t="s">
        <v>509</v>
      </c>
      <c r="K52" s="20">
        <v>46112</v>
      </c>
      <c r="L52" s="21" t="str">
        <f>VLOOKUP(K52,'[3]Exchange Rate'!$A$3:$C$24,3,FALSE)</f>
        <v>4001</v>
      </c>
      <c r="M52" s="20" t="str">
        <f t="shared" si="3"/>
        <v>Tuesday</v>
      </c>
      <c r="N52" s="26">
        <v>0</v>
      </c>
      <c r="O52" s="55">
        <v>565.4</v>
      </c>
      <c r="P52" s="22">
        <v>0</v>
      </c>
      <c r="Q52" s="191">
        <v>0</v>
      </c>
      <c r="R52" s="191">
        <v>619.4</v>
      </c>
      <c r="S52" s="204">
        <f t="shared" si="4"/>
        <v>0</v>
      </c>
      <c r="T52" s="207">
        <v>120</v>
      </c>
      <c r="U52" s="24">
        <f t="shared" si="5"/>
        <v>174</v>
      </c>
      <c r="V52" s="60" t="s">
        <v>541</v>
      </c>
    </row>
    <row r="53" spans="1:22" s="201" customFormat="1" ht="18" customHeight="1">
      <c r="A53" s="14"/>
      <c r="B53" s="59">
        <v>4</v>
      </c>
      <c r="C53" s="16" t="str">
        <f>INDEX(PORT!$B$2:$B$20,MATCH('03'!B53,PORT!$A$2:$A$20))</f>
        <v>PNH04</v>
      </c>
      <c r="D53" s="10" t="str">
        <f>INDEX(PORT!$C$2:$C$20,MATCH('03'!B53,PORT!$A$2:$A$20))</f>
        <v>PNH PORT</v>
      </c>
      <c r="E53" s="60" t="s">
        <v>547</v>
      </c>
      <c r="F53" s="54">
        <v>46099</v>
      </c>
      <c r="G53" s="19" t="s">
        <v>41</v>
      </c>
      <c r="H53" s="49"/>
      <c r="I53" s="49" t="s">
        <v>530</v>
      </c>
      <c r="J53" s="198" t="s">
        <v>510</v>
      </c>
      <c r="K53" s="20">
        <v>46112</v>
      </c>
      <c r="L53" s="21" t="str">
        <f>VLOOKUP(K53,'[3]Exchange Rate'!$A$3:$C$24,3,FALSE)</f>
        <v>4001</v>
      </c>
      <c r="M53" s="20" t="str">
        <f t="shared" si="3"/>
        <v>Tuesday</v>
      </c>
      <c r="N53" s="26">
        <v>0</v>
      </c>
      <c r="O53" s="55">
        <v>402.35</v>
      </c>
      <c r="P53" s="22">
        <v>0</v>
      </c>
      <c r="Q53" s="191">
        <v>0</v>
      </c>
      <c r="R53" s="191">
        <v>466.85</v>
      </c>
      <c r="S53" s="204">
        <f t="shared" si="4"/>
        <v>0</v>
      </c>
      <c r="T53" s="207">
        <v>200</v>
      </c>
      <c r="U53" s="24">
        <f t="shared" si="5"/>
        <v>264.5</v>
      </c>
      <c r="V53" s="60" t="s">
        <v>542</v>
      </c>
    </row>
    <row r="54" spans="1:22" s="201" customFormat="1" ht="18" customHeight="1">
      <c r="A54" s="14"/>
      <c r="B54" s="59">
        <v>4</v>
      </c>
      <c r="C54" s="16" t="str">
        <f>INDEX(PORT!$B$2:$B$20,MATCH('03'!B54,PORT!$A$2:$A$20))</f>
        <v>PNH04</v>
      </c>
      <c r="D54" s="10" t="str">
        <f>INDEX(PORT!$C$2:$C$20,MATCH('03'!B54,PORT!$A$2:$A$20))</f>
        <v>PNH PORT</v>
      </c>
      <c r="E54" s="60" t="s">
        <v>548</v>
      </c>
      <c r="F54" s="54">
        <v>46093</v>
      </c>
      <c r="G54" s="19" t="s">
        <v>41</v>
      </c>
      <c r="H54" s="49"/>
      <c r="I54" s="49" t="s">
        <v>531</v>
      </c>
      <c r="J54" s="198" t="s">
        <v>511</v>
      </c>
      <c r="K54" s="20">
        <v>46112</v>
      </c>
      <c r="L54" s="21" t="str">
        <f>VLOOKUP(K54,'[3]Exchange Rate'!$A$3:$C$24,3,FALSE)</f>
        <v>4001</v>
      </c>
      <c r="M54" s="20" t="str">
        <f t="shared" si="3"/>
        <v>Tuesday</v>
      </c>
      <c r="N54" s="26">
        <v>0</v>
      </c>
      <c r="O54" s="55">
        <v>439.77</v>
      </c>
      <c r="P54" s="22">
        <v>0</v>
      </c>
      <c r="Q54" s="191">
        <v>0</v>
      </c>
      <c r="R54" s="191">
        <v>515.27</v>
      </c>
      <c r="S54" s="204">
        <f t="shared" si="4"/>
        <v>0</v>
      </c>
      <c r="T54" s="207">
        <v>160</v>
      </c>
      <c r="U54" s="24">
        <f t="shared" si="5"/>
        <v>235.5</v>
      </c>
      <c r="V54" s="60" t="s">
        <v>549</v>
      </c>
    </row>
    <row r="55" spans="1:22" s="210" customFormat="1" ht="15" customHeight="1">
      <c r="A55" s="14"/>
      <c r="B55" s="59">
        <v>4</v>
      </c>
      <c r="C55" s="16" t="str">
        <f>INDEX(PORT!$B$2:$B$20,MATCH('03'!B55,PORT!$A$2:$A$20))</f>
        <v>PNH04</v>
      </c>
      <c r="D55" s="10" t="str">
        <f>INDEX(PORT!$C$2:$C$20,MATCH('03'!B55,PORT!$A$2:$A$20))</f>
        <v>PNH PORT</v>
      </c>
      <c r="E55" s="60" t="s">
        <v>550</v>
      </c>
      <c r="F55" s="54">
        <v>46114</v>
      </c>
      <c r="G55" s="19" t="s">
        <v>41</v>
      </c>
      <c r="H55" s="49"/>
      <c r="I55" s="49" t="s">
        <v>532</v>
      </c>
      <c r="J55" s="198" t="s">
        <v>512</v>
      </c>
      <c r="K55" s="20">
        <v>46112</v>
      </c>
      <c r="L55" s="21" t="str">
        <f>VLOOKUP(K55,'[3]Exchange Rate'!$A$3:$C$24,3,FALSE)</f>
        <v>4001</v>
      </c>
      <c r="M55" s="20" t="str">
        <f t="shared" si="3"/>
        <v>Tuesday</v>
      </c>
      <c r="N55" s="26">
        <v>0</v>
      </c>
      <c r="O55" s="55">
        <v>1260.8699999999999</v>
      </c>
      <c r="P55" s="22">
        <v>0</v>
      </c>
      <c r="Q55" s="191">
        <v>0</v>
      </c>
      <c r="R55" s="191">
        <v>1260.8699999999999</v>
      </c>
      <c r="S55" s="204">
        <f t="shared" si="4"/>
        <v>0</v>
      </c>
      <c r="T55" s="207">
        <v>160</v>
      </c>
      <c r="U55" s="24">
        <f t="shared" si="5"/>
        <v>160</v>
      </c>
      <c r="V55" s="60" t="s">
        <v>543</v>
      </c>
    </row>
    <row r="56" spans="1:22" ht="15" customHeight="1">
      <c r="A56" s="14" t="s">
        <v>742</v>
      </c>
      <c r="B56" s="59">
        <v>11</v>
      </c>
      <c r="C56" s="16" t="str">
        <f>INDEX(PORT!$B$2:$B$20,MATCH('03'!B56,PORT!$A$2:$A$20))</f>
        <v>SHV11</v>
      </c>
      <c r="D56" s="10" t="str">
        <f>INDEX(PORT!$C$2:$C$20,MATCH('03'!B56,PORT!$A$2:$A$20))</f>
        <v>SHV PORT</v>
      </c>
      <c r="E56" s="60" t="s">
        <v>578</v>
      </c>
      <c r="F56" s="54">
        <v>46111</v>
      </c>
      <c r="G56" s="19" t="s">
        <v>41</v>
      </c>
      <c r="H56" s="49" t="s">
        <v>534</v>
      </c>
      <c r="I56" s="196" t="s">
        <v>533</v>
      </c>
      <c r="J56" s="198" t="s">
        <v>516</v>
      </c>
      <c r="K56" s="20">
        <v>46112</v>
      </c>
      <c r="L56" s="21" t="str">
        <f>VLOOKUP(K56,'[3]Exchange Rate'!$A$3:$C$24,3,FALSE)</f>
        <v>4001</v>
      </c>
      <c r="M56" s="20" t="str">
        <f t="shared" si="3"/>
        <v>Tuesday</v>
      </c>
      <c r="N56" s="26">
        <v>836.2</v>
      </c>
      <c r="O56" s="55">
        <v>691.5</v>
      </c>
      <c r="P56" s="22">
        <v>0</v>
      </c>
      <c r="Q56" s="191">
        <v>200</v>
      </c>
      <c r="R56" s="191">
        <v>830.7</v>
      </c>
      <c r="S56" s="204">
        <f t="shared" si="4"/>
        <v>20</v>
      </c>
      <c r="T56" s="207">
        <v>777</v>
      </c>
      <c r="U56" s="24">
        <f t="shared" si="5"/>
        <v>280</v>
      </c>
      <c r="V56" s="208"/>
    </row>
    <row r="57" spans="1:22" ht="15" customHeight="1">
      <c r="A57" s="14"/>
      <c r="B57" s="59">
        <v>11</v>
      </c>
      <c r="C57" s="16" t="str">
        <f>INDEX(PORT!$B$2:$B$20,MATCH('03'!B57,PORT!$A$2:$A$20))</f>
        <v>SHV11</v>
      </c>
      <c r="D57" s="10" t="str">
        <f>INDEX(PORT!$C$2:$C$20,MATCH('03'!B57,PORT!$A$2:$A$20))</f>
        <v>SHV PORT</v>
      </c>
      <c r="E57" s="60" t="s">
        <v>537</v>
      </c>
      <c r="F57" s="54" t="s">
        <v>579</v>
      </c>
      <c r="G57" s="19" t="s">
        <v>10</v>
      </c>
      <c r="H57" s="49"/>
      <c r="I57" s="196" t="s">
        <v>535</v>
      </c>
      <c r="J57" s="198"/>
      <c r="K57" s="20">
        <v>46112</v>
      </c>
      <c r="L57" s="21" t="str">
        <f>VLOOKUP(K57,'[3]Exchange Rate'!$A$3:$C$24,3,FALSE)</f>
        <v>4001</v>
      </c>
      <c r="M57" s="20" t="str">
        <f t="shared" si="3"/>
        <v>Tuesday</v>
      </c>
      <c r="N57" s="26">
        <v>0</v>
      </c>
      <c r="O57" s="55">
        <v>803.44</v>
      </c>
      <c r="P57" s="22">
        <v>0</v>
      </c>
      <c r="Q57" s="191">
        <v>0</v>
      </c>
      <c r="R57" s="191">
        <v>803.44</v>
      </c>
      <c r="S57" s="204">
        <f t="shared" si="4"/>
        <v>0</v>
      </c>
      <c r="T57" s="207">
        <v>0</v>
      </c>
      <c r="U57" s="24">
        <f t="shared" si="5"/>
        <v>0</v>
      </c>
      <c r="V57" s="208"/>
    </row>
    <row r="58" spans="1:22" ht="18" customHeight="1">
      <c r="A58" s="14"/>
      <c r="B58" s="59"/>
      <c r="C58" s="16"/>
      <c r="D58" s="10"/>
      <c r="E58" s="1"/>
      <c r="F58" s="54"/>
      <c r="G58" s="19"/>
      <c r="H58" s="49"/>
      <c r="I58" s="49"/>
      <c r="J58" s="198"/>
      <c r="K58" s="20"/>
      <c r="L58" s="21"/>
      <c r="M58" s="20"/>
      <c r="N58" s="26"/>
      <c r="O58" s="55"/>
      <c r="P58" s="22"/>
      <c r="Q58" s="191"/>
      <c r="R58" s="191"/>
      <c r="S58" s="204"/>
      <c r="T58" s="207"/>
      <c r="U58" s="138"/>
      <c r="V58" s="206"/>
    </row>
    <row r="59" spans="1:22" ht="15.75">
      <c r="A59" s="14"/>
      <c r="B59" s="15"/>
      <c r="C59" s="10"/>
      <c r="D59" s="65"/>
      <c r="E59" s="66" t="s">
        <v>9</v>
      </c>
      <c r="F59" s="66"/>
      <c r="G59" s="67"/>
      <c r="H59" s="68"/>
      <c r="I59" s="31"/>
      <c r="J59" s="63"/>
      <c r="K59" s="34"/>
      <c r="L59" s="32"/>
      <c r="M59" s="20"/>
      <c r="N59" s="26"/>
      <c r="O59" s="26"/>
      <c r="P59" s="35"/>
      <c r="Q59" s="39"/>
      <c r="R59" s="39"/>
      <c r="S59" s="36"/>
      <c r="T59" s="39"/>
      <c r="U59" s="24"/>
      <c r="V59" s="31"/>
    </row>
    <row r="60" spans="1:22">
      <c r="A60" s="14"/>
      <c r="B60" s="15"/>
      <c r="C60" s="10"/>
      <c r="D60" s="10"/>
      <c r="E60" s="18" t="s">
        <v>349</v>
      </c>
      <c r="F60" s="18"/>
      <c r="G60" s="19"/>
      <c r="H60" s="61"/>
      <c r="I60" s="19"/>
      <c r="J60" s="62"/>
      <c r="K60" s="62"/>
      <c r="L60" s="21"/>
      <c r="M60" s="52"/>
      <c r="O60" s="52"/>
      <c r="P60" s="26"/>
      <c r="Q60" s="42"/>
      <c r="R60" s="42"/>
      <c r="S60" s="42"/>
      <c r="T60" s="42"/>
      <c r="U60" s="24"/>
      <c r="V60" s="19"/>
    </row>
    <row r="61" spans="1:22">
      <c r="A61" s="14"/>
      <c r="B61" s="15"/>
      <c r="C61" s="10"/>
      <c r="D61" s="51"/>
      <c r="E61" s="18" t="s">
        <v>7</v>
      </c>
      <c r="F61" s="18"/>
      <c r="G61" s="19"/>
      <c r="H61" s="61"/>
      <c r="I61" s="19"/>
      <c r="J61" s="62"/>
      <c r="K61" s="62"/>
      <c r="L61" s="69"/>
      <c r="M61" s="52"/>
      <c r="N61" s="52"/>
      <c r="O61" s="52"/>
      <c r="P61" s="26"/>
      <c r="Q61" s="42"/>
      <c r="R61" s="42"/>
      <c r="S61" s="42"/>
      <c r="T61" s="42"/>
      <c r="U61" s="24"/>
      <c r="V61" s="19"/>
    </row>
    <row r="62" spans="1:22">
      <c r="A62" s="70"/>
      <c r="B62" s="70"/>
      <c r="C62" s="81"/>
      <c r="D62" s="82"/>
      <c r="E62" s="83"/>
      <c r="F62" s="84"/>
      <c r="G62" s="85"/>
      <c r="H62" s="75"/>
      <c r="I62" s="74"/>
      <c r="J62" s="76"/>
      <c r="K62" s="76"/>
      <c r="L62" s="77"/>
      <c r="M62" s="86"/>
      <c r="N62" s="133"/>
      <c r="O62" s="78"/>
      <c r="P62" s="78"/>
      <c r="Q62" s="79"/>
      <c r="R62" s="79"/>
      <c r="S62" s="79"/>
      <c r="T62" s="79"/>
      <c r="U62" s="80"/>
      <c r="V62" s="74"/>
    </row>
    <row r="63" spans="1:22" ht="15.75">
      <c r="A63" s="88"/>
      <c r="B63" s="89">
        <f>SUBTOTAL(3,B3:B62)</f>
        <v>55</v>
      </c>
      <c r="C63" s="88"/>
      <c r="D63" s="90"/>
      <c r="E63" s="342" t="s">
        <v>3</v>
      </c>
      <c r="F63" s="343"/>
      <c r="G63" s="344"/>
      <c r="H63" s="91">
        <f>SUBTOTAL(3,H3:H62)</f>
        <v>46</v>
      </c>
      <c r="I63" s="91">
        <f>SUBTOTAL(3,I3:I62)</f>
        <v>53</v>
      </c>
      <c r="J63" s="91">
        <f>SUBTOTAL(3,J3:J62)</f>
        <v>52</v>
      </c>
      <c r="K63" s="92"/>
      <c r="L63" s="89"/>
      <c r="M63" s="89"/>
      <c r="N63" s="93">
        <f t="shared" ref="N63:T63" si="6">SUBTOTAL(9,N3:N58)</f>
        <v>12167.070000000002</v>
      </c>
      <c r="O63" s="136">
        <f t="shared" si="6"/>
        <v>13275.15</v>
      </c>
      <c r="P63" s="91">
        <f t="shared" si="6"/>
        <v>1950</v>
      </c>
      <c r="Q63" s="91">
        <f t="shared" si="6"/>
        <v>7985</v>
      </c>
      <c r="R63" s="7">
        <f t="shared" si="6"/>
        <v>16941.080000000002</v>
      </c>
      <c r="S63" s="7">
        <f t="shared" si="6"/>
        <v>798.5</v>
      </c>
      <c r="T63" s="7">
        <f t="shared" si="6"/>
        <v>12260.92</v>
      </c>
      <c r="U63" s="7">
        <f>SUBTOTAL(9,U3:U61)</f>
        <v>9794.7800000000007</v>
      </c>
      <c r="V63" s="94"/>
    </row>
    <row r="64" spans="1:22" ht="23.1" customHeight="1">
      <c r="B64" s="95"/>
      <c r="C64" s="96"/>
      <c r="D64" s="97"/>
      <c r="E64" s="98"/>
      <c r="F64" s="98"/>
      <c r="G64" s="8"/>
      <c r="H64" s="11"/>
      <c r="I64" s="99"/>
      <c r="J64" s="100"/>
      <c r="K64" s="100"/>
      <c r="M64" s="101" t="s">
        <v>207</v>
      </c>
      <c r="N64" s="102">
        <f>SUMIFS($N$3:$N$58,$A$3:$A$58,$M$64)</f>
        <v>12167.070000000002</v>
      </c>
      <c r="O64" s="103"/>
      <c r="P64" s="104"/>
      <c r="Q64" s="105"/>
      <c r="R64" s="106"/>
      <c r="S64" s="107"/>
      <c r="T64" s="107"/>
      <c r="U64" s="108"/>
      <c r="V64" s="109"/>
    </row>
    <row r="65" spans="2:22" ht="23.1" customHeight="1">
      <c r="B65" s="95"/>
      <c r="C65" s="110"/>
      <c r="D65" s="111"/>
      <c r="E65" s="98"/>
      <c r="F65" s="98"/>
      <c r="G65" s="8"/>
      <c r="H65" s="11"/>
      <c r="I65" s="99"/>
      <c r="J65" s="100"/>
      <c r="K65" s="100"/>
      <c r="M65" s="112" t="s">
        <v>208</v>
      </c>
      <c r="N65" s="113">
        <f>SUMIFS($N$3:$N$58,$A$3:$A$58,$M$65)</f>
        <v>0</v>
      </c>
      <c r="O65" s="114"/>
      <c r="P65" s="104"/>
      <c r="R65" s="181"/>
      <c r="S65" s="115"/>
      <c r="T65" s="115"/>
      <c r="U65" s="116"/>
    </row>
    <row r="66" spans="2:22">
      <c r="B66" s="95"/>
      <c r="C66" s="117"/>
      <c r="D66" s="118"/>
      <c r="E66" s="98"/>
      <c r="F66" s="98"/>
      <c r="G66" s="8"/>
      <c r="H66" s="11"/>
      <c r="I66" s="99"/>
      <c r="J66" s="100"/>
      <c r="K66" s="100"/>
      <c r="O66" s="119"/>
      <c r="R66" s="115"/>
      <c r="S66" s="115"/>
      <c r="T66" s="115"/>
      <c r="U66" s="116"/>
    </row>
    <row r="67" spans="2:22" ht="15" customHeight="1">
      <c r="L67" s="351"/>
      <c r="M67" s="351"/>
      <c r="P67" s="95"/>
    </row>
    <row r="68" spans="2:22" ht="15" customHeight="1">
      <c r="N68" s="95"/>
      <c r="P68" s="134"/>
    </row>
    <row r="69" spans="2:22" ht="15" customHeight="1">
      <c r="N69" s="180"/>
    </row>
    <row r="71" spans="2:22" ht="15" customHeight="1">
      <c r="V71" s="219"/>
    </row>
    <row r="72" spans="2:22" ht="15" customHeight="1">
      <c r="V72" s="104"/>
    </row>
    <row r="73" spans="2:22" ht="15" customHeight="1">
      <c r="E73" s="219"/>
      <c r="V73" s="219"/>
    </row>
    <row r="74" spans="2:22" ht="15" customHeight="1">
      <c r="E74" s="104"/>
    </row>
    <row r="75" spans="2:22" ht="15" customHeight="1">
      <c r="E75" s="219"/>
    </row>
    <row r="86" spans="6:6" ht="15" customHeight="1">
      <c r="F86" s="9" t="s">
        <v>440</v>
      </c>
    </row>
  </sheetData>
  <autoFilter ref="A2:V61">
    <sortState ref="A3:V64">
      <sortCondition ref="K3"/>
    </sortState>
  </autoFilter>
  <sortState ref="A3:V59">
    <sortCondition ref="K3"/>
  </sortState>
  <mergeCells count="2">
    <mergeCell ref="E63:G63"/>
    <mergeCell ref="L67:M67"/>
  </mergeCells>
  <conditionalFormatting sqref="A4:D58 U44:U57 I50:J57 K54:P57">
    <cfRule type="expression" dxfId="1121" priority="41">
      <formula>$E4="STORAGE"</formula>
    </cfRule>
    <cfRule type="expression" dxfId="1120" priority="42">
      <formula>$E4="LOLO"</formula>
    </cfRule>
    <cfRule type="expression" dxfId="1119" priority="43">
      <formula>$E4="THC"</formula>
    </cfRule>
  </conditionalFormatting>
  <conditionalFormatting sqref="A3:P57 K56:U57 U3:V57">
    <cfRule type="expression" dxfId="1118" priority="67">
      <formula>$A3="PAID"</formula>
    </cfRule>
  </conditionalFormatting>
  <conditionalFormatting sqref="A58:V58">
    <cfRule type="expression" dxfId="1117" priority="143">
      <formula>$A58="PAID"</formula>
    </cfRule>
  </conditionalFormatting>
  <conditionalFormatting sqref="B44:B58 N54:O58">
    <cfRule type="expression" dxfId="1116" priority="66">
      <formula>$C44=$N$2</formula>
    </cfRule>
  </conditionalFormatting>
  <conditionalFormatting sqref="B3:G3 E23:G29 E30:K44 E45:G49 B59:L61 K3:P3 L4:M14 M12:P12 M15:M44 L15:L53 M23:O28 M29:P39 M40:O44 M45:P49 K55:T57 F58:U58 M59:O59 F12:K12 J23:K29 J45:K49 I50:J57 B55:D58 U3:V11 H3:I49 O4:P44 U12:U13 U13:V43 U15:U57 H50:H54 E55:H57 P59:V61 C4:D54 B12">
    <cfRule type="expression" dxfId="1115" priority="148">
      <formula>$D3=$O$2</formula>
    </cfRule>
  </conditionalFormatting>
  <conditionalFormatting sqref="E3:E11 E13:E58">
    <cfRule type="duplicateValues" dxfId="1114" priority="2454"/>
  </conditionalFormatting>
  <conditionalFormatting sqref="E6 E8 E10">
    <cfRule type="duplicateValues" dxfId="1113" priority="136"/>
  </conditionalFormatting>
  <conditionalFormatting sqref="E7">
    <cfRule type="duplicateValues" dxfId="1112" priority="132"/>
    <cfRule type="duplicateValues" dxfId="1111" priority="133"/>
    <cfRule type="duplicateValues" dxfId="1110" priority="134"/>
  </conditionalFormatting>
  <conditionalFormatting sqref="E8 E6 E10">
    <cfRule type="duplicateValues" dxfId="1109" priority="137"/>
  </conditionalFormatting>
  <conditionalFormatting sqref="E8 E6">
    <cfRule type="duplicateValues" dxfId="1108" priority="135"/>
  </conditionalFormatting>
  <conditionalFormatting sqref="E15 E17:E20">
    <cfRule type="duplicateValues" dxfId="1107" priority="138"/>
  </conditionalFormatting>
  <conditionalFormatting sqref="E16">
    <cfRule type="duplicateValues" dxfId="1106" priority="119"/>
  </conditionalFormatting>
  <conditionalFormatting sqref="E21:E22">
    <cfRule type="duplicateValues" dxfId="1105" priority="139"/>
  </conditionalFormatting>
  <conditionalFormatting sqref="E55 E50:E53">
    <cfRule type="duplicateValues" dxfId="1104" priority="1875"/>
  </conditionalFormatting>
  <conditionalFormatting sqref="E56:E57">
    <cfRule type="duplicateValues" dxfId="1103" priority="2457"/>
  </conditionalFormatting>
  <conditionalFormatting sqref="E59:E1048576 E23:E49 E1:E3">
    <cfRule type="duplicateValues" dxfId="1102" priority="147"/>
  </conditionalFormatting>
  <conditionalFormatting sqref="E21:G22 M16:P16 N4:O15 G18 J21:K22 G44:G49 N17:N21 O17:O22 B4:B22">
    <cfRule type="expression" dxfId="1101" priority="141">
      <formula>$C4=$N$2</formula>
    </cfRule>
  </conditionalFormatting>
  <conditionalFormatting sqref="E45:G54">
    <cfRule type="expression" dxfId="1100" priority="62">
      <formula>$E45="STORAGE"</formula>
    </cfRule>
    <cfRule type="expression" dxfId="1099" priority="63">
      <formula>$E45="LOLO"</formula>
    </cfRule>
    <cfRule type="expression" dxfId="1098" priority="64">
      <formula>$E45="THC"</formula>
    </cfRule>
  </conditionalFormatting>
  <conditionalFormatting sqref="F12:P12 E55:H55 A3:P3 U3:XFD11 E4:P11 U12 E13:P14 U13:XFD43 E15:G29 J15:K29 M15:M44 H15:I49 E30:K44 J45:K49 H50:H54 W12:XFD12 W44:XFD54 W58:XFD58 A59:XFD61">
    <cfRule type="expression" dxfId="1097" priority="116">
      <formula>$E3="STORAGE"</formula>
    </cfRule>
    <cfRule type="expression" dxfId="1096" priority="117">
      <formula>$E3="LOLO"</formula>
    </cfRule>
    <cfRule type="expression" dxfId="1095" priority="118">
      <formula>$E3="THC"</formula>
    </cfRule>
  </conditionalFormatting>
  <conditionalFormatting sqref="G11:G14">
    <cfRule type="expression" dxfId="1094" priority="131">
      <formula>$C11=$N$2</formula>
    </cfRule>
  </conditionalFormatting>
  <conditionalFormatting sqref="G50:G58">
    <cfRule type="expression" dxfId="1093" priority="65">
      <formula>$C50=$N$2</formula>
    </cfRule>
  </conditionalFormatting>
  <conditionalFormatting sqref="G57">
    <cfRule type="expression" dxfId="1092" priority="29">
      <formula>$E57="STORAGE"</formula>
    </cfRule>
    <cfRule type="expression" dxfId="1091" priority="30">
      <formula>$E57="LOLO"</formula>
    </cfRule>
    <cfRule type="expression" dxfId="1090" priority="31">
      <formula>$E57="THC"</formula>
    </cfRule>
  </conditionalFormatting>
  <conditionalFormatting sqref="H50:H54 H3:I11 H13:I49 I50:I57">
    <cfRule type="duplicateValues" dxfId="1089" priority="2471"/>
  </conditionalFormatting>
  <conditionalFormatting sqref="H56:H57">
    <cfRule type="duplicateValues" dxfId="1088" priority="2475"/>
    <cfRule type="duplicateValues" dxfId="1087" priority="2476"/>
    <cfRule type="duplicateValues" dxfId="1086" priority="2477"/>
  </conditionalFormatting>
  <conditionalFormatting sqref="H12:I12">
    <cfRule type="duplicateValues" dxfId="1085" priority="88"/>
    <cfRule type="duplicateValues" dxfId="1084" priority="95"/>
  </conditionalFormatting>
  <conditionalFormatting sqref="H44:I49 H50:H54 I50:I57">
    <cfRule type="duplicateValues" dxfId="1083" priority="2478"/>
  </conditionalFormatting>
  <conditionalFormatting sqref="H58:I58 H55">
    <cfRule type="duplicateValues" dxfId="1082" priority="83"/>
  </conditionalFormatting>
  <conditionalFormatting sqref="H58:I58">
    <cfRule type="duplicateValues" dxfId="1081" priority="85"/>
  </conditionalFormatting>
  <conditionalFormatting sqref="H58:J58 H55">
    <cfRule type="duplicateValues" dxfId="1080" priority="81"/>
  </conditionalFormatting>
  <conditionalFormatting sqref="H64:J1048576 H1:J2 J23:J29 H12:J12 H59:J62 H30:J49 H50:H54 I50:J57">
    <cfRule type="duplicateValues" dxfId="1079" priority="149"/>
  </conditionalFormatting>
  <conditionalFormatting sqref="I3:I11 I13:I57">
    <cfRule type="duplicateValues" dxfId="1078" priority="2490"/>
  </conditionalFormatting>
  <conditionalFormatting sqref="I12">
    <cfRule type="duplicateValues" dxfId="1077" priority="89"/>
    <cfRule type="duplicateValues" dxfId="1076" priority="96"/>
  </conditionalFormatting>
  <conditionalFormatting sqref="I44:I57">
    <cfRule type="duplicateValues" dxfId="1075" priority="2492"/>
  </conditionalFormatting>
  <conditionalFormatting sqref="I58">
    <cfRule type="duplicateValues" dxfId="1074" priority="82"/>
    <cfRule type="duplicateValues" dxfId="1073" priority="84"/>
    <cfRule type="duplicateValues" dxfId="1072" priority="86"/>
  </conditionalFormatting>
  <conditionalFormatting sqref="I64:I1048576 I1:I2 I12 I59:I62 I30:I57">
    <cfRule type="duplicateValues" dxfId="1071" priority="150"/>
  </conditionalFormatting>
  <conditionalFormatting sqref="I64:I1048576">
    <cfRule type="duplicateValues" dxfId="1070" priority="145"/>
  </conditionalFormatting>
  <conditionalFormatting sqref="J21:J22">
    <cfRule type="duplicateValues" dxfId="1069" priority="142"/>
  </conditionalFormatting>
  <conditionalFormatting sqref="J25">
    <cfRule type="expression" dxfId="1068" priority="1506">
      <formula>$C25=$N$2</formula>
    </cfRule>
    <cfRule type="duplicateValues" dxfId="1067" priority="1507"/>
  </conditionalFormatting>
  <conditionalFormatting sqref="J27:J29">
    <cfRule type="expression" dxfId="1066" priority="1508">
      <formula>$C27=$N$2</formula>
    </cfRule>
    <cfRule type="duplicateValues" dxfId="1065" priority="1509"/>
  </conditionalFormatting>
  <conditionalFormatting sqref="J32:J33">
    <cfRule type="expression" dxfId="1064" priority="1524">
      <formula>$C32=$N$2</formula>
    </cfRule>
    <cfRule type="duplicateValues" dxfId="1063" priority="1525"/>
  </conditionalFormatting>
  <conditionalFormatting sqref="J58">
    <cfRule type="duplicateValues" dxfId="1062" priority="77"/>
  </conditionalFormatting>
  <conditionalFormatting sqref="J64:J1048576 J1:J2 J12 J59:J62 J23:J57">
    <cfRule type="duplicateValues" dxfId="1061" priority="144"/>
  </conditionalFormatting>
  <conditionalFormatting sqref="L60:L61">
    <cfRule type="expression" dxfId="1060" priority="155">
      <formula>#REF!=$M$1</formula>
    </cfRule>
  </conditionalFormatting>
  <conditionalFormatting sqref="L54:M54">
    <cfRule type="expression" dxfId="1059" priority="68">
      <formula>$M54=$M$1</formula>
    </cfRule>
  </conditionalFormatting>
  <conditionalFormatting sqref="L55:M59 M15:M49 L3:M14 L15:L53">
    <cfRule type="expression" dxfId="1058" priority="146">
      <formula>$M3=$M$1</formula>
    </cfRule>
  </conditionalFormatting>
  <conditionalFormatting sqref="L15:P53 K50:K53 F58:U58">
    <cfRule type="expression" dxfId="1057" priority="72">
      <formula>$E15="STORAGE"</formula>
    </cfRule>
    <cfRule type="expression" dxfId="1056" priority="73">
      <formula>$E15="LOLO"</formula>
    </cfRule>
    <cfRule type="expression" dxfId="1055" priority="74">
      <formula>$E15="THC"</formula>
    </cfRule>
  </conditionalFormatting>
  <conditionalFormatting sqref="L54:P54 U54">
    <cfRule type="expression" dxfId="1054" priority="69">
      <formula>$D54=$O$2</formula>
    </cfRule>
  </conditionalFormatting>
  <conditionalFormatting sqref="M16">
    <cfRule type="expression" dxfId="1053" priority="120">
      <formula>$L16=$L$1</formula>
    </cfRule>
  </conditionalFormatting>
  <conditionalFormatting sqref="M50:M53">
    <cfRule type="expression" dxfId="1052" priority="78">
      <formula>$M50=$M$1</formula>
    </cfRule>
  </conditionalFormatting>
  <conditionalFormatting sqref="M50:P53 K50:K53 F58:K58 U50:U53">
    <cfRule type="expression" dxfId="1051" priority="76">
      <formula>$A50="PAID"</formula>
    </cfRule>
  </conditionalFormatting>
  <conditionalFormatting sqref="M50:P53 K50:K53 U50:U53 B23:B53 E50:G53">
    <cfRule type="expression" dxfId="1050" priority="80">
      <formula>$D23=$O$2</formula>
    </cfRule>
  </conditionalFormatting>
  <conditionalFormatting sqref="N44:O53">
    <cfRule type="expression" dxfId="1049" priority="75">
      <formula>$C44=$N$2</formula>
    </cfRule>
  </conditionalFormatting>
  <conditionalFormatting sqref="Q16">
    <cfRule type="expression" dxfId="1048" priority="15">
      <formula>$C16=$N$2</formula>
    </cfRule>
  </conditionalFormatting>
  <conditionalFormatting sqref="Q3:T15 R16 S16:T28 Q17:R28">
    <cfRule type="expression" dxfId="1047" priority="17">
      <formula>$D3=$O$2</formula>
    </cfRule>
  </conditionalFormatting>
  <conditionalFormatting sqref="Q3:T57 E56:H57">
    <cfRule type="expression" dxfId="1046" priority="32">
      <formula>$E3="STORAGE"</formula>
    </cfRule>
    <cfRule type="expression" dxfId="1045" priority="33">
      <formula>$E3="LOLO"</formula>
    </cfRule>
    <cfRule type="expression" dxfId="1044" priority="34">
      <formula>$E3="THC"</formula>
    </cfRule>
    <cfRule type="expression" dxfId="1043" priority="35">
      <formula>$A3="PAID"</formula>
    </cfRule>
  </conditionalFormatting>
  <conditionalFormatting sqref="Q29:T54">
    <cfRule type="expression" dxfId="1042" priority="6">
      <formula>$D29=$O$2</formula>
    </cfRule>
  </conditionalFormatting>
  <conditionalFormatting sqref="Q50:T54">
    <cfRule type="expression" dxfId="1041" priority="5">
      <formula>$A50="PAID"</formula>
    </cfRule>
  </conditionalFormatting>
  <conditionalFormatting sqref="V12">
    <cfRule type="expression" dxfId="1040" priority="1542">
      <formula>$A44="PAID"</formula>
    </cfRule>
    <cfRule type="expression" dxfId="1039" priority="1546">
      <formula>$E44="STORAGE"</formula>
    </cfRule>
    <cfRule type="expression" dxfId="1038" priority="1547">
      <formula>$E44="LOLO"</formula>
    </cfRule>
    <cfRule type="expression" dxfId="1037" priority="1548">
      <formula>$E44="THC"</formula>
    </cfRule>
    <cfRule type="expression" dxfId="1036" priority="1550">
      <formula>$D44=$O$2</formula>
    </cfRule>
  </conditionalFormatting>
  <conditionalFormatting sqref="V50:V53">
    <cfRule type="expression" dxfId="1035" priority="22">
      <formula>$D50=$O$2</formula>
    </cfRule>
  </conditionalFormatting>
  <conditionalFormatting sqref="V50:V54">
    <cfRule type="expression" dxfId="1034" priority="21">
      <formula>$A50="PAID"</formula>
    </cfRule>
  </conditionalFormatting>
  <conditionalFormatting sqref="V50:V55">
    <cfRule type="expression" dxfId="1033" priority="18">
      <formula>$E50="STORAGE"</formula>
    </cfRule>
    <cfRule type="expression" dxfId="1032" priority="19">
      <formula>$E50="LOLO"</formula>
    </cfRule>
    <cfRule type="expression" dxfId="1031" priority="20">
      <formula>$E50="THC"</formula>
    </cfRule>
    <cfRule type="duplicateValues" dxfId="1030" priority="28"/>
  </conditionalFormatting>
  <conditionalFormatting sqref="V55 V50:V53">
    <cfRule type="duplicateValues" dxfId="1029" priority="27"/>
  </conditionalFormatting>
  <conditionalFormatting sqref="V55">
    <cfRule type="expression" dxfId="1028" priority="26">
      <formula>$D55=$O$2</formula>
    </cfRule>
  </conditionalFormatting>
  <pageMargins left="0.7" right="0.7" top="0.75" bottom="0.75" header="0.3" footer="0.3"/>
  <pageSetup paperSize="9" scale="96" orientation="portrait" r:id="rId1"/>
  <rowBreaks count="1" manualBreakCount="1">
    <brk id="4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82"/>
  <sheetViews>
    <sheetView view="pageBreakPreview" zoomScale="70" zoomScaleNormal="70" zoomScaleSheetLayoutView="70" workbookViewId="0">
      <pane xSplit="8" ySplit="2" topLeftCell="J3" activePane="bottomRight" state="frozenSplit"/>
      <selection pane="topRight" activeCell="K1" sqref="K1"/>
      <selection pane="bottomLeft" activeCell="A21" sqref="A21"/>
      <selection pane="bottomRight" activeCell="H18" sqref="H18"/>
    </sheetView>
  </sheetViews>
  <sheetFormatPr defaultColWidth="14" defaultRowHeight="15" customHeight="1"/>
  <cols>
    <col min="1" max="3" width="14" style="9"/>
    <col min="4" max="4" width="23.85546875" style="9" customWidth="1"/>
    <col min="5" max="5" width="30.42578125" style="9" customWidth="1"/>
    <col min="6" max="6" width="16.85546875" style="9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0" width="14" style="9"/>
    <col min="21" max="21" width="15.42578125" style="9" customWidth="1"/>
    <col min="22" max="22" width="39.42578125" style="9" bestFit="1" customWidth="1"/>
    <col min="23" max="16384" width="14" style="9"/>
  </cols>
  <sheetData>
    <row r="1" spans="1:22">
      <c r="A1" s="8"/>
      <c r="C1" s="10"/>
      <c r="D1" s="10"/>
      <c r="E1" s="5" t="s">
        <v>0</v>
      </c>
      <c r="F1" s="5"/>
      <c r="G1" s="6"/>
      <c r="H1" s="11"/>
      <c r="I1" s="12"/>
      <c r="J1" s="13"/>
      <c r="K1" s="13"/>
      <c r="L1" s="11"/>
      <c r="M1" s="11" t="s">
        <v>193</v>
      </c>
      <c r="U1" s="8"/>
    </row>
    <row r="2" spans="1:22" ht="47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2" ht="18" customHeight="1">
      <c r="A3" s="14" t="s">
        <v>207</v>
      </c>
      <c r="B3" s="15">
        <v>11</v>
      </c>
      <c r="C3" s="16" t="str">
        <f>INDEX(PORT!$B$2:$B$20,MATCH('04'!B3,PORT!$A$2:$A$20))</f>
        <v>SHV11</v>
      </c>
      <c r="D3" s="10" t="str">
        <f>INDEX(PORT!$C$2:$C$20,MATCH('04'!B3,PORT!$A$2:$A$20))</f>
        <v>SHV PORT</v>
      </c>
      <c r="E3" s="221" t="s">
        <v>538</v>
      </c>
      <c r="F3" s="18">
        <v>46113</v>
      </c>
      <c r="G3" s="19" t="s">
        <v>41</v>
      </c>
      <c r="H3" s="49" t="s">
        <v>603</v>
      </c>
      <c r="I3" s="196" t="s">
        <v>536</v>
      </c>
      <c r="J3" s="142" t="s">
        <v>652</v>
      </c>
      <c r="K3" s="194">
        <v>46114</v>
      </c>
      <c r="L3" s="21" t="str">
        <f>VLOOKUP(K3,'[4]Exchange Rate'!$A$3:$C$21,3,FALSE)</f>
        <v>3999</v>
      </c>
      <c r="M3" s="20" t="str">
        <f t="shared" ref="M3:M34" si="0">TEXT(K3,"dddd")</f>
        <v>Thursday</v>
      </c>
      <c r="N3" s="26">
        <v>925.95</v>
      </c>
      <c r="O3" s="233">
        <v>721.5</v>
      </c>
      <c r="P3" s="22">
        <v>0</v>
      </c>
      <c r="Q3" s="186">
        <v>200</v>
      </c>
      <c r="R3" s="186">
        <v>835.95</v>
      </c>
      <c r="S3" s="182">
        <f t="shared" ref="S3:S54" si="1">ROUND(Q3*10%,2)</f>
        <v>20</v>
      </c>
      <c r="T3" s="186">
        <v>869</v>
      </c>
      <c r="U3" s="24">
        <f t="shared" ref="U3:U34" si="2">(Q3+R3+T3)-(N3+O3+P3)</f>
        <v>257.5</v>
      </c>
      <c r="V3" s="19" t="s">
        <v>677</v>
      </c>
    </row>
    <row r="4" spans="1:22" ht="18" customHeight="1">
      <c r="A4" s="14" t="s">
        <v>207</v>
      </c>
      <c r="B4" s="151">
        <v>1</v>
      </c>
      <c r="C4" s="16" t="str">
        <f>INDEX(PORT!$B$2:$B$20,MATCH('04'!B4,PORT!$A$2:$A$20))</f>
        <v>PNH01</v>
      </c>
      <c r="D4" s="10" t="str">
        <f>INDEX(PORT!$C$2:$C$20,MATCH('04'!B4,PORT!$A$2:$A$20))</f>
        <v>KTI AIR PORT</v>
      </c>
      <c r="E4" s="227" t="s">
        <v>597</v>
      </c>
      <c r="F4" s="153">
        <v>46113</v>
      </c>
      <c r="G4" s="152" t="s">
        <v>10</v>
      </c>
      <c r="H4" s="49" t="s">
        <v>604</v>
      </c>
      <c r="I4" s="196" t="s">
        <v>602</v>
      </c>
      <c r="J4" s="146" t="s">
        <v>657</v>
      </c>
      <c r="K4" s="153">
        <v>46114</v>
      </c>
      <c r="L4" s="21" t="str">
        <f>VLOOKUP(K4,'[4]Exchange Rate'!$A$3:$C$21,3,FALSE)</f>
        <v>3999</v>
      </c>
      <c r="M4" s="20" t="str">
        <f t="shared" si="0"/>
        <v>Thursday</v>
      </c>
      <c r="N4" s="148">
        <v>85.95</v>
      </c>
      <c r="O4" s="55">
        <v>0</v>
      </c>
      <c r="P4" s="22">
        <v>50</v>
      </c>
      <c r="Q4" s="184">
        <v>140</v>
      </c>
      <c r="R4" s="184">
        <v>15.95</v>
      </c>
      <c r="S4" s="182">
        <f t="shared" si="1"/>
        <v>14</v>
      </c>
      <c r="T4" s="184">
        <v>60</v>
      </c>
      <c r="U4" s="24">
        <f t="shared" si="2"/>
        <v>80</v>
      </c>
      <c r="V4" s="29"/>
    </row>
    <row r="5" spans="1:22" ht="18" customHeight="1">
      <c r="A5" s="14" t="s">
        <v>207</v>
      </c>
      <c r="B5" s="143">
        <v>11</v>
      </c>
      <c r="C5" s="16" t="str">
        <f>INDEX(PORT!$B$2:$B$20,MATCH('04'!B5,PORT!$A$2:$A$20))</f>
        <v>SHV11</v>
      </c>
      <c r="D5" s="10" t="str">
        <f>INDEX(PORT!$C$2:$C$20,MATCH('04'!B5,PORT!$A$2:$A$20))</f>
        <v>SHV PORT</v>
      </c>
      <c r="E5" s="229" t="s">
        <v>537</v>
      </c>
      <c r="F5" s="168">
        <v>46113</v>
      </c>
      <c r="G5" s="169" t="s">
        <v>10</v>
      </c>
      <c r="H5" s="49" t="s">
        <v>606</v>
      </c>
      <c r="I5" s="196" t="s">
        <v>605</v>
      </c>
      <c r="J5" s="169" t="s">
        <v>658</v>
      </c>
      <c r="K5" s="170">
        <v>46114</v>
      </c>
      <c r="L5" s="21" t="str">
        <f>VLOOKUP(K5,'[4]Exchange Rate'!$A$3:$C$21,3,FALSE)</f>
        <v>3999</v>
      </c>
      <c r="M5" s="20" t="str">
        <f t="shared" si="0"/>
        <v>Thursday</v>
      </c>
      <c r="N5" s="148">
        <v>349.01</v>
      </c>
      <c r="O5" s="218">
        <v>803.44</v>
      </c>
      <c r="P5" s="22">
        <v>50</v>
      </c>
      <c r="Q5" s="183">
        <v>150</v>
      </c>
      <c r="R5" s="183">
        <v>30.58</v>
      </c>
      <c r="S5" s="182">
        <f t="shared" si="1"/>
        <v>15</v>
      </c>
      <c r="T5" s="186">
        <v>401.12</v>
      </c>
      <c r="U5" s="24">
        <f t="shared" si="2"/>
        <v>-620.75</v>
      </c>
      <c r="V5" s="19" t="s">
        <v>677</v>
      </c>
    </row>
    <row r="6" spans="1:22" ht="18" customHeight="1">
      <c r="A6" s="14" t="s">
        <v>207</v>
      </c>
      <c r="B6" s="15">
        <v>1</v>
      </c>
      <c r="C6" s="16" t="str">
        <f>INDEX(PORT!$B$2:$B$20,MATCH('04'!B6,PORT!$A$2:$A$20))</f>
        <v>PNH01</v>
      </c>
      <c r="D6" s="10" t="str">
        <f>INDEX(PORT!$C$2:$C$20,MATCH('04'!B6,PORT!$A$2:$A$20))</f>
        <v>KTI AIR PORT</v>
      </c>
      <c r="E6" s="223" t="s">
        <v>581</v>
      </c>
      <c r="F6" s="18">
        <v>46115</v>
      </c>
      <c r="G6" s="19" t="s">
        <v>351</v>
      </c>
      <c r="H6" s="49" t="s">
        <v>608</v>
      </c>
      <c r="I6" s="196" t="s">
        <v>607</v>
      </c>
      <c r="J6" s="142" t="s">
        <v>663</v>
      </c>
      <c r="K6" s="194">
        <v>46118</v>
      </c>
      <c r="L6" s="21" t="str">
        <f>VLOOKUP(K6,'[4]Exchange Rate'!$A$3:$C$21,3,FALSE)</f>
        <v>3999</v>
      </c>
      <c r="M6" s="20" t="str">
        <f t="shared" si="0"/>
        <v>Monday</v>
      </c>
      <c r="N6" s="22">
        <v>204.41</v>
      </c>
      <c r="O6" s="55">
        <v>0</v>
      </c>
      <c r="P6" s="22">
        <v>50</v>
      </c>
      <c r="Q6" s="182">
        <v>175</v>
      </c>
      <c r="R6" s="182">
        <v>84.41</v>
      </c>
      <c r="S6" s="182">
        <f t="shared" si="1"/>
        <v>17.5</v>
      </c>
      <c r="T6" s="182">
        <v>180</v>
      </c>
      <c r="U6" s="24">
        <f t="shared" si="2"/>
        <v>184.99999999999997</v>
      </c>
      <c r="V6" s="17"/>
    </row>
    <row r="7" spans="1:22" s="37" customFormat="1" ht="18" customHeight="1">
      <c r="A7" s="14" t="s">
        <v>207</v>
      </c>
      <c r="B7" s="143">
        <v>1</v>
      </c>
      <c r="C7" s="16" t="str">
        <f>INDEX(PORT!$B$2:$B$20,MATCH('04'!B7,PORT!$A$2:$A$20))</f>
        <v>PNH01</v>
      </c>
      <c r="D7" s="10" t="str">
        <f>INDEX(PORT!$C$2:$C$20,MATCH('04'!B7,PORT!$A$2:$A$20))</f>
        <v>KTI AIR PORT</v>
      </c>
      <c r="E7" s="224" t="s">
        <v>580</v>
      </c>
      <c r="F7" s="144">
        <v>46116</v>
      </c>
      <c r="G7" s="145" t="s">
        <v>351</v>
      </c>
      <c r="H7" s="49" t="s">
        <v>610</v>
      </c>
      <c r="I7" s="196" t="s">
        <v>609</v>
      </c>
      <c r="J7" s="142" t="s">
        <v>664</v>
      </c>
      <c r="K7" s="147">
        <v>46118</v>
      </c>
      <c r="L7" s="21" t="str">
        <f>VLOOKUP(K7,'[4]Exchange Rate'!$A$3:$C$21,3,FALSE)</f>
        <v>3999</v>
      </c>
      <c r="M7" s="20" t="str">
        <f t="shared" si="0"/>
        <v>Monday</v>
      </c>
      <c r="N7" s="148">
        <v>373.39</v>
      </c>
      <c r="O7" s="55">
        <v>0</v>
      </c>
      <c r="P7" s="22">
        <v>50</v>
      </c>
      <c r="Q7" s="182">
        <v>220</v>
      </c>
      <c r="R7" s="182">
        <v>203.39</v>
      </c>
      <c r="S7" s="182">
        <f t="shared" si="1"/>
        <v>22</v>
      </c>
      <c r="T7" s="182">
        <v>280</v>
      </c>
      <c r="U7" s="24">
        <f t="shared" si="2"/>
        <v>280</v>
      </c>
      <c r="V7" s="17"/>
    </row>
    <row r="8" spans="1:22" s="37" customFormat="1" ht="18" customHeight="1">
      <c r="A8" s="14" t="s">
        <v>207</v>
      </c>
      <c r="B8" s="15">
        <v>1</v>
      </c>
      <c r="C8" s="16" t="str">
        <f>INDEX(PORT!$B$2:$B$20,MATCH('04'!B8,PORT!$A$2:$A$20))</f>
        <v>PNH01</v>
      </c>
      <c r="D8" s="10" t="str">
        <f>INDEX(PORT!$C$2:$C$20,MATCH('04'!B8,PORT!$A$2:$A$20))</f>
        <v>KTI AIR PORT</v>
      </c>
      <c r="E8" s="221" t="s">
        <v>582</v>
      </c>
      <c r="F8" s="18">
        <v>46117</v>
      </c>
      <c r="G8" s="19" t="s">
        <v>351</v>
      </c>
      <c r="H8" s="49" t="s">
        <v>612</v>
      </c>
      <c r="I8" s="196" t="s">
        <v>611</v>
      </c>
      <c r="J8" s="142" t="s">
        <v>665</v>
      </c>
      <c r="K8" s="194">
        <v>46118</v>
      </c>
      <c r="L8" s="21" t="str">
        <f>VLOOKUP(K8,'[4]Exchange Rate'!$A$3:$C$21,3,FALSE)</f>
        <v>3999</v>
      </c>
      <c r="M8" s="20" t="str">
        <f t="shared" si="0"/>
        <v>Monday</v>
      </c>
      <c r="N8" s="26">
        <v>224.21</v>
      </c>
      <c r="O8" s="55">
        <v>0</v>
      </c>
      <c r="P8" s="22">
        <v>50</v>
      </c>
      <c r="Q8" s="186">
        <v>175</v>
      </c>
      <c r="R8" s="186">
        <v>74.209999999999994</v>
      </c>
      <c r="S8" s="182">
        <f>ROUND(Q8*10%,2)</f>
        <v>17.5</v>
      </c>
      <c r="T8" s="186">
        <v>230</v>
      </c>
      <c r="U8" s="24">
        <f t="shared" si="2"/>
        <v>204.99999999999994</v>
      </c>
      <c r="V8" s="19"/>
    </row>
    <row r="9" spans="1:22" s="37" customFormat="1" ht="18" customHeight="1">
      <c r="A9" s="14" t="s">
        <v>207</v>
      </c>
      <c r="B9" s="15">
        <v>1</v>
      </c>
      <c r="C9" s="16" t="str">
        <f>INDEX(PORT!$B$2:$B$20,MATCH('04'!B9,PORT!$A$2:$A$20))</f>
        <v>PNH01</v>
      </c>
      <c r="D9" s="10" t="str">
        <f>INDEX(PORT!$C$2:$C$20,MATCH('04'!B9,PORT!$A$2:$A$20))</f>
        <v>KTI AIR PORT</v>
      </c>
      <c r="E9" s="225" t="s">
        <v>583</v>
      </c>
      <c r="F9" s="18">
        <v>46117</v>
      </c>
      <c r="G9" s="19" t="s">
        <v>351</v>
      </c>
      <c r="H9" s="49" t="s">
        <v>614</v>
      </c>
      <c r="I9" s="196" t="s">
        <v>613</v>
      </c>
      <c r="J9" s="142" t="s">
        <v>666</v>
      </c>
      <c r="K9" s="194">
        <v>46118</v>
      </c>
      <c r="L9" s="21" t="str">
        <f>VLOOKUP(K9,'[4]Exchange Rate'!$A$3:$C$21,3,FALSE)</f>
        <v>3999</v>
      </c>
      <c r="M9" s="20" t="str">
        <f t="shared" si="0"/>
        <v>Monday</v>
      </c>
      <c r="N9" s="26">
        <v>205.9</v>
      </c>
      <c r="O9" s="55">
        <v>0</v>
      </c>
      <c r="P9" s="22">
        <v>50</v>
      </c>
      <c r="Q9" s="186">
        <v>150</v>
      </c>
      <c r="R9" s="186">
        <v>55.9</v>
      </c>
      <c r="S9" s="182">
        <f t="shared" si="1"/>
        <v>15</v>
      </c>
      <c r="T9" s="186">
        <v>230</v>
      </c>
      <c r="U9" s="24">
        <f t="shared" si="2"/>
        <v>179.99999999999997</v>
      </c>
      <c r="V9" s="19"/>
    </row>
    <row r="10" spans="1:22" s="37" customFormat="1" ht="18" customHeight="1">
      <c r="A10" s="14" t="s">
        <v>207</v>
      </c>
      <c r="B10" s="143">
        <v>1</v>
      </c>
      <c r="C10" s="16" t="str">
        <f>INDEX(PORT!$B$2:$B$20,MATCH('04'!B10,PORT!$A$2:$A$20))</f>
        <v>PNH01</v>
      </c>
      <c r="D10" s="10" t="str">
        <f>INDEX(PORT!$C$2:$C$20,MATCH('04'!B10,PORT!$A$2:$A$20))</f>
        <v>KTI AIR PORT</v>
      </c>
      <c r="E10" s="226" t="s">
        <v>584</v>
      </c>
      <c r="F10" s="144">
        <v>46117</v>
      </c>
      <c r="G10" s="145" t="s">
        <v>351</v>
      </c>
      <c r="H10" s="49" t="s">
        <v>616</v>
      </c>
      <c r="I10" s="196" t="s">
        <v>615</v>
      </c>
      <c r="J10" s="142" t="s">
        <v>667</v>
      </c>
      <c r="K10" s="147">
        <v>46118</v>
      </c>
      <c r="L10" s="21" t="str">
        <f>VLOOKUP(K10,'[4]Exchange Rate'!$A$3:$C$21,3,FALSE)</f>
        <v>3999</v>
      </c>
      <c r="M10" s="20" t="str">
        <f t="shared" si="0"/>
        <v>Monday</v>
      </c>
      <c r="N10" s="148">
        <v>187.6</v>
      </c>
      <c r="O10" s="55">
        <v>0</v>
      </c>
      <c r="P10" s="22">
        <v>50</v>
      </c>
      <c r="Q10" s="182">
        <v>150</v>
      </c>
      <c r="R10" s="182">
        <v>37.6</v>
      </c>
      <c r="S10" s="182">
        <f t="shared" si="1"/>
        <v>15</v>
      </c>
      <c r="T10" s="182">
        <v>230</v>
      </c>
      <c r="U10" s="24">
        <f t="shared" si="2"/>
        <v>180.00000000000003</v>
      </c>
      <c r="V10" s="17"/>
    </row>
    <row r="11" spans="1:22" ht="18" customHeight="1">
      <c r="A11" s="14" t="s">
        <v>207</v>
      </c>
      <c r="B11" s="15">
        <v>4</v>
      </c>
      <c r="C11" s="16" t="str">
        <f>INDEX(PORT!$B$2:$B$20,MATCH('04'!B11,PORT!$A$2:$A$20))</f>
        <v>PNH04</v>
      </c>
      <c r="D11" s="10" t="str">
        <f>INDEX(PORT!$C$2:$C$20,MATCH('04'!B11,PORT!$A$2:$A$20))</f>
        <v>PNH PORT</v>
      </c>
      <c r="E11" s="221" t="s">
        <v>593</v>
      </c>
      <c r="F11" s="18">
        <v>46115</v>
      </c>
      <c r="G11" s="19" t="s">
        <v>41</v>
      </c>
      <c r="H11" s="49" t="s">
        <v>618</v>
      </c>
      <c r="I11" s="196" t="s">
        <v>617</v>
      </c>
      <c r="J11" s="142" t="s">
        <v>653</v>
      </c>
      <c r="K11" s="194">
        <v>46118</v>
      </c>
      <c r="L11" s="21" t="str">
        <f>VLOOKUP(K11,'[4]Exchange Rate'!$A$3:$C$21,3,FALSE)</f>
        <v>3999</v>
      </c>
      <c r="M11" s="20" t="str">
        <f t="shared" si="0"/>
        <v>Monday</v>
      </c>
      <c r="N11" s="26">
        <v>578.25</v>
      </c>
      <c r="O11" s="55">
        <v>528</v>
      </c>
      <c r="P11" s="22">
        <v>0</v>
      </c>
      <c r="Q11" s="185">
        <v>242</v>
      </c>
      <c r="R11" s="185">
        <v>626.25</v>
      </c>
      <c r="S11" s="182">
        <f t="shared" si="1"/>
        <v>24.2</v>
      </c>
      <c r="T11" s="185">
        <v>1006.5</v>
      </c>
      <c r="U11" s="24">
        <f t="shared" si="2"/>
        <v>768.5</v>
      </c>
      <c r="V11" s="19" t="s">
        <v>779</v>
      </c>
    </row>
    <row r="12" spans="1:22" s="37" customFormat="1" ht="18" customHeight="1">
      <c r="A12" s="14" t="s">
        <v>207</v>
      </c>
      <c r="B12" s="143">
        <v>4</v>
      </c>
      <c r="C12" s="16" t="str">
        <f>INDEX(PORT!$B$2:$B$20,MATCH('04'!B12,PORT!$A$2:$A$20))</f>
        <v>PNH04</v>
      </c>
      <c r="D12" s="10" t="str">
        <f>INDEX(PORT!$C$2:$C$20,MATCH('04'!B12,PORT!$A$2:$A$20))</f>
        <v>PNH PORT</v>
      </c>
      <c r="E12" s="224" t="s">
        <v>594</v>
      </c>
      <c r="F12" s="144">
        <v>46115</v>
      </c>
      <c r="G12" s="145" t="s">
        <v>41</v>
      </c>
      <c r="H12" s="49" t="s">
        <v>620</v>
      </c>
      <c r="I12" s="196" t="s">
        <v>619</v>
      </c>
      <c r="J12" s="146" t="s">
        <v>654</v>
      </c>
      <c r="K12" s="147">
        <v>46118</v>
      </c>
      <c r="L12" s="21" t="str">
        <f>VLOOKUP(K12,'[4]Exchange Rate'!$A$3:$C$21,3,FALSE)</f>
        <v>3999</v>
      </c>
      <c r="M12" s="20" t="str">
        <f t="shared" si="0"/>
        <v>Monday</v>
      </c>
      <c r="N12" s="148">
        <v>607.75</v>
      </c>
      <c r="O12" s="55">
        <v>506</v>
      </c>
      <c r="P12" s="22">
        <v>0</v>
      </c>
      <c r="Q12" s="183">
        <v>242</v>
      </c>
      <c r="R12" s="183">
        <v>604.25</v>
      </c>
      <c r="S12" s="182">
        <f t="shared" si="1"/>
        <v>24.2</v>
      </c>
      <c r="T12" s="183">
        <v>947.5</v>
      </c>
      <c r="U12" s="24">
        <f t="shared" si="2"/>
        <v>680</v>
      </c>
      <c r="V12" s="155" t="s">
        <v>780</v>
      </c>
    </row>
    <row r="13" spans="1:22" s="37" customFormat="1" ht="18" customHeight="1">
      <c r="A13" s="14" t="s">
        <v>207</v>
      </c>
      <c r="B13" s="143">
        <v>1</v>
      </c>
      <c r="C13" s="16" t="str">
        <f>INDEX(PORT!$B$2:$B$20,MATCH('04'!B13,PORT!$A$2:$A$20))</f>
        <v>PNH01</v>
      </c>
      <c r="D13" s="10" t="str">
        <f>INDEX(PORT!$C$2:$C$20,MATCH('04'!B13,PORT!$A$2:$A$20))</f>
        <v>KTI AIR PORT</v>
      </c>
      <c r="E13" s="231" t="s">
        <v>591</v>
      </c>
      <c r="F13" s="144">
        <v>46119</v>
      </c>
      <c r="G13" s="155" t="s">
        <v>4</v>
      </c>
      <c r="H13" s="49" t="s">
        <v>622</v>
      </c>
      <c r="I13" s="196" t="s">
        <v>621</v>
      </c>
      <c r="J13" s="146" t="s">
        <v>673</v>
      </c>
      <c r="K13" s="147">
        <v>46120</v>
      </c>
      <c r="L13" s="21" t="str">
        <f>VLOOKUP(K13,'[4]Exchange Rate'!$A$3:$C$21,3,FALSE)</f>
        <v>3999</v>
      </c>
      <c r="M13" s="20" t="str">
        <f t="shared" si="0"/>
        <v>Wednesday</v>
      </c>
      <c r="N13" s="148">
        <v>105.95</v>
      </c>
      <c r="O13" s="55">
        <v>0</v>
      </c>
      <c r="P13" s="22">
        <v>50</v>
      </c>
      <c r="Q13" s="185">
        <v>150</v>
      </c>
      <c r="R13" s="185">
        <v>4.45</v>
      </c>
      <c r="S13" s="182">
        <f t="shared" si="1"/>
        <v>15</v>
      </c>
      <c r="T13" s="185">
        <v>46.75</v>
      </c>
      <c r="U13" s="24">
        <f t="shared" si="2"/>
        <v>45.25</v>
      </c>
      <c r="V13" s="31"/>
    </row>
    <row r="14" spans="1:22" s="50" customFormat="1" ht="18" customHeight="1">
      <c r="A14" s="14" t="s">
        <v>207</v>
      </c>
      <c r="B14" s="143">
        <v>4</v>
      </c>
      <c r="C14" s="16" t="str">
        <f>INDEX(PORT!$B$2:$B$20,MATCH('04'!B14,PORT!$A$2:$A$20))</f>
        <v>PNH04</v>
      </c>
      <c r="D14" s="10" t="str">
        <f>INDEX(PORT!$C$2:$C$20,MATCH('04'!B14,PORT!$A$2:$A$20))</f>
        <v>PNH PORT</v>
      </c>
      <c r="E14" s="227" t="s">
        <v>599</v>
      </c>
      <c r="F14" s="153">
        <v>46119</v>
      </c>
      <c r="G14" s="152" t="s">
        <v>10</v>
      </c>
      <c r="H14" s="49" t="s">
        <v>624</v>
      </c>
      <c r="I14" s="196" t="s">
        <v>623</v>
      </c>
      <c r="J14" s="146" t="s">
        <v>659</v>
      </c>
      <c r="K14" s="153">
        <v>46120</v>
      </c>
      <c r="L14" s="21" t="str">
        <f>VLOOKUP(K14,'[4]Exchange Rate'!$A$3:$C$21,3,FALSE)</f>
        <v>3999</v>
      </c>
      <c r="M14" s="20" t="str">
        <f t="shared" si="0"/>
        <v>Wednesday</v>
      </c>
      <c r="N14" s="148">
        <v>462.65</v>
      </c>
      <c r="O14" s="55">
        <v>0</v>
      </c>
      <c r="P14" s="22">
        <v>50</v>
      </c>
      <c r="Q14" s="184">
        <v>245</v>
      </c>
      <c r="R14" s="184">
        <v>152.05000000000001</v>
      </c>
      <c r="S14" s="182">
        <f t="shared" si="1"/>
        <v>24.5</v>
      </c>
      <c r="T14" s="184">
        <v>411.5</v>
      </c>
      <c r="U14" s="24">
        <f t="shared" si="2"/>
        <v>295.89999999999998</v>
      </c>
      <c r="V14" s="29"/>
    </row>
    <row r="15" spans="1:22" s="50" customFormat="1" ht="18" customHeight="1">
      <c r="A15" s="14" t="s">
        <v>207</v>
      </c>
      <c r="B15" s="15">
        <v>11</v>
      </c>
      <c r="C15" s="16" t="str">
        <f>INDEX(PORT!$B$2:$B$20,MATCH('04'!B15,PORT!$A$2:$A$20))</f>
        <v>SHV11</v>
      </c>
      <c r="D15" s="10" t="str">
        <f>INDEX(PORT!$C$2:$C$20,MATCH('04'!B15,PORT!$A$2:$A$20))</f>
        <v>SHV PORT</v>
      </c>
      <c r="E15" s="221" t="s">
        <v>596</v>
      </c>
      <c r="F15" s="18">
        <v>46120</v>
      </c>
      <c r="G15" s="19" t="s">
        <v>41</v>
      </c>
      <c r="H15" s="49" t="s">
        <v>626</v>
      </c>
      <c r="I15" s="196" t="s">
        <v>625</v>
      </c>
      <c r="J15" s="142" t="s">
        <v>655</v>
      </c>
      <c r="K15" s="194">
        <v>46121</v>
      </c>
      <c r="L15" s="21" t="str">
        <f>VLOOKUP(K15,'[4]Exchange Rate'!$A$3:$C$21,3,FALSE)</f>
        <v>3999</v>
      </c>
      <c r="M15" s="20" t="str">
        <f t="shared" si="0"/>
        <v>Thursday</v>
      </c>
      <c r="N15" s="26">
        <v>697.95</v>
      </c>
      <c r="O15" s="55">
        <v>491.5</v>
      </c>
      <c r="P15" s="22">
        <v>0</v>
      </c>
      <c r="Q15" s="217">
        <v>180</v>
      </c>
      <c r="R15" s="186">
        <v>572.95000000000005</v>
      </c>
      <c r="S15" s="182">
        <f t="shared" si="1"/>
        <v>18</v>
      </c>
      <c r="T15" s="186">
        <v>733.5</v>
      </c>
      <c r="U15" s="24">
        <f t="shared" si="2"/>
        <v>297</v>
      </c>
      <c r="V15" s="31"/>
    </row>
    <row r="16" spans="1:22" s="37" customFormat="1" ht="18" customHeight="1">
      <c r="A16" s="14" t="s">
        <v>207</v>
      </c>
      <c r="B16" s="143">
        <v>1</v>
      </c>
      <c r="C16" s="16" t="str">
        <f>INDEX(PORT!$B$2:$B$20,MATCH('04'!B16,PORT!$A$2:$A$20))</f>
        <v>PNH01</v>
      </c>
      <c r="D16" s="10" t="str">
        <f>INDEX(PORT!$C$2:$C$20,MATCH('04'!B16,PORT!$A$2:$A$20))</f>
        <v>KTI AIR PORT</v>
      </c>
      <c r="E16" s="226" t="s">
        <v>585</v>
      </c>
      <c r="F16" s="144">
        <v>46121</v>
      </c>
      <c r="G16" s="145" t="s">
        <v>351</v>
      </c>
      <c r="H16" s="49" t="s">
        <v>628</v>
      </c>
      <c r="I16" s="196" t="s">
        <v>627</v>
      </c>
      <c r="J16" s="142" t="s">
        <v>668</v>
      </c>
      <c r="K16" s="147">
        <v>46122</v>
      </c>
      <c r="L16" s="21" t="str">
        <f>VLOOKUP(K16,'[4]Exchange Rate'!$A$3:$C$21,3,FALSE)</f>
        <v>4000</v>
      </c>
      <c r="M16" s="20" t="str">
        <f t="shared" si="0"/>
        <v>Friday</v>
      </c>
      <c r="N16" s="148">
        <v>186.99</v>
      </c>
      <c r="O16" s="55">
        <v>0</v>
      </c>
      <c r="P16" s="22">
        <v>50</v>
      </c>
      <c r="Q16" s="193">
        <v>175</v>
      </c>
      <c r="R16" s="187">
        <v>66.989999999999995</v>
      </c>
      <c r="S16" s="182">
        <f t="shared" si="1"/>
        <v>17.5</v>
      </c>
      <c r="T16" s="187">
        <v>180</v>
      </c>
      <c r="U16" s="24">
        <f t="shared" si="2"/>
        <v>185</v>
      </c>
      <c r="V16" s="49"/>
    </row>
    <row r="17" spans="1:22" s="37" customFormat="1" ht="18" customHeight="1">
      <c r="A17" s="14" t="s">
        <v>207</v>
      </c>
      <c r="B17" s="143">
        <v>4</v>
      </c>
      <c r="C17" s="16" t="str">
        <f>INDEX(PORT!$B$2:$B$20,MATCH('04'!B17,PORT!$A$2:$A$20))</f>
        <v>PNH04</v>
      </c>
      <c r="D17" s="10" t="str">
        <f>INDEX(PORT!$C$2:$C$20,MATCH('04'!B17,PORT!$A$2:$A$20))</f>
        <v>PNH PORT</v>
      </c>
      <c r="E17" s="228" t="s">
        <v>589</v>
      </c>
      <c r="F17" s="172">
        <v>46121</v>
      </c>
      <c r="G17" s="155" t="s">
        <v>4</v>
      </c>
      <c r="H17" s="49" t="s">
        <v>630</v>
      </c>
      <c r="I17" s="196" t="s">
        <v>629</v>
      </c>
      <c r="J17" s="173" t="s">
        <v>674</v>
      </c>
      <c r="K17" s="195">
        <v>46122</v>
      </c>
      <c r="L17" s="21" t="str">
        <f>VLOOKUP(K17,'[4]Exchange Rate'!$A$3:$C$21,3,FALSE)</f>
        <v>4000</v>
      </c>
      <c r="M17" s="20" t="str">
        <f t="shared" si="0"/>
        <v>Friday</v>
      </c>
      <c r="N17" s="161">
        <v>1132.76</v>
      </c>
      <c r="O17" s="55">
        <v>0</v>
      </c>
      <c r="P17" s="22">
        <v>50</v>
      </c>
      <c r="Q17" s="183">
        <v>490</v>
      </c>
      <c r="R17" s="183">
        <v>282.75</v>
      </c>
      <c r="S17" s="182">
        <f t="shared" si="1"/>
        <v>49</v>
      </c>
      <c r="T17" s="183">
        <v>1078</v>
      </c>
      <c r="U17" s="24">
        <f t="shared" si="2"/>
        <v>667.99</v>
      </c>
      <c r="V17" s="19"/>
    </row>
    <row r="18" spans="1:22" s="37" customFormat="1" ht="18" customHeight="1">
      <c r="A18" s="14" t="s">
        <v>207</v>
      </c>
      <c r="B18" s="197">
        <v>1</v>
      </c>
      <c r="C18" s="16" t="str">
        <f>INDEX(PORT!$B$2:$B$20,MATCH('04'!B18,PORT!$A$2:$A$20))</f>
        <v>PNH01</v>
      </c>
      <c r="D18" s="10" t="str">
        <f>INDEX(PORT!$C$2:$C$20,MATCH('04'!B18,PORT!$A$2:$A$20))</f>
        <v>KTI AIR PORT</v>
      </c>
      <c r="E18" s="227" t="s">
        <v>592</v>
      </c>
      <c r="F18" s="144">
        <v>46121</v>
      </c>
      <c r="G18" s="145" t="s">
        <v>4</v>
      </c>
      <c r="H18" s="49" t="s">
        <v>632</v>
      </c>
      <c r="I18" s="196" t="s">
        <v>631</v>
      </c>
      <c r="J18" s="146" t="s">
        <v>675</v>
      </c>
      <c r="K18" s="147">
        <v>46122</v>
      </c>
      <c r="L18" s="21" t="str">
        <f>VLOOKUP(K18,'[4]Exchange Rate'!$A$3:$C$21,3,FALSE)</f>
        <v>4000</v>
      </c>
      <c r="M18" s="20" t="str">
        <f t="shared" si="0"/>
        <v>Friday</v>
      </c>
      <c r="N18" s="148">
        <v>168.4</v>
      </c>
      <c r="O18" s="55">
        <v>104.5</v>
      </c>
      <c r="P18" s="22">
        <v>50</v>
      </c>
      <c r="Q18" s="184">
        <v>150</v>
      </c>
      <c r="R18" s="184">
        <v>122.9</v>
      </c>
      <c r="S18" s="182">
        <f t="shared" si="1"/>
        <v>15</v>
      </c>
      <c r="T18" s="184">
        <v>196.75</v>
      </c>
      <c r="U18" s="24">
        <f t="shared" si="2"/>
        <v>146.75</v>
      </c>
      <c r="V18" s="29"/>
    </row>
    <row r="19" spans="1:22" ht="18" customHeight="1">
      <c r="A19" s="14" t="s">
        <v>207</v>
      </c>
      <c r="B19" s="143">
        <v>4</v>
      </c>
      <c r="C19" s="16" t="str">
        <f>INDEX(PORT!$B$2:$B$20,MATCH('04'!B19,PORT!$A$2:$A$20))</f>
        <v>PNH04</v>
      </c>
      <c r="D19" s="10" t="str">
        <f>INDEX(PORT!$C$2:$C$20,MATCH('04'!B19,PORT!$A$2:$A$20))</f>
        <v>PNH PORT</v>
      </c>
      <c r="E19" s="226" t="s">
        <v>600</v>
      </c>
      <c r="F19" s="144">
        <v>46121</v>
      </c>
      <c r="G19" s="145" t="s">
        <v>10</v>
      </c>
      <c r="H19" s="49" t="s">
        <v>634</v>
      </c>
      <c r="I19" s="196" t="s">
        <v>633</v>
      </c>
      <c r="J19" s="146" t="s">
        <v>660</v>
      </c>
      <c r="K19" s="147">
        <v>46122</v>
      </c>
      <c r="L19" s="21" t="str">
        <f>VLOOKUP(K19,'[4]Exchange Rate'!$A$3:$C$21,3,FALSE)</f>
        <v>4000</v>
      </c>
      <c r="M19" s="20" t="str">
        <f t="shared" si="0"/>
        <v>Friday</v>
      </c>
      <c r="N19" s="148">
        <v>462.65</v>
      </c>
      <c r="O19" s="55">
        <v>0</v>
      </c>
      <c r="P19" s="22">
        <v>50</v>
      </c>
      <c r="Q19" s="187">
        <v>245</v>
      </c>
      <c r="R19" s="187">
        <v>152.05000000000001</v>
      </c>
      <c r="S19" s="182">
        <f t="shared" si="1"/>
        <v>24.5</v>
      </c>
      <c r="T19" s="187">
        <v>411.5</v>
      </c>
      <c r="U19" s="24">
        <f t="shared" si="2"/>
        <v>295.89999999999998</v>
      </c>
      <c r="V19" s="49"/>
    </row>
    <row r="20" spans="1:22" ht="18" customHeight="1">
      <c r="A20" s="14" t="s">
        <v>207</v>
      </c>
      <c r="B20" s="162">
        <v>1</v>
      </c>
      <c r="C20" s="16" t="str">
        <f>INDEX(PORT!$B$2:$B$20,MATCH('04'!B20,PORT!$A$2:$A$20))</f>
        <v>PNH01</v>
      </c>
      <c r="D20" s="10" t="str">
        <f>INDEX(PORT!$C$2:$C$20,MATCH('04'!B20,PORT!$A$2:$A$20))</f>
        <v>KTI AIR PORT</v>
      </c>
      <c r="E20" s="227" t="s">
        <v>586</v>
      </c>
      <c r="F20" s="163">
        <v>46124</v>
      </c>
      <c r="G20" s="141" t="s">
        <v>351</v>
      </c>
      <c r="H20" s="49" t="s">
        <v>636</v>
      </c>
      <c r="I20" s="196" t="s">
        <v>635</v>
      </c>
      <c r="J20" s="142" t="s">
        <v>670</v>
      </c>
      <c r="K20" s="164">
        <v>46125</v>
      </c>
      <c r="L20" s="21" t="str">
        <f>VLOOKUP(K20,'[4]Exchange Rate'!$A$3:$C$21,3,FALSE)</f>
        <v>4000</v>
      </c>
      <c r="M20" s="20" t="str">
        <f t="shared" si="0"/>
        <v>Monday</v>
      </c>
      <c r="N20" s="140">
        <v>251.4</v>
      </c>
      <c r="O20" s="55">
        <v>0</v>
      </c>
      <c r="P20" s="22">
        <v>50</v>
      </c>
      <c r="Q20" s="184">
        <v>175</v>
      </c>
      <c r="R20" s="184">
        <v>101.4</v>
      </c>
      <c r="S20" s="182">
        <f t="shared" si="1"/>
        <v>17.5</v>
      </c>
      <c r="T20" s="184">
        <v>230</v>
      </c>
      <c r="U20" s="24">
        <f t="shared" si="2"/>
        <v>205</v>
      </c>
      <c r="V20" s="29"/>
    </row>
    <row r="21" spans="1:22" ht="18" customHeight="1">
      <c r="A21" s="14" t="s">
        <v>207</v>
      </c>
      <c r="B21" s="143">
        <v>1</v>
      </c>
      <c r="C21" s="16" t="str">
        <f>INDEX(PORT!$B$2:$B$20,MATCH('04'!B21,PORT!$A$2:$A$20))</f>
        <v>PNH01</v>
      </c>
      <c r="D21" s="10" t="str">
        <f>INDEX(PORT!$C$2:$C$20,MATCH('04'!B21,PORT!$A$2:$A$20))</f>
        <v>KTI AIR PORT</v>
      </c>
      <c r="E21" s="226" t="s">
        <v>587</v>
      </c>
      <c r="F21" s="144">
        <v>46124</v>
      </c>
      <c r="G21" s="155" t="s">
        <v>351</v>
      </c>
      <c r="H21" s="49" t="s">
        <v>638</v>
      </c>
      <c r="I21" s="196" t="s">
        <v>637</v>
      </c>
      <c r="J21" s="142" t="s">
        <v>669</v>
      </c>
      <c r="K21" s="147">
        <v>46125</v>
      </c>
      <c r="L21" s="21" t="str">
        <f>VLOOKUP(K21,'[4]Exchange Rate'!$A$3:$C$21,3,FALSE)</f>
        <v>4000</v>
      </c>
      <c r="M21" s="20" t="str">
        <f t="shared" si="0"/>
        <v>Monday</v>
      </c>
      <c r="N21" s="148">
        <v>406.98</v>
      </c>
      <c r="O21" s="55">
        <v>0</v>
      </c>
      <c r="P21" s="22">
        <v>50</v>
      </c>
      <c r="Q21" s="185">
        <v>230</v>
      </c>
      <c r="R21" s="185">
        <v>256.98</v>
      </c>
      <c r="S21" s="182">
        <f t="shared" si="1"/>
        <v>23</v>
      </c>
      <c r="T21" s="185">
        <v>230</v>
      </c>
      <c r="U21" s="24">
        <f t="shared" si="2"/>
        <v>260</v>
      </c>
      <c r="V21" s="31"/>
    </row>
    <row r="22" spans="1:22" ht="18" customHeight="1">
      <c r="A22" s="14" t="s">
        <v>207</v>
      </c>
      <c r="B22" s="143">
        <v>1</v>
      </c>
      <c r="C22" s="16" t="str">
        <f>INDEX(PORT!$B$2:$B$20,MATCH('04'!B22,PORT!$A$2:$A$20))</f>
        <v>PNH01</v>
      </c>
      <c r="D22" s="10" t="str">
        <f>INDEX(PORT!$C$2:$C$20,MATCH('04'!B22,PORT!$A$2:$A$20))</f>
        <v>KTI AIR PORT</v>
      </c>
      <c r="E22" s="226" t="s">
        <v>678</v>
      </c>
      <c r="F22" s="172">
        <v>46124</v>
      </c>
      <c r="G22" s="155" t="s">
        <v>351</v>
      </c>
      <c r="H22" s="49" t="s">
        <v>640</v>
      </c>
      <c r="I22" s="196" t="s">
        <v>639</v>
      </c>
      <c r="J22" s="142" t="s">
        <v>671</v>
      </c>
      <c r="K22" s="195">
        <v>46125</v>
      </c>
      <c r="L22" s="21" t="str">
        <f>VLOOKUP(K22,'[4]Exchange Rate'!$A$3:$C$21,3,FALSE)</f>
        <v>4000</v>
      </c>
      <c r="M22" s="20" t="str">
        <f t="shared" si="0"/>
        <v>Monday</v>
      </c>
      <c r="N22" s="161">
        <v>203.35</v>
      </c>
      <c r="O22" s="55">
        <v>0</v>
      </c>
      <c r="P22" s="22">
        <v>50</v>
      </c>
      <c r="Q22" s="186">
        <v>150</v>
      </c>
      <c r="R22" s="186">
        <v>53.35</v>
      </c>
      <c r="S22" s="182">
        <f t="shared" si="1"/>
        <v>15</v>
      </c>
      <c r="T22" s="186">
        <v>230</v>
      </c>
      <c r="U22" s="24">
        <f t="shared" si="2"/>
        <v>180.00000000000003</v>
      </c>
      <c r="V22" s="19"/>
    </row>
    <row r="23" spans="1:22" ht="18" customHeight="1">
      <c r="A23" s="14" t="s">
        <v>207</v>
      </c>
      <c r="B23" s="143">
        <v>1</v>
      </c>
      <c r="C23" s="16" t="str">
        <f>INDEX(PORT!$B$2:$B$20,MATCH('04'!B23,PORT!$A$2:$A$20))</f>
        <v>PNH01</v>
      </c>
      <c r="D23" s="10" t="str">
        <f>INDEX(PORT!$C$2:$C$20,MATCH('04'!B23,PORT!$A$2:$A$20))</f>
        <v>KTI AIR PORT</v>
      </c>
      <c r="E23" s="228" t="s">
        <v>588</v>
      </c>
      <c r="F23" s="172">
        <v>46124</v>
      </c>
      <c r="G23" s="155" t="s">
        <v>351</v>
      </c>
      <c r="H23" s="49" t="s">
        <v>642</v>
      </c>
      <c r="I23" s="196" t="s">
        <v>641</v>
      </c>
      <c r="J23" s="142" t="s">
        <v>672</v>
      </c>
      <c r="K23" s="195">
        <v>46125</v>
      </c>
      <c r="L23" s="21" t="str">
        <f>VLOOKUP(K23,'[4]Exchange Rate'!$A$3:$C$21,3,FALSE)</f>
        <v>4000</v>
      </c>
      <c r="M23" s="20" t="str">
        <f t="shared" si="0"/>
        <v>Monday</v>
      </c>
      <c r="N23" s="161">
        <v>398.71</v>
      </c>
      <c r="O23" s="55">
        <v>0</v>
      </c>
      <c r="P23" s="22">
        <v>50</v>
      </c>
      <c r="Q23" s="183">
        <v>230</v>
      </c>
      <c r="R23" s="183">
        <v>248.71</v>
      </c>
      <c r="S23" s="182">
        <f t="shared" si="1"/>
        <v>23</v>
      </c>
      <c r="T23" s="183">
        <v>230</v>
      </c>
      <c r="U23" s="24">
        <f t="shared" si="2"/>
        <v>260.00000000000006</v>
      </c>
      <c r="V23" s="19"/>
    </row>
    <row r="24" spans="1:22" ht="18" customHeight="1">
      <c r="A24" s="14" t="s">
        <v>207</v>
      </c>
      <c r="B24" s="143">
        <v>4</v>
      </c>
      <c r="C24" s="16" t="str">
        <f>INDEX(PORT!$B$2:$B$20,MATCH('04'!B24,PORT!$A$2:$A$20))</f>
        <v>PNH04</v>
      </c>
      <c r="D24" s="10" t="str">
        <f>INDEX(PORT!$C$2:$C$20,MATCH('04'!B24,PORT!$A$2:$A$20))</f>
        <v>PNH PORT</v>
      </c>
      <c r="E24" s="227" t="s">
        <v>590</v>
      </c>
      <c r="F24" s="153">
        <v>46122</v>
      </c>
      <c r="G24" s="155" t="s">
        <v>4</v>
      </c>
      <c r="H24" s="49" t="s">
        <v>644</v>
      </c>
      <c r="I24" s="196" t="s">
        <v>643</v>
      </c>
      <c r="J24" s="146" t="s">
        <v>676</v>
      </c>
      <c r="K24" s="153">
        <v>46125</v>
      </c>
      <c r="L24" s="21" t="str">
        <f>VLOOKUP(K24,'[4]Exchange Rate'!$A$3:$C$21,3,FALSE)</f>
        <v>4000</v>
      </c>
      <c r="M24" s="20" t="str">
        <f t="shared" si="0"/>
        <v>Monday</v>
      </c>
      <c r="N24" s="148">
        <v>1106.3599999999999</v>
      </c>
      <c r="O24" s="55">
        <v>0</v>
      </c>
      <c r="P24" s="22">
        <v>50</v>
      </c>
      <c r="Q24" s="186">
        <v>460</v>
      </c>
      <c r="R24" s="186">
        <v>256.35000000000002</v>
      </c>
      <c r="S24" s="182">
        <f t="shared" si="1"/>
        <v>46</v>
      </c>
      <c r="T24" s="186">
        <v>1051.5</v>
      </c>
      <c r="U24" s="24">
        <f t="shared" si="2"/>
        <v>611.49</v>
      </c>
      <c r="V24" s="19"/>
    </row>
    <row r="25" spans="1:22" ht="18" customHeight="1">
      <c r="A25" s="14" t="s">
        <v>207</v>
      </c>
      <c r="B25" s="143">
        <v>4</v>
      </c>
      <c r="C25" s="16" t="str">
        <f>INDEX(PORT!$B$2:$B$20,MATCH('04'!B25,PORT!$A$2:$A$20))</f>
        <v>PNH04</v>
      </c>
      <c r="D25" s="10" t="str">
        <f>INDEX(PORT!$C$2:$C$20,MATCH('04'!B25,PORT!$A$2:$A$20))</f>
        <v>PNH PORT</v>
      </c>
      <c r="E25" s="224" t="s">
        <v>595</v>
      </c>
      <c r="F25" s="144">
        <v>46122</v>
      </c>
      <c r="G25" s="145" t="s">
        <v>41</v>
      </c>
      <c r="H25" s="49" t="s">
        <v>646</v>
      </c>
      <c r="I25" s="196" t="s">
        <v>645</v>
      </c>
      <c r="J25" s="146" t="s">
        <v>656</v>
      </c>
      <c r="K25" s="147">
        <v>46125</v>
      </c>
      <c r="L25" s="21" t="str">
        <f>VLOOKUP(K25,'[4]Exchange Rate'!$A$3:$C$21,3,FALSE)</f>
        <v>4000</v>
      </c>
      <c r="M25" s="20" t="str">
        <f t="shared" si="0"/>
        <v>Monday</v>
      </c>
      <c r="N25" s="148">
        <v>582.75</v>
      </c>
      <c r="O25" s="55">
        <v>506</v>
      </c>
      <c r="P25" s="22">
        <v>0</v>
      </c>
      <c r="Q25" s="184">
        <v>242</v>
      </c>
      <c r="R25" s="184">
        <v>604.25</v>
      </c>
      <c r="S25" s="182">
        <f t="shared" si="1"/>
        <v>24.2</v>
      </c>
      <c r="T25" s="184">
        <v>787.5</v>
      </c>
      <c r="U25" s="24">
        <f t="shared" si="2"/>
        <v>545</v>
      </c>
      <c r="V25" s="140" t="s">
        <v>781</v>
      </c>
    </row>
    <row r="26" spans="1:22" ht="18" customHeight="1">
      <c r="A26" s="14" t="s">
        <v>207</v>
      </c>
      <c r="B26" s="151">
        <v>1</v>
      </c>
      <c r="C26" s="16" t="str">
        <f>INDEX(PORT!$B$2:$B$20,MATCH('04'!B26,PORT!$A$2:$A$20))</f>
        <v>PNH01</v>
      </c>
      <c r="D26" s="10" t="str">
        <f>INDEX(PORT!$C$2:$C$20,MATCH('04'!B26,PORT!$A$2:$A$20))</f>
        <v>KTI AIR PORT</v>
      </c>
      <c r="E26" s="224" t="s">
        <v>598</v>
      </c>
      <c r="F26" s="144">
        <v>46122</v>
      </c>
      <c r="G26" s="145" t="s">
        <v>10</v>
      </c>
      <c r="H26" s="49" t="s">
        <v>648</v>
      </c>
      <c r="I26" s="196" t="s">
        <v>647</v>
      </c>
      <c r="J26" s="146" t="s">
        <v>661</v>
      </c>
      <c r="K26" s="147">
        <v>46125</v>
      </c>
      <c r="L26" s="21" t="str">
        <f>VLOOKUP(K26,'[4]Exchange Rate'!$A$3:$C$21,3,FALSE)</f>
        <v>4000</v>
      </c>
      <c r="M26" s="20" t="str">
        <f t="shared" si="0"/>
        <v>Monday</v>
      </c>
      <c r="N26" s="148">
        <v>88.77</v>
      </c>
      <c r="O26" s="55">
        <v>0</v>
      </c>
      <c r="P26" s="22">
        <v>50</v>
      </c>
      <c r="Q26" s="184">
        <v>140</v>
      </c>
      <c r="R26" s="184">
        <v>18.77</v>
      </c>
      <c r="S26" s="182">
        <f t="shared" si="1"/>
        <v>14</v>
      </c>
      <c r="T26" s="185">
        <v>60</v>
      </c>
      <c r="U26" s="24">
        <f t="shared" si="2"/>
        <v>80.000000000000028</v>
      </c>
      <c r="V26" s="29"/>
    </row>
    <row r="27" spans="1:22" ht="18" customHeight="1">
      <c r="A27" s="14" t="s">
        <v>207</v>
      </c>
      <c r="B27" s="143">
        <v>4</v>
      </c>
      <c r="C27" s="16" t="str">
        <f>INDEX(PORT!$B$2:$B$20,MATCH('04'!B27,PORT!$A$2:$A$20))</f>
        <v>PNH04</v>
      </c>
      <c r="D27" s="10" t="str">
        <f>INDEX(PORT!$C$2:$C$20,MATCH('04'!B27,PORT!$A$2:$A$20))</f>
        <v>PNH PORT</v>
      </c>
      <c r="E27" s="227" t="s">
        <v>601</v>
      </c>
      <c r="F27" s="166">
        <v>46122</v>
      </c>
      <c r="G27" s="165" t="s">
        <v>10</v>
      </c>
      <c r="H27" s="49" t="s">
        <v>650</v>
      </c>
      <c r="I27" s="196" t="s">
        <v>649</v>
      </c>
      <c r="J27" s="167" t="s">
        <v>662</v>
      </c>
      <c r="K27" s="166">
        <v>46125</v>
      </c>
      <c r="L27" s="21" t="str">
        <f>VLOOKUP(K27,'[4]Exchange Rate'!$A$3:$C$21,3,FALSE)</f>
        <v>4000</v>
      </c>
      <c r="M27" s="20" t="str">
        <f t="shared" si="0"/>
        <v>Monday</v>
      </c>
      <c r="N27" s="148">
        <v>453.85</v>
      </c>
      <c r="O27" s="55">
        <v>0</v>
      </c>
      <c r="P27" s="22">
        <v>50</v>
      </c>
      <c r="Q27" s="189">
        <v>245</v>
      </c>
      <c r="R27" s="189">
        <v>143.25</v>
      </c>
      <c r="S27" s="182">
        <f t="shared" si="1"/>
        <v>24.5</v>
      </c>
      <c r="T27" s="189">
        <v>411.5</v>
      </c>
      <c r="U27" s="24">
        <f t="shared" si="2"/>
        <v>295.89999999999998</v>
      </c>
      <c r="V27" s="31"/>
    </row>
    <row r="28" spans="1:22" ht="18" customHeight="1">
      <c r="A28" s="14" t="s">
        <v>207</v>
      </c>
      <c r="B28" s="15">
        <v>21</v>
      </c>
      <c r="C28" s="16" t="str">
        <f>INDEX(PORT!$B$2:$B$20,MATCH('04'!B28,PORT!$A$2:$A$20))</f>
        <v>PNH21</v>
      </c>
      <c r="D28" s="10" t="str">
        <f>INDEX(PORT!$C$2:$C$20,MATCH('04'!B28,PORT!$A$2:$A$20))</f>
        <v>OLAIR DRY PORT</v>
      </c>
      <c r="E28" s="221" t="s">
        <v>684</v>
      </c>
      <c r="F28" s="18">
        <v>46132</v>
      </c>
      <c r="G28" s="19" t="s">
        <v>4</v>
      </c>
      <c r="H28" s="49" t="s">
        <v>695</v>
      </c>
      <c r="I28" s="196" t="s">
        <v>651</v>
      </c>
      <c r="J28" s="146" t="s">
        <v>727</v>
      </c>
      <c r="K28" s="194">
        <v>46133</v>
      </c>
      <c r="L28" s="21" t="str">
        <f>VLOOKUP(K28,'[4]Exchange Rate'!$A$3:$C$21,3,FALSE)</f>
        <v>3998</v>
      </c>
      <c r="M28" s="20" t="str">
        <f t="shared" si="0"/>
        <v>Tuesday</v>
      </c>
      <c r="N28" s="26">
        <v>158.5</v>
      </c>
      <c r="O28" s="55">
        <v>303.88</v>
      </c>
      <c r="P28" s="22">
        <v>50</v>
      </c>
      <c r="Q28" s="186">
        <v>150</v>
      </c>
      <c r="R28" s="186">
        <v>352.38</v>
      </c>
      <c r="S28" s="182">
        <f t="shared" si="1"/>
        <v>15</v>
      </c>
      <c r="T28" s="186">
        <v>159</v>
      </c>
      <c r="U28" s="24">
        <f t="shared" si="2"/>
        <v>149</v>
      </c>
      <c r="V28" s="19"/>
    </row>
    <row r="29" spans="1:22" ht="18" customHeight="1">
      <c r="A29" s="14" t="s">
        <v>207</v>
      </c>
      <c r="B29" s="59">
        <v>11</v>
      </c>
      <c r="C29" s="16" t="str">
        <f>INDEX(PORT!$B$2:$B$20,MATCH('04'!B29,PORT!$A$2:$A$20))</f>
        <v>SHV11</v>
      </c>
      <c r="D29" s="10" t="str">
        <f>INDEX(PORT!$C$2:$C$20,MATCH('04'!B29,PORT!$A$2:$A$20))</f>
        <v>SHV PORT</v>
      </c>
      <c r="E29" s="230" t="s">
        <v>685</v>
      </c>
      <c r="F29" s="54">
        <v>46132</v>
      </c>
      <c r="G29" s="19" t="s">
        <v>4</v>
      </c>
      <c r="H29" s="49" t="s">
        <v>697</v>
      </c>
      <c r="I29" s="196" t="s">
        <v>696</v>
      </c>
      <c r="J29" s="146" t="s">
        <v>728</v>
      </c>
      <c r="K29" s="20">
        <v>46133</v>
      </c>
      <c r="L29" s="21" t="str">
        <f>VLOOKUP(K29,'[4]Exchange Rate'!$A$3:$C$21,3,FALSE)</f>
        <v>3998</v>
      </c>
      <c r="M29" s="20" t="str">
        <f t="shared" si="0"/>
        <v>Tuesday</v>
      </c>
      <c r="N29" s="26">
        <v>192.73</v>
      </c>
      <c r="O29" s="55">
        <v>227.03</v>
      </c>
      <c r="P29" s="22">
        <v>50</v>
      </c>
      <c r="Q29" s="191">
        <v>150</v>
      </c>
      <c r="R29" s="191">
        <v>243.34</v>
      </c>
      <c r="S29" s="182">
        <f t="shared" si="1"/>
        <v>15</v>
      </c>
      <c r="T29" s="192">
        <v>159.5</v>
      </c>
      <c r="U29" s="24">
        <f t="shared" si="2"/>
        <v>83.080000000000041</v>
      </c>
      <c r="V29" s="58"/>
    </row>
    <row r="30" spans="1:22" ht="18" customHeight="1">
      <c r="A30" s="14" t="s">
        <v>207</v>
      </c>
      <c r="B30" s="59">
        <v>11</v>
      </c>
      <c r="C30" s="16" t="str">
        <f>INDEX(PORT!$B$2:$B$20,MATCH('04'!B30,PORT!$A$2:$A$20))</f>
        <v>SHV11</v>
      </c>
      <c r="D30" s="10" t="str">
        <f>INDEX(PORT!$C$2:$C$20,MATCH('04'!B30,PORT!$A$2:$A$20))</f>
        <v>SHV PORT</v>
      </c>
      <c r="E30" s="230" t="s">
        <v>693</v>
      </c>
      <c r="F30" s="54">
        <v>46132</v>
      </c>
      <c r="G30" s="19" t="s">
        <v>10</v>
      </c>
      <c r="H30" s="49" t="s">
        <v>699</v>
      </c>
      <c r="I30" s="196" t="s">
        <v>698</v>
      </c>
      <c r="J30" s="220" t="s">
        <v>731</v>
      </c>
      <c r="K30" s="20">
        <v>46133</v>
      </c>
      <c r="L30" s="21" t="str">
        <f>VLOOKUP(K30,'[4]Exchange Rate'!$A$3:$C$21,3,FALSE)</f>
        <v>3998</v>
      </c>
      <c r="M30" s="20" t="str">
        <f t="shared" si="0"/>
        <v>Tuesday</v>
      </c>
      <c r="N30" s="26">
        <v>166.62100000000001</v>
      </c>
      <c r="O30" s="55">
        <v>348.05</v>
      </c>
      <c r="P30" s="22">
        <v>50</v>
      </c>
      <c r="Q30" s="191">
        <v>150</v>
      </c>
      <c r="R30" s="191">
        <v>365.17</v>
      </c>
      <c r="S30" s="182">
        <f t="shared" si="1"/>
        <v>15</v>
      </c>
      <c r="T30" s="192">
        <v>109.5</v>
      </c>
      <c r="U30" s="24">
        <f t="shared" si="2"/>
        <v>59.999000000000024</v>
      </c>
      <c r="V30" s="58"/>
    </row>
    <row r="31" spans="1:22" ht="18" customHeight="1">
      <c r="A31" s="14" t="s">
        <v>207</v>
      </c>
      <c r="B31" s="59">
        <v>11</v>
      </c>
      <c r="C31" s="16" t="str">
        <f>INDEX(PORT!$B$2:$B$20,MATCH('04'!B31,PORT!$A$2:$A$20))</f>
        <v>SHV11</v>
      </c>
      <c r="D31" s="10" t="str">
        <f>INDEX(PORT!$C$2:$C$20,MATCH('04'!B31,PORT!$A$2:$A$20))</f>
        <v>SHV PORT</v>
      </c>
      <c r="E31" s="230" t="s">
        <v>694</v>
      </c>
      <c r="F31" s="54">
        <v>46132</v>
      </c>
      <c r="G31" s="19" t="s">
        <v>10</v>
      </c>
      <c r="H31" s="49" t="s">
        <v>701</v>
      </c>
      <c r="I31" s="196" t="s">
        <v>700</v>
      </c>
      <c r="J31" s="220" t="s">
        <v>732</v>
      </c>
      <c r="K31" s="20">
        <v>46133</v>
      </c>
      <c r="L31" s="21" t="str">
        <f>VLOOKUP(K31,'[4]Exchange Rate'!$A$3:$C$21,3,FALSE)</f>
        <v>3998</v>
      </c>
      <c r="M31" s="20" t="str">
        <f t="shared" si="0"/>
        <v>Tuesday</v>
      </c>
      <c r="N31" s="26">
        <v>145.43</v>
      </c>
      <c r="O31" s="55">
        <v>198</v>
      </c>
      <c r="P31" s="22">
        <v>50</v>
      </c>
      <c r="Q31" s="191">
        <v>150</v>
      </c>
      <c r="R31" s="191">
        <v>213.43</v>
      </c>
      <c r="S31" s="182">
        <f t="shared" si="1"/>
        <v>15</v>
      </c>
      <c r="T31" s="192">
        <v>114.5</v>
      </c>
      <c r="U31" s="24">
        <f t="shared" si="2"/>
        <v>84.5</v>
      </c>
      <c r="V31" s="206"/>
    </row>
    <row r="32" spans="1:22" ht="18" customHeight="1">
      <c r="A32" s="14" t="s">
        <v>207</v>
      </c>
      <c r="B32" s="15">
        <v>11</v>
      </c>
      <c r="C32" s="16" t="str">
        <f>INDEX(PORT!$B$2:$B$20,MATCH('04'!B32,PORT!$A$2:$A$20))</f>
        <v>SHV11</v>
      </c>
      <c r="D32" s="10" t="str">
        <f>INDEX(PORT!$C$2:$C$20,MATCH('04'!B32,PORT!$A$2:$A$20))</f>
        <v>SHV PORT</v>
      </c>
      <c r="E32" s="222" t="s">
        <v>686</v>
      </c>
      <c r="F32" s="18">
        <v>46133</v>
      </c>
      <c r="G32" s="19" t="s">
        <v>41</v>
      </c>
      <c r="H32" s="49" t="s">
        <v>703</v>
      </c>
      <c r="I32" s="196" t="s">
        <v>702</v>
      </c>
      <c r="J32" s="220" t="s">
        <v>738</v>
      </c>
      <c r="K32" s="194">
        <v>46134</v>
      </c>
      <c r="L32" s="21" t="str">
        <f>VLOOKUP(K32,'[4]Exchange Rate'!$A$3:$C$21,3,FALSE)</f>
        <v>3999</v>
      </c>
      <c r="M32" s="20" t="str">
        <f t="shared" si="0"/>
        <v>Wednesday</v>
      </c>
      <c r="N32" s="26">
        <v>898.45</v>
      </c>
      <c r="O32" s="55">
        <v>691.5</v>
      </c>
      <c r="P32" s="22">
        <v>0</v>
      </c>
      <c r="Q32" s="183">
        <v>200</v>
      </c>
      <c r="R32" s="183">
        <v>805.95</v>
      </c>
      <c r="S32" s="182">
        <f t="shared" si="1"/>
        <v>20</v>
      </c>
      <c r="T32" s="183">
        <v>1091.5</v>
      </c>
      <c r="U32" s="24">
        <f t="shared" si="2"/>
        <v>507.49999999999977</v>
      </c>
      <c r="V32" s="19"/>
    </row>
    <row r="33" spans="1:23" ht="18" customHeight="1">
      <c r="A33" s="14" t="s">
        <v>207</v>
      </c>
      <c r="B33" s="15">
        <v>1</v>
      </c>
      <c r="C33" s="16" t="str">
        <f>INDEX(PORT!$B$2:$B$20,MATCH('04'!B33,PORT!$A$2:$A$20))</f>
        <v>PNH01</v>
      </c>
      <c r="D33" s="10" t="str">
        <f>INDEX(PORT!$C$2:$C$20,MATCH('04'!B33,PORT!$A$2:$A$20))</f>
        <v>KTI AIR PORT</v>
      </c>
      <c r="E33" s="221" t="s">
        <v>691</v>
      </c>
      <c r="F33" s="18">
        <v>46133</v>
      </c>
      <c r="G33" s="19" t="s">
        <v>10</v>
      </c>
      <c r="H33" s="49" t="s">
        <v>705</v>
      </c>
      <c r="I33" s="196" t="s">
        <v>704</v>
      </c>
      <c r="J33" s="220" t="s">
        <v>733</v>
      </c>
      <c r="K33" s="194">
        <v>46134</v>
      </c>
      <c r="L33" s="21" t="str">
        <f>VLOOKUP(K33,'[4]Exchange Rate'!$A$3:$C$21,3,FALSE)</f>
        <v>3999</v>
      </c>
      <c r="M33" s="20" t="str">
        <f t="shared" si="0"/>
        <v>Wednesday</v>
      </c>
      <c r="N33" s="26">
        <v>153.4</v>
      </c>
      <c r="O33" s="55">
        <v>71.5</v>
      </c>
      <c r="P33" s="22">
        <v>50</v>
      </c>
      <c r="Q33" s="203">
        <v>150</v>
      </c>
      <c r="R33" s="203">
        <v>89.9</v>
      </c>
      <c r="S33" s="204">
        <f t="shared" si="1"/>
        <v>15</v>
      </c>
      <c r="T33" s="203">
        <v>130.75</v>
      </c>
      <c r="U33" s="24">
        <f t="shared" si="2"/>
        <v>95.75</v>
      </c>
      <c r="V33" s="19"/>
    </row>
    <row r="34" spans="1:23" ht="18" customHeight="1">
      <c r="A34" s="14" t="s">
        <v>207</v>
      </c>
      <c r="B34" s="15">
        <v>11</v>
      </c>
      <c r="C34" s="16" t="str">
        <f>INDEX(PORT!$B$2:$B$20,MATCH('04'!B34,PORT!$A$2:$A$20))</f>
        <v>SHV11</v>
      </c>
      <c r="D34" s="10" t="str">
        <f>INDEX(PORT!$C$2:$C$20,MATCH('04'!B34,PORT!$A$2:$A$20))</f>
        <v>SHV PORT</v>
      </c>
      <c r="E34" s="221" t="s">
        <v>687</v>
      </c>
      <c r="F34" s="18">
        <v>46134</v>
      </c>
      <c r="G34" s="19" t="s">
        <v>41</v>
      </c>
      <c r="H34" s="49" t="s">
        <v>707</v>
      </c>
      <c r="I34" s="196" t="s">
        <v>706</v>
      </c>
      <c r="J34" s="220" t="s">
        <v>739</v>
      </c>
      <c r="K34" s="194">
        <v>46135</v>
      </c>
      <c r="L34" s="21" t="str">
        <f>VLOOKUP(K34,'[4]Exchange Rate'!$A$3:$C$21,3,FALSE)</f>
        <v>3999</v>
      </c>
      <c r="M34" s="20" t="str">
        <f t="shared" si="0"/>
        <v>Thursday</v>
      </c>
      <c r="N34" s="26">
        <v>746.45</v>
      </c>
      <c r="O34" s="55">
        <v>485.5</v>
      </c>
      <c r="P34" s="22">
        <v>0</v>
      </c>
      <c r="Q34" s="186">
        <v>180</v>
      </c>
      <c r="R34" s="186">
        <v>566.95000000000005</v>
      </c>
      <c r="S34" s="182">
        <f t="shared" si="1"/>
        <v>18</v>
      </c>
      <c r="T34" s="186">
        <v>732</v>
      </c>
      <c r="U34" s="24">
        <f t="shared" si="2"/>
        <v>247</v>
      </c>
      <c r="V34" s="19"/>
    </row>
    <row r="35" spans="1:23" ht="18" customHeight="1">
      <c r="A35" s="14" t="s">
        <v>207</v>
      </c>
      <c r="B35" s="15">
        <v>1</v>
      </c>
      <c r="C35" s="16" t="str">
        <f>INDEX(PORT!$B$2:$B$20,MATCH('04'!B35,PORT!$A$2:$A$20))</f>
        <v>PNH01</v>
      </c>
      <c r="D35" s="10" t="str">
        <f>INDEX(PORT!$C$2:$C$20,MATCH('04'!B35,PORT!$A$2:$A$20))</f>
        <v>KTI AIR PORT</v>
      </c>
      <c r="E35" s="221" t="s">
        <v>679</v>
      </c>
      <c r="F35" s="18">
        <v>46135</v>
      </c>
      <c r="G35" s="19" t="s">
        <v>351</v>
      </c>
      <c r="H35" s="49" t="s">
        <v>709</v>
      </c>
      <c r="I35" s="196" t="s">
        <v>708</v>
      </c>
      <c r="J35" s="220" t="s">
        <v>740</v>
      </c>
      <c r="K35" s="194">
        <v>46136</v>
      </c>
      <c r="L35" s="21" t="str">
        <f>VLOOKUP(K35,'[4]Exchange Rate'!$A$3:$C$21,3,FALSE)</f>
        <v>4001</v>
      </c>
      <c r="M35" s="20" t="str">
        <f t="shared" ref="M35:M54" si="3">TEXT(K35,"dddd")</f>
        <v>Friday</v>
      </c>
      <c r="N35" s="26">
        <v>333.12</v>
      </c>
      <c r="O35" s="55">
        <v>0</v>
      </c>
      <c r="P35" s="22">
        <v>50</v>
      </c>
      <c r="Q35" s="185">
        <v>185</v>
      </c>
      <c r="R35" s="185">
        <v>123.12</v>
      </c>
      <c r="S35" s="182">
        <f t="shared" si="1"/>
        <v>18.5</v>
      </c>
      <c r="T35" s="185">
        <v>219.75</v>
      </c>
      <c r="U35" s="24">
        <f t="shared" ref="U35:U54" si="4">(Q35+R35+T35)-(N35+O35+P35)</f>
        <v>144.75</v>
      </c>
      <c r="V35" s="31"/>
    </row>
    <row r="36" spans="1:23" s="139" customFormat="1" ht="15.75">
      <c r="A36" s="14" t="s">
        <v>207</v>
      </c>
      <c r="B36" s="15">
        <v>4</v>
      </c>
      <c r="C36" s="16" t="str">
        <f>INDEX(PORT!$B$2:$B$20,MATCH('04'!B36,PORT!$A$2:$A$20))</f>
        <v>PNH04</v>
      </c>
      <c r="D36" s="10" t="str">
        <f>INDEX(PORT!$C$2:$C$20,MATCH('04'!B36,PORT!$A$2:$A$20))</f>
        <v>PNH PORT</v>
      </c>
      <c r="E36" s="223" t="s">
        <v>683</v>
      </c>
      <c r="F36" s="54">
        <v>46135</v>
      </c>
      <c r="G36" s="19" t="s">
        <v>4</v>
      </c>
      <c r="H36" s="49" t="s">
        <v>711</v>
      </c>
      <c r="I36" s="196" t="s">
        <v>710</v>
      </c>
      <c r="J36" s="146" t="s">
        <v>729</v>
      </c>
      <c r="K36" s="20">
        <v>46136</v>
      </c>
      <c r="L36" s="21" t="str">
        <f>VLOOKUP(K36,'[4]Exchange Rate'!$A$3:$C$21,3,FALSE)</f>
        <v>4001</v>
      </c>
      <c r="M36" s="20" t="str">
        <f t="shared" si="3"/>
        <v>Friday</v>
      </c>
      <c r="N36" s="55">
        <v>369.28</v>
      </c>
      <c r="O36" s="55">
        <v>0</v>
      </c>
      <c r="P36" s="22">
        <v>50</v>
      </c>
      <c r="Q36" s="191">
        <v>146.19999999999999</v>
      </c>
      <c r="R36" s="191">
        <v>143.25</v>
      </c>
      <c r="S36" s="182">
        <f t="shared" si="1"/>
        <v>14.62</v>
      </c>
      <c r="T36" s="192">
        <v>350.69</v>
      </c>
      <c r="U36" s="24">
        <f t="shared" si="4"/>
        <v>220.86</v>
      </c>
      <c r="V36" s="58"/>
    </row>
    <row r="37" spans="1:23" s="201" customFormat="1" ht="18" customHeight="1">
      <c r="A37" s="14" t="s">
        <v>207</v>
      </c>
      <c r="B37" s="15">
        <v>4</v>
      </c>
      <c r="C37" s="16" t="str">
        <f>INDEX(PORT!$B$2:$B$20,MATCH('04'!B37,PORT!$A$2:$A$20))</f>
        <v>PNH04</v>
      </c>
      <c r="D37" s="10" t="str">
        <f>INDEX(PORT!$C$2:$C$20,MATCH('04'!B37,PORT!$A$2:$A$20))</f>
        <v>PNH PORT</v>
      </c>
      <c r="E37" s="221" t="s">
        <v>688</v>
      </c>
      <c r="F37" s="18">
        <v>46135</v>
      </c>
      <c r="G37" s="19" t="s">
        <v>10</v>
      </c>
      <c r="H37" s="49" t="s">
        <v>713</v>
      </c>
      <c r="I37" s="196" t="s">
        <v>712</v>
      </c>
      <c r="J37" s="220" t="s">
        <v>734</v>
      </c>
      <c r="K37" s="194">
        <v>46136</v>
      </c>
      <c r="L37" s="21" t="str">
        <f>VLOOKUP(K37,'[4]Exchange Rate'!$A$3:$C$21,3,FALSE)</f>
        <v>4001</v>
      </c>
      <c r="M37" s="20" t="str">
        <f t="shared" si="3"/>
        <v>Friday</v>
      </c>
      <c r="N37" s="26">
        <v>199.88</v>
      </c>
      <c r="O37" s="55">
        <v>0</v>
      </c>
      <c r="P37" s="22">
        <v>50</v>
      </c>
      <c r="Q37" s="186">
        <v>98.82</v>
      </c>
      <c r="R37" s="186">
        <v>13.75</v>
      </c>
      <c r="S37" s="182">
        <f t="shared" si="1"/>
        <v>9.8800000000000008</v>
      </c>
      <c r="T37" s="186">
        <v>261.58</v>
      </c>
      <c r="U37" s="24">
        <f t="shared" si="4"/>
        <v>124.26999999999998</v>
      </c>
      <c r="V37" s="19"/>
    </row>
    <row r="38" spans="1:23" s="12" customFormat="1" ht="18" customHeight="1">
      <c r="A38" s="14" t="s">
        <v>207</v>
      </c>
      <c r="B38" s="15">
        <v>1</v>
      </c>
      <c r="C38" s="16" t="str">
        <f>INDEX(PORT!$B$2:$B$20,MATCH('04'!B38,PORT!$A$2:$A$20))</f>
        <v>PNH01</v>
      </c>
      <c r="D38" s="10" t="str">
        <f>INDEX(PORT!$C$2:$C$20,MATCH('04'!B38,PORT!$A$2:$A$20))</f>
        <v>KTI AIR PORT</v>
      </c>
      <c r="E38" s="222" t="s">
        <v>692</v>
      </c>
      <c r="F38" s="18">
        <v>46135</v>
      </c>
      <c r="G38" s="19" t="s">
        <v>10</v>
      </c>
      <c r="H38" s="49" t="s">
        <v>715</v>
      </c>
      <c r="I38" s="196" t="s">
        <v>714</v>
      </c>
      <c r="J38" s="220" t="s">
        <v>735</v>
      </c>
      <c r="K38" s="194">
        <v>46136</v>
      </c>
      <c r="L38" s="21" t="str">
        <f>VLOOKUP(K38,'[4]Exchange Rate'!$A$3:$C$21,3,FALSE)</f>
        <v>4001</v>
      </c>
      <c r="M38" s="20" t="str">
        <f t="shared" si="3"/>
        <v>Friday</v>
      </c>
      <c r="N38" s="26">
        <v>170.56</v>
      </c>
      <c r="O38" s="55">
        <v>0</v>
      </c>
      <c r="P38" s="22">
        <v>50</v>
      </c>
      <c r="Q38" s="183">
        <v>150</v>
      </c>
      <c r="R38" s="183">
        <v>35.56</v>
      </c>
      <c r="S38" s="182">
        <f t="shared" si="1"/>
        <v>15</v>
      </c>
      <c r="T38" s="183">
        <v>119.75</v>
      </c>
      <c r="U38" s="24">
        <f t="shared" si="4"/>
        <v>84.75</v>
      </c>
      <c r="V38" s="19"/>
    </row>
    <row r="39" spans="1:23" s="12" customFormat="1" ht="18" customHeight="1">
      <c r="A39" s="14" t="s">
        <v>207</v>
      </c>
      <c r="B39" s="15">
        <v>1</v>
      </c>
      <c r="C39" s="16" t="str">
        <f>INDEX(PORT!$B$2:$B$20,MATCH('04'!B39,PORT!$A$2:$A$20))</f>
        <v>PNH01</v>
      </c>
      <c r="D39" s="10" t="str">
        <f>INDEX(PORT!$C$2:$C$20,MATCH('04'!B39,PORT!$A$2:$A$20))</f>
        <v>KTI AIR PORT</v>
      </c>
      <c r="E39" s="221" t="s">
        <v>681</v>
      </c>
      <c r="F39" s="18">
        <v>46137</v>
      </c>
      <c r="G39" s="19" t="s">
        <v>351</v>
      </c>
      <c r="H39" s="49" t="s">
        <v>717</v>
      </c>
      <c r="I39" s="196" t="s">
        <v>716</v>
      </c>
      <c r="J39" s="169" t="s">
        <v>743</v>
      </c>
      <c r="K39" s="194">
        <v>46139</v>
      </c>
      <c r="L39" s="21" t="str">
        <f>VLOOKUP(K39,'[4]Exchange Rate'!$A$3:$C$21,3,FALSE)</f>
        <v>4002</v>
      </c>
      <c r="M39" s="20" t="str">
        <f t="shared" si="3"/>
        <v>Monday</v>
      </c>
      <c r="N39" s="26">
        <v>220.61</v>
      </c>
      <c r="O39" s="55">
        <v>0</v>
      </c>
      <c r="P39" s="22">
        <v>50</v>
      </c>
      <c r="Q39" s="186">
        <v>175</v>
      </c>
      <c r="R39" s="186">
        <v>100.61</v>
      </c>
      <c r="S39" s="182">
        <f t="shared" si="1"/>
        <v>17.5</v>
      </c>
      <c r="T39" s="186">
        <v>180</v>
      </c>
      <c r="U39" s="24">
        <f t="shared" si="4"/>
        <v>185</v>
      </c>
      <c r="V39" s="19"/>
    </row>
    <row r="40" spans="1:23" s="12" customFormat="1" ht="18" customHeight="1">
      <c r="A40" s="14" t="s">
        <v>207</v>
      </c>
      <c r="B40" s="15">
        <v>1</v>
      </c>
      <c r="C40" s="16" t="str">
        <f>INDEX(PORT!$B$2:$B$20,MATCH('04'!B40,PORT!$A$2:$A$20))</f>
        <v>PNH01</v>
      </c>
      <c r="D40" s="10" t="str">
        <f>INDEX(PORT!$C$2:$C$20,MATCH('04'!B40,PORT!$A$2:$A$20))</f>
        <v>KTI AIR PORT</v>
      </c>
      <c r="E40" s="221" t="s">
        <v>680</v>
      </c>
      <c r="F40" s="18">
        <v>46137</v>
      </c>
      <c r="G40" s="19" t="s">
        <v>351</v>
      </c>
      <c r="H40" s="49" t="s">
        <v>719</v>
      </c>
      <c r="I40" s="196" t="s">
        <v>718</v>
      </c>
      <c r="J40" s="142" t="s">
        <v>741</v>
      </c>
      <c r="K40" s="194">
        <v>46139</v>
      </c>
      <c r="L40" s="21" t="str">
        <f>VLOOKUP(K40,'[4]Exchange Rate'!$A$3:$C$21,3,FALSE)</f>
        <v>4002</v>
      </c>
      <c r="M40" s="20" t="str">
        <f t="shared" si="3"/>
        <v>Monday</v>
      </c>
      <c r="N40" s="26">
        <v>231.96</v>
      </c>
      <c r="O40" s="55">
        <v>0</v>
      </c>
      <c r="P40" s="22">
        <v>50</v>
      </c>
      <c r="Q40" s="186">
        <v>175</v>
      </c>
      <c r="R40" s="186">
        <v>111.96</v>
      </c>
      <c r="S40" s="182">
        <f t="shared" si="1"/>
        <v>17.5</v>
      </c>
      <c r="T40" s="186">
        <v>180</v>
      </c>
      <c r="U40" s="24">
        <f t="shared" si="4"/>
        <v>184.99999999999994</v>
      </c>
      <c r="V40" s="19"/>
    </row>
    <row r="41" spans="1:23" s="12" customFormat="1" ht="18" customHeight="1">
      <c r="A41" s="14" t="s">
        <v>207</v>
      </c>
      <c r="B41" s="15">
        <v>19</v>
      </c>
      <c r="C41" s="16" t="str">
        <f>INDEX(PORT!$B$2:$B$20,MATCH('04'!B41,PORT!$A$2:$A$20))</f>
        <v>PNH19</v>
      </c>
      <c r="D41" s="10" t="str">
        <f>INDEX(PORT!$C$2:$C$20,MATCH('04'!B41,PORT!$A$2:$A$20))</f>
        <v>TEC SRUN DRYPORT</v>
      </c>
      <c r="E41" s="223" t="s">
        <v>682</v>
      </c>
      <c r="F41" s="18">
        <v>46136</v>
      </c>
      <c r="G41" s="19" t="s">
        <v>4</v>
      </c>
      <c r="H41" s="49" t="s">
        <v>721</v>
      </c>
      <c r="I41" s="196" t="s">
        <v>720</v>
      </c>
      <c r="J41" s="146" t="s">
        <v>730</v>
      </c>
      <c r="K41" s="194">
        <v>46139</v>
      </c>
      <c r="L41" s="21" t="str">
        <f>VLOOKUP(K41,'[4]Exchange Rate'!$A$3:$C$21,3,FALSE)</f>
        <v>4002</v>
      </c>
      <c r="M41" s="20" t="str">
        <f t="shared" si="3"/>
        <v>Monday</v>
      </c>
      <c r="N41" s="22">
        <v>169.64</v>
      </c>
      <c r="O41" s="55">
        <v>502.54</v>
      </c>
      <c r="P41" s="22">
        <v>50</v>
      </c>
      <c r="Q41" s="182">
        <v>150</v>
      </c>
      <c r="R41" s="182">
        <v>552.17999999999995</v>
      </c>
      <c r="S41" s="182">
        <f t="shared" si="1"/>
        <v>15</v>
      </c>
      <c r="T41" s="182">
        <v>197</v>
      </c>
      <c r="U41" s="24">
        <f t="shared" si="4"/>
        <v>176.99999999999989</v>
      </c>
      <c r="V41" s="17"/>
    </row>
    <row r="42" spans="1:23" s="12" customFormat="1" ht="18" customHeight="1">
      <c r="A42" s="14" t="s">
        <v>207</v>
      </c>
      <c r="B42" s="15">
        <v>19</v>
      </c>
      <c r="C42" s="16" t="str">
        <f>INDEX(PORT!$B$2:$B$20,MATCH('04'!B42,PORT!$A$2:$A$20))</f>
        <v>PNH19</v>
      </c>
      <c r="D42" s="10" t="str">
        <f>INDEX(PORT!$C$2:$C$20,MATCH('04'!B42,PORT!$A$2:$A$20))</f>
        <v>TEC SRUN DRYPORT</v>
      </c>
      <c r="E42" s="223" t="s">
        <v>689</v>
      </c>
      <c r="F42" s="54">
        <v>46136</v>
      </c>
      <c r="G42" s="19" t="s">
        <v>10</v>
      </c>
      <c r="H42" s="49" t="s">
        <v>723</v>
      </c>
      <c r="I42" s="196" t="s">
        <v>722</v>
      </c>
      <c r="J42" s="220" t="s">
        <v>736</v>
      </c>
      <c r="K42" s="20">
        <v>46139</v>
      </c>
      <c r="L42" s="21" t="str">
        <f>VLOOKUP(K42,'[4]Exchange Rate'!$A$3:$C$21,3,FALSE)</f>
        <v>4002</v>
      </c>
      <c r="M42" s="20" t="str">
        <f t="shared" si="3"/>
        <v>Monday</v>
      </c>
      <c r="N42" s="55">
        <v>116.1</v>
      </c>
      <c r="O42" s="55">
        <v>193.6</v>
      </c>
      <c r="P42" s="22">
        <v>50</v>
      </c>
      <c r="Q42" s="191">
        <v>150</v>
      </c>
      <c r="R42" s="191">
        <v>219.7</v>
      </c>
      <c r="S42" s="182">
        <f t="shared" si="1"/>
        <v>15</v>
      </c>
      <c r="T42" s="192">
        <v>109.5</v>
      </c>
      <c r="U42" s="24">
        <f t="shared" si="4"/>
        <v>119.5</v>
      </c>
      <c r="V42" s="58"/>
    </row>
    <row r="43" spans="1:23" s="12" customFormat="1" ht="18" customHeight="1">
      <c r="A43" s="14" t="s">
        <v>207</v>
      </c>
      <c r="B43" s="59" t="s">
        <v>192</v>
      </c>
      <c r="C43" s="16" t="str">
        <f>INDEX(PORT!$B$2:$B$20,MATCH('04'!B43,PORT!$A$2:$A$20))</f>
        <v>SVR11</v>
      </c>
      <c r="D43" s="10" t="str">
        <f>INDEX(PORT!$C$2:$C$20,MATCH('04'!B43,PORT!$A$2:$A$20))</f>
        <v>BAVET CEO</v>
      </c>
      <c r="E43" s="230" t="s">
        <v>690</v>
      </c>
      <c r="F43" s="54">
        <v>46137</v>
      </c>
      <c r="G43" s="19" t="s">
        <v>10</v>
      </c>
      <c r="H43" s="49" t="s">
        <v>725</v>
      </c>
      <c r="I43" s="196" t="s">
        <v>724</v>
      </c>
      <c r="J43" s="220" t="s">
        <v>737</v>
      </c>
      <c r="K43" s="20">
        <v>46139</v>
      </c>
      <c r="L43" s="21" t="str">
        <f>VLOOKUP(K43,'[4]Exchange Rate'!$A$3:$C$21,3,FALSE)</f>
        <v>4002</v>
      </c>
      <c r="M43" s="20" t="str">
        <f t="shared" si="3"/>
        <v>Monday</v>
      </c>
      <c r="N43" s="26">
        <v>133.75</v>
      </c>
      <c r="O43" s="55">
        <v>0</v>
      </c>
      <c r="P43" s="22">
        <v>50</v>
      </c>
      <c r="Q43" s="191">
        <v>230</v>
      </c>
      <c r="R43" s="191">
        <v>2.25</v>
      </c>
      <c r="S43" s="182">
        <f t="shared" si="1"/>
        <v>23</v>
      </c>
      <c r="T43" s="192">
        <v>66.5</v>
      </c>
      <c r="U43" s="24">
        <f t="shared" si="4"/>
        <v>115</v>
      </c>
      <c r="V43" s="58"/>
    </row>
    <row r="44" spans="1:23" s="12" customFormat="1" ht="18" customHeight="1">
      <c r="A44" s="14" t="s">
        <v>207</v>
      </c>
      <c r="B44" s="59">
        <v>1</v>
      </c>
      <c r="C44" s="16" t="str">
        <f>INDEX(PORT!$B$2:$B$20,MATCH('04'!B44,PORT!$A$2:$A$20))</f>
        <v>PNH01</v>
      </c>
      <c r="D44" s="10" t="str">
        <f>INDEX(PORT!$C$2:$C$20,MATCH('04'!B44,PORT!$A$2:$A$20))</f>
        <v>KTI AIR PORT</v>
      </c>
      <c r="E44" s="230" t="s">
        <v>744</v>
      </c>
      <c r="F44" s="54">
        <v>46138</v>
      </c>
      <c r="G44" s="19" t="s">
        <v>351</v>
      </c>
      <c r="H44" s="49" t="s">
        <v>745</v>
      </c>
      <c r="I44" s="196" t="s">
        <v>726</v>
      </c>
      <c r="J44" s="142" t="s">
        <v>747</v>
      </c>
      <c r="K44" s="20">
        <v>46139</v>
      </c>
      <c r="L44" s="21" t="str">
        <f>VLOOKUP(K44,'[4]Exchange Rate'!$A$3:$C$21,3,FALSE)</f>
        <v>4002</v>
      </c>
      <c r="M44" s="20" t="str">
        <f t="shared" si="3"/>
        <v>Monday</v>
      </c>
      <c r="N44" s="26">
        <v>354.01</v>
      </c>
      <c r="O44" s="55">
        <v>0</v>
      </c>
      <c r="P44" s="22">
        <v>50</v>
      </c>
      <c r="Q44" s="191">
        <v>220</v>
      </c>
      <c r="R44" s="191">
        <v>204.01</v>
      </c>
      <c r="S44" s="182">
        <f t="shared" si="1"/>
        <v>22</v>
      </c>
      <c r="T44" s="192">
        <v>230</v>
      </c>
      <c r="U44" s="24">
        <f t="shared" si="4"/>
        <v>250</v>
      </c>
      <c r="V44" s="206"/>
    </row>
    <row r="45" spans="1:23" s="12" customFormat="1" ht="18" customHeight="1">
      <c r="A45" s="14" t="s">
        <v>207</v>
      </c>
      <c r="B45" s="59">
        <v>1</v>
      </c>
      <c r="C45" s="16" t="str">
        <f>INDEX(PORT!$B$2:$B$20,MATCH('04'!B45,PORT!$A$2:$A$20))</f>
        <v>PNH01</v>
      </c>
      <c r="D45" s="10" t="str">
        <f>INDEX(PORT!$C$2:$C$20,MATCH('04'!B45,PORT!$A$2:$A$20))</f>
        <v>KTI AIR PORT</v>
      </c>
      <c r="E45" s="230" t="s">
        <v>748</v>
      </c>
      <c r="F45" s="54">
        <v>46139</v>
      </c>
      <c r="G45" s="19" t="s">
        <v>4</v>
      </c>
      <c r="H45" s="49" t="s">
        <v>749</v>
      </c>
      <c r="I45" s="196" t="s">
        <v>746</v>
      </c>
      <c r="J45" s="146" t="s">
        <v>751</v>
      </c>
      <c r="K45" s="20">
        <v>46140</v>
      </c>
      <c r="L45" s="21" t="str">
        <f>VLOOKUP(K45,'[4]Exchange Rate'!$A$3:$C$21,3,FALSE)</f>
        <v>4004</v>
      </c>
      <c r="M45" s="20" t="str">
        <f t="shared" si="3"/>
        <v>Tuesday</v>
      </c>
      <c r="N45" s="26">
        <v>168.15</v>
      </c>
      <c r="O45" s="55">
        <v>60.5</v>
      </c>
      <c r="P45" s="22">
        <v>50</v>
      </c>
      <c r="Q45" s="191">
        <v>150</v>
      </c>
      <c r="R45" s="191">
        <v>67.150000000000006</v>
      </c>
      <c r="S45" s="204">
        <f t="shared" si="1"/>
        <v>15</v>
      </c>
      <c r="T45" s="207">
        <v>208.25</v>
      </c>
      <c r="U45" s="24">
        <f t="shared" si="4"/>
        <v>146.75</v>
      </c>
      <c r="V45" s="206"/>
    </row>
    <row r="46" spans="1:23" s="12" customFormat="1" ht="18" customHeight="1">
      <c r="A46" s="14" t="s">
        <v>207</v>
      </c>
      <c r="B46" s="59">
        <v>4</v>
      </c>
      <c r="C46" s="16" t="str">
        <f>INDEX(PORT!$B$2:$B$20,MATCH('04'!B46,PORT!$A$2:$A$20))</f>
        <v>PNH04</v>
      </c>
      <c r="D46" s="10" t="str">
        <f>INDEX(PORT!$C$2:$C$20,MATCH('04'!B46,PORT!$A$2:$A$20))</f>
        <v>PNH PORT</v>
      </c>
      <c r="E46" s="230" t="s">
        <v>752</v>
      </c>
      <c r="F46" s="54">
        <v>46142</v>
      </c>
      <c r="G46" s="19" t="s">
        <v>41</v>
      </c>
      <c r="H46" s="49" t="s">
        <v>753</v>
      </c>
      <c r="I46" s="196" t="s">
        <v>750</v>
      </c>
      <c r="J46" s="220" t="s">
        <v>755</v>
      </c>
      <c r="K46" s="20">
        <v>46142</v>
      </c>
      <c r="L46" s="21" t="str">
        <f>VLOOKUP(K46,'[4]Exchange Rate'!$A$3:$C$21,3,FALSE)</f>
        <v>4007</v>
      </c>
      <c r="M46" s="20" t="str">
        <f t="shared" si="3"/>
        <v>Thursday</v>
      </c>
      <c r="N46" s="26">
        <v>952.14</v>
      </c>
      <c r="O46" s="55">
        <v>0</v>
      </c>
      <c r="P46" s="22">
        <v>0</v>
      </c>
      <c r="Q46" s="191">
        <v>213</v>
      </c>
      <c r="R46" s="191">
        <v>544.45000000000005</v>
      </c>
      <c r="S46" s="182">
        <f t="shared" si="1"/>
        <v>21.3</v>
      </c>
      <c r="T46" s="192">
        <v>1065.69</v>
      </c>
      <c r="U46" s="24">
        <f t="shared" si="4"/>
        <v>871.00000000000011</v>
      </c>
      <c r="V46" s="255" t="s">
        <v>790</v>
      </c>
      <c r="W46" s="234"/>
    </row>
    <row r="47" spans="1:23" s="12" customFormat="1" ht="18" customHeight="1">
      <c r="A47" s="14" t="s">
        <v>207</v>
      </c>
      <c r="B47" s="59">
        <v>4</v>
      </c>
      <c r="C47" s="16" t="str">
        <f>INDEX(PORT!$B$2:$B$20,MATCH('04'!B47,PORT!$A$2:$A$20))</f>
        <v>PNH04</v>
      </c>
      <c r="D47" s="10" t="str">
        <f>INDEX(PORT!$C$2:$C$20,MATCH('04'!B47,PORT!$A$2:$A$20))</f>
        <v>PNH PORT</v>
      </c>
      <c r="E47" s="230" t="s">
        <v>756</v>
      </c>
      <c r="F47" s="54">
        <v>46142</v>
      </c>
      <c r="G47" s="19" t="s">
        <v>41</v>
      </c>
      <c r="H47" s="49" t="s">
        <v>757</v>
      </c>
      <c r="I47" s="196" t="s">
        <v>754</v>
      </c>
      <c r="J47" s="220" t="s">
        <v>759</v>
      </c>
      <c r="K47" s="20">
        <v>46142</v>
      </c>
      <c r="L47" s="21" t="str">
        <f>VLOOKUP(K47,'[4]Exchange Rate'!$A$3:$C$21,3,FALSE)</f>
        <v>4007</v>
      </c>
      <c r="M47" s="20" t="str">
        <f t="shared" si="3"/>
        <v>Thursday</v>
      </c>
      <c r="N47" s="26">
        <v>519.85</v>
      </c>
      <c r="O47" s="55">
        <v>0</v>
      </c>
      <c r="P47" s="22">
        <v>0</v>
      </c>
      <c r="Q47" s="191">
        <v>213</v>
      </c>
      <c r="R47" s="191">
        <v>71.849999999999994</v>
      </c>
      <c r="S47" s="182">
        <f t="shared" si="1"/>
        <v>21.3</v>
      </c>
      <c r="T47" s="192">
        <v>590</v>
      </c>
      <c r="U47" s="24">
        <f t="shared" si="4"/>
        <v>355</v>
      </c>
      <c r="V47" s="206"/>
    </row>
    <row r="48" spans="1:23" s="12" customFormat="1" ht="18" customHeight="1">
      <c r="A48" s="14" t="s">
        <v>207</v>
      </c>
      <c r="B48" s="59">
        <v>1</v>
      </c>
      <c r="C48" s="16" t="str">
        <f>INDEX(PORT!$B$2:$B$20,MATCH('04'!B48,PORT!$A$2:$A$20))</f>
        <v>PNH01</v>
      </c>
      <c r="D48" s="10" t="str">
        <f>INDEX(PORT!$C$2:$C$20,MATCH('04'!B48,PORT!$A$2:$A$20))</f>
        <v>KTI AIR PORT</v>
      </c>
      <c r="E48" s="230" t="s">
        <v>760</v>
      </c>
      <c r="F48" s="54">
        <v>46142</v>
      </c>
      <c r="G48" s="19" t="s">
        <v>10</v>
      </c>
      <c r="H48" s="49" t="s">
        <v>761</v>
      </c>
      <c r="I48" s="196" t="s">
        <v>758</v>
      </c>
      <c r="J48" s="220" t="s">
        <v>763</v>
      </c>
      <c r="K48" s="20">
        <v>46142</v>
      </c>
      <c r="L48" s="21" t="str">
        <f>VLOOKUP(K48,'[4]Exchange Rate'!$A$3:$C$21,3,FALSE)</f>
        <v>4007</v>
      </c>
      <c r="M48" s="20" t="str">
        <f t="shared" si="3"/>
        <v>Thursday</v>
      </c>
      <c r="N48" s="26">
        <v>85.95</v>
      </c>
      <c r="O48" s="55">
        <v>0</v>
      </c>
      <c r="P48" s="22">
        <v>50</v>
      </c>
      <c r="Q48" s="191">
        <v>140</v>
      </c>
      <c r="R48" s="191">
        <v>4.2</v>
      </c>
      <c r="S48" s="182">
        <f t="shared" si="1"/>
        <v>14</v>
      </c>
      <c r="T48" s="192">
        <v>66.75</v>
      </c>
      <c r="U48" s="24">
        <f t="shared" si="4"/>
        <v>75</v>
      </c>
      <c r="V48" s="206"/>
    </row>
    <row r="49" spans="1:22" s="201" customFormat="1" ht="18" customHeight="1">
      <c r="A49" s="14" t="s">
        <v>207</v>
      </c>
      <c r="B49" s="59">
        <v>1</v>
      </c>
      <c r="C49" s="16" t="str">
        <f>INDEX(PORT!$B$2:$B$20,MATCH('04'!B49,PORT!$A$2:$A$20))</f>
        <v>PNH01</v>
      </c>
      <c r="D49" s="10" t="str">
        <f>INDEX(PORT!$C$2:$C$20,MATCH('04'!B49,PORT!$A$2:$A$20))</f>
        <v>KTI AIR PORT</v>
      </c>
      <c r="E49" s="230" t="s">
        <v>789</v>
      </c>
      <c r="F49" s="54">
        <v>46142</v>
      </c>
      <c r="G49" s="19" t="s">
        <v>351</v>
      </c>
      <c r="H49" s="49" t="s">
        <v>764</v>
      </c>
      <c r="I49" s="196" t="s">
        <v>762</v>
      </c>
      <c r="J49" s="142" t="s">
        <v>766</v>
      </c>
      <c r="K49" s="20">
        <v>46142</v>
      </c>
      <c r="L49" s="21" t="str">
        <f>VLOOKUP(K49,'[4]Exchange Rate'!$A$3:$C$21,3,FALSE)</f>
        <v>4007</v>
      </c>
      <c r="M49" s="20" t="str">
        <f t="shared" si="3"/>
        <v>Thursday</v>
      </c>
      <c r="N49" s="26">
        <v>219.99</v>
      </c>
      <c r="O49" s="55">
        <v>0</v>
      </c>
      <c r="P49" s="22">
        <v>50</v>
      </c>
      <c r="Q49" s="191">
        <v>175</v>
      </c>
      <c r="R49" s="191">
        <v>99.99</v>
      </c>
      <c r="S49" s="182">
        <f t="shared" si="1"/>
        <v>17.5</v>
      </c>
      <c r="T49" s="192">
        <v>180</v>
      </c>
      <c r="U49" s="24">
        <f t="shared" si="4"/>
        <v>185</v>
      </c>
      <c r="V49" s="60"/>
    </row>
    <row r="50" spans="1:22" s="201" customFormat="1" ht="18" customHeight="1">
      <c r="A50" s="14" t="s">
        <v>207</v>
      </c>
      <c r="B50" s="59">
        <v>11</v>
      </c>
      <c r="C50" s="16" t="str">
        <f>INDEX(PORT!$B$2:$B$20,MATCH('04'!B50,PORT!$A$2:$A$20))</f>
        <v>SHV11</v>
      </c>
      <c r="D50" s="10" t="str">
        <f>INDEX(PORT!$C$2:$C$20,MATCH('04'!B50,PORT!$A$2:$A$20))</f>
        <v>SHV PORT</v>
      </c>
      <c r="E50" s="230" t="s">
        <v>767</v>
      </c>
      <c r="F50" s="54">
        <v>46141</v>
      </c>
      <c r="G50" s="19" t="s">
        <v>4</v>
      </c>
      <c r="H50" s="49" t="s">
        <v>768</v>
      </c>
      <c r="I50" s="196" t="s">
        <v>765</v>
      </c>
      <c r="J50" s="146" t="s">
        <v>770</v>
      </c>
      <c r="K50" s="20">
        <v>46142</v>
      </c>
      <c r="L50" s="21" t="str">
        <f>VLOOKUP(K50,'[4]Exchange Rate'!$A$3:$C$21,3,FALSE)</f>
        <v>4007</v>
      </c>
      <c r="M50" s="20" t="str">
        <f t="shared" si="3"/>
        <v>Thursday</v>
      </c>
      <c r="N50" s="26">
        <v>250.8</v>
      </c>
      <c r="O50" s="55">
        <v>390.72</v>
      </c>
      <c r="P50" s="22">
        <v>50</v>
      </c>
      <c r="Q50" s="191">
        <v>150</v>
      </c>
      <c r="R50" s="191">
        <v>411.2</v>
      </c>
      <c r="S50" s="204">
        <f t="shared" si="1"/>
        <v>15</v>
      </c>
      <c r="T50" s="207">
        <v>231.16</v>
      </c>
      <c r="U50" s="24">
        <f t="shared" si="4"/>
        <v>100.84000000000003</v>
      </c>
      <c r="V50" s="60"/>
    </row>
    <row r="51" spans="1:22" s="201" customFormat="1" ht="18" customHeight="1">
      <c r="A51" s="14" t="s">
        <v>207</v>
      </c>
      <c r="B51" s="59">
        <v>11</v>
      </c>
      <c r="C51" s="16" t="str">
        <f>INDEX(PORT!$B$2:$B$20,MATCH('04'!B51,PORT!$A$2:$A$20))</f>
        <v>SHV11</v>
      </c>
      <c r="D51" s="10" t="str">
        <f>INDEX(PORT!$C$2:$C$20,MATCH('04'!B51,PORT!$A$2:$A$20))</f>
        <v>SHV PORT</v>
      </c>
      <c r="E51" s="230" t="s">
        <v>771</v>
      </c>
      <c r="F51" s="54">
        <v>46141</v>
      </c>
      <c r="G51" s="19" t="s">
        <v>4</v>
      </c>
      <c r="H51" s="49" t="s">
        <v>772</v>
      </c>
      <c r="I51" s="196" t="s">
        <v>769</v>
      </c>
      <c r="J51" s="146" t="s">
        <v>774</v>
      </c>
      <c r="K51" s="20">
        <v>46142</v>
      </c>
      <c r="L51" s="21" t="str">
        <f>VLOOKUP(K51,'[4]Exchange Rate'!$A$3:$C$21,3,FALSE)</f>
        <v>4007</v>
      </c>
      <c r="M51" s="20" t="str">
        <f t="shared" si="3"/>
        <v>Thursday</v>
      </c>
      <c r="N51" s="26">
        <v>188.35</v>
      </c>
      <c r="O51" s="55">
        <v>207.11</v>
      </c>
      <c r="P51" s="22">
        <v>50</v>
      </c>
      <c r="Q51" s="191">
        <v>150</v>
      </c>
      <c r="R51" s="191">
        <v>222.54</v>
      </c>
      <c r="S51" s="204">
        <f t="shared" si="1"/>
        <v>15</v>
      </c>
      <c r="T51" s="207">
        <v>159.5</v>
      </c>
      <c r="U51" s="24">
        <f t="shared" si="4"/>
        <v>86.579999999999927</v>
      </c>
      <c r="V51" s="60"/>
    </row>
    <row r="52" spans="1:22" s="201" customFormat="1" ht="18" customHeight="1">
      <c r="A52" s="14" t="s">
        <v>207</v>
      </c>
      <c r="B52" s="59">
        <v>1</v>
      </c>
      <c r="C52" s="16" t="str">
        <f>INDEX(PORT!$B$2:$B$20,MATCH('04'!B52,PORT!$A$2:$A$20))</f>
        <v>PNH01</v>
      </c>
      <c r="D52" s="10" t="str">
        <f>INDEX(PORT!$C$2:$C$20,MATCH('04'!B52,PORT!$A$2:$A$20))</f>
        <v>KTI AIR PORT</v>
      </c>
      <c r="E52" s="230" t="s">
        <v>775</v>
      </c>
      <c r="F52" s="54">
        <v>46141</v>
      </c>
      <c r="G52" s="19" t="s">
        <v>351</v>
      </c>
      <c r="H52" s="49" t="s">
        <v>776</v>
      </c>
      <c r="I52" s="196" t="s">
        <v>773</v>
      </c>
      <c r="J52" s="142" t="s">
        <v>778</v>
      </c>
      <c r="K52" s="20">
        <v>46142</v>
      </c>
      <c r="L52" s="21" t="str">
        <f>VLOOKUP(K52,'[4]Exchange Rate'!$A$3:$C$21,3,FALSE)</f>
        <v>4007</v>
      </c>
      <c r="M52" s="20" t="str">
        <f t="shared" si="3"/>
        <v>Thursday</v>
      </c>
      <c r="N52" s="26">
        <v>351.46</v>
      </c>
      <c r="O52" s="55">
        <v>0</v>
      </c>
      <c r="P52" s="22">
        <v>50</v>
      </c>
      <c r="Q52" s="191">
        <v>185</v>
      </c>
      <c r="R52" s="191">
        <v>151.46</v>
      </c>
      <c r="S52" s="182">
        <f t="shared" si="1"/>
        <v>18.5</v>
      </c>
      <c r="T52" s="207">
        <v>219.75</v>
      </c>
      <c r="U52" s="24">
        <f t="shared" si="4"/>
        <v>154.75000000000006</v>
      </c>
      <c r="V52" s="60"/>
    </row>
    <row r="53" spans="1:22" s="210" customFormat="1" ht="15" customHeight="1">
      <c r="A53" s="14"/>
      <c r="B53" s="59">
        <v>4</v>
      </c>
      <c r="C53" s="16" t="str">
        <f>INDEX(PORT!$B$2:$B$20,MATCH('04'!B53,PORT!$A$2:$A$20))</f>
        <v>PNH04</v>
      </c>
      <c r="D53" s="10" t="str">
        <f>INDEX(PORT!$C$2:$C$20,MATCH('04'!B53,PORT!$A$2:$A$20))</f>
        <v>PNH PORT</v>
      </c>
      <c r="E53" s="60" t="s">
        <v>784</v>
      </c>
      <c r="F53" s="54">
        <v>46141</v>
      </c>
      <c r="G53" s="19" t="s">
        <v>41</v>
      </c>
      <c r="H53" s="49"/>
      <c r="I53" s="196" t="s">
        <v>777</v>
      </c>
      <c r="J53" s="232" t="s">
        <v>787</v>
      </c>
      <c r="K53" s="20">
        <v>46142</v>
      </c>
      <c r="L53" s="21" t="str">
        <f>VLOOKUP(K53,'[4]Exchange Rate'!$A$3:$C$21,3,FALSE)</f>
        <v>4007</v>
      </c>
      <c r="M53" s="20" t="str">
        <f t="shared" si="3"/>
        <v>Thursday</v>
      </c>
      <c r="N53" s="26">
        <v>0</v>
      </c>
      <c r="O53" s="55">
        <v>836.14</v>
      </c>
      <c r="P53" s="22">
        <v>0</v>
      </c>
      <c r="Q53" s="191">
        <v>0</v>
      </c>
      <c r="R53" s="191">
        <v>836.14</v>
      </c>
      <c r="S53" s="204">
        <f t="shared" si="1"/>
        <v>0</v>
      </c>
      <c r="T53" s="207">
        <v>203</v>
      </c>
      <c r="U53" s="24">
        <f t="shared" si="4"/>
        <v>202.99999999999989</v>
      </c>
      <c r="V53" s="60" t="s">
        <v>785</v>
      </c>
    </row>
    <row r="54" spans="1:22" ht="15" customHeight="1">
      <c r="A54" s="14"/>
      <c r="B54" s="59">
        <v>4</v>
      </c>
      <c r="C54" s="16" t="str">
        <f>INDEX(PORT!$B$2:$B$20,MATCH('04'!B54,PORT!$A$2:$A$20))</f>
        <v>PNH04</v>
      </c>
      <c r="D54" s="10" t="str">
        <f>INDEX(PORT!$C$2:$C$20,MATCH('04'!B54,PORT!$A$2:$A$20))</f>
        <v>PNH PORT</v>
      </c>
      <c r="E54" s="60" t="s">
        <v>782</v>
      </c>
      <c r="F54" s="54">
        <v>46135</v>
      </c>
      <c r="G54" s="19" t="s">
        <v>41</v>
      </c>
      <c r="H54" s="49"/>
      <c r="I54" s="196" t="s">
        <v>786</v>
      </c>
      <c r="J54" s="232" t="s">
        <v>788</v>
      </c>
      <c r="K54" s="20">
        <v>46142</v>
      </c>
      <c r="L54" s="21" t="str">
        <f>VLOOKUP(K54,'[4]Exchange Rate'!$A$3:$C$21,3,FALSE)</f>
        <v>4007</v>
      </c>
      <c r="M54" s="20" t="str">
        <f t="shared" si="3"/>
        <v>Thursday</v>
      </c>
      <c r="N54" s="26">
        <v>0</v>
      </c>
      <c r="O54" s="55">
        <v>638.34</v>
      </c>
      <c r="P54" s="22">
        <v>0</v>
      </c>
      <c r="Q54" s="191">
        <v>0</v>
      </c>
      <c r="R54" s="191">
        <v>638.24</v>
      </c>
      <c r="S54" s="204">
        <f t="shared" si="1"/>
        <v>0</v>
      </c>
      <c r="T54" s="207">
        <v>203</v>
      </c>
      <c r="U54" s="24">
        <f t="shared" si="4"/>
        <v>202.89999999999998</v>
      </c>
      <c r="V54" s="208" t="s">
        <v>783</v>
      </c>
    </row>
    <row r="55" spans="1:22" ht="15.75">
      <c r="A55" s="14"/>
      <c r="B55" s="15"/>
      <c r="C55" s="10"/>
      <c r="D55" s="65"/>
      <c r="E55" s="66" t="s">
        <v>9</v>
      </c>
      <c r="F55" s="66"/>
      <c r="G55" s="67"/>
      <c r="H55" s="68"/>
      <c r="I55" s="31"/>
      <c r="J55" s="63"/>
      <c r="K55" s="34"/>
      <c r="L55" s="32"/>
      <c r="M55" s="20"/>
      <c r="N55" s="26"/>
      <c r="O55" s="26"/>
      <c r="P55" s="35"/>
      <c r="Q55" s="39"/>
      <c r="R55" s="39"/>
      <c r="S55" s="36"/>
      <c r="T55" s="39"/>
      <c r="U55" s="24"/>
      <c r="V55" s="31"/>
    </row>
    <row r="56" spans="1:22">
      <c r="A56" s="14"/>
      <c r="B56" s="15"/>
      <c r="C56" s="10"/>
      <c r="D56" s="10"/>
      <c r="E56" s="18" t="s">
        <v>349</v>
      </c>
      <c r="F56" s="18"/>
      <c r="G56" s="19"/>
      <c r="H56" s="61"/>
      <c r="I56" s="19"/>
      <c r="J56" s="62"/>
      <c r="K56" s="62"/>
      <c r="L56" s="21"/>
      <c r="M56" s="52"/>
      <c r="O56" s="52"/>
      <c r="P56" s="26"/>
      <c r="Q56" s="42"/>
      <c r="R56" s="42"/>
      <c r="S56" s="42"/>
      <c r="T56" s="42"/>
      <c r="U56" s="24"/>
      <c r="V56" s="19"/>
    </row>
    <row r="57" spans="1:22">
      <c r="A57" s="14"/>
      <c r="B57" s="15"/>
      <c r="C57" s="10"/>
      <c r="D57" s="51"/>
      <c r="E57" s="18" t="s">
        <v>7</v>
      </c>
      <c r="F57" s="18"/>
      <c r="G57" s="19"/>
      <c r="H57" s="61"/>
      <c r="I57" s="19"/>
      <c r="J57" s="62"/>
      <c r="K57" s="62"/>
      <c r="L57" s="69"/>
      <c r="M57" s="52"/>
      <c r="N57" s="52"/>
      <c r="O57" s="52"/>
      <c r="P57" s="26"/>
      <c r="Q57" s="42"/>
      <c r="R57" s="42"/>
      <c r="S57" s="42"/>
      <c r="T57" s="42"/>
      <c r="U57" s="24"/>
      <c r="V57" s="19"/>
    </row>
    <row r="58" spans="1:22">
      <c r="A58" s="70"/>
      <c r="B58" s="70"/>
      <c r="C58" s="81"/>
      <c r="D58" s="82"/>
      <c r="E58" s="83"/>
      <c r="F58" s="84"/>
      <c r="G58" s="85"/>
      <c r="H58" s="75"/>
      <c r="I58" s="74"/>
      <c r="J58" s="76"/>
      <c r="K58" s="76"/>
      <c r="L58" s="77"/>
      <c r="M58" s="86"/>
      <c r="N58" s="133"/>
      <c r="O58" s="78"/>
      <c r="P58" s="78"/>
      <c r="Q58" s="79"/>
      <c r="R58" s="79"/>
      <c r="S58" s="79"/>
      <c r="T58" s="79"/>
      <c r="U58" s="80"/>
      <c r="V58" s="74"/>
    </row>
    <row r="59" spans="1:22" ht="15.75">
      <c r="A59" s="88"/>
      <c r="B59" s="89">
        <f>SUBTOTAL(3,B3:B58)</f>
        <v>52</v>
      </c>
      <c r="C59" s="88"/>
      <c r="D59" s="90"/>
      <c r="E59" s="342" t="s">
        <v>3</v>
      </c>
      <c r="F59" s="343"/>
      <c r="G59" s="344"/>
      <c r="H59" s="91">
        <f>SUBTOTAL(3,H3:H58)</f>
        <v>50</v>
      </c>
      <c r="I59" s="91">
        <f>SUBTOTAL(3,I3:I58)</f>
        <v>52</v>
      </c>
      <c r="J59" s="91">
        <f>SUBTOTAL(3,J3:J58)</f>
        <v>52</v>
      </c>
      <c r="K59" s="92"/>
      <c r="L59" s="89"/>
      <c r="M59" s="89"/>
      <c r="N59" s="93">
        <f>SUM(N3:N54)</f>
        <v>17949.120999999996</v>
      </c>
      <c r="O59" s="136">
        <f t="shared" ref="O59:T59" si="5">SUBTOTAL(9,O3:O54)</f>
        <v>8815.35</v>
      </c>
      <c r="P59" s="91">
        <f t="shared" si="5"/>
        <v>2050</v>
      </c>
      <c r="Q59" s="91">
        <f t="shared" si="5"/>
        <v>9537.02</v>
      </c>
      <c r="R59" s="7">
        <f t="shared" si="5"/>
        <v>12796.420000000004</v>
      </c>
      <c r="S59" s="7">
        <f t="shared" si="5"/>
        <v>953.69999999999982</v>
      </c>
      <c r="T59" s="7">
        <f t="shared" si="5"/>
        <v>18261.239999999998</v>
      </c>
      <c r="U59" s="7">
        <f>SUBTOTAL(9,U3:U57)</f>
        <v>11780.208999999999</v>
      </c>
      <c r="V59" s="94"/>
    </row>
    <row r="60" spans="1:22" ht="23.1" customHeight="1">
      <c r="B60" s="95"/>
      <c r="C60" s="96"/>
      <c r="D60" s="97"/>
      <c r="E60" s="98"/>
      <c r="F60" s="98"/>
      <c r="G60" s="8"/>
      <c r="H60" s="11"/>
      <c r="I60" s="99"/>
      <c r="J60" s="100"/>
      <c r="K60" s="100"/>
      <c r="M60" s="101" t="s">
        <v>207</v>
      </c>
      <c r="N60" s="102">
        <f>SUMIFS($N$3:$N$54,$A$3:$A$54,$M$60)</f>
        <v>17949.120999999996</v>
      </c>
      <c r="O60" s="103"/>
      <c r="P60" s="104"/>
      <c r="Q60" s="105"/>
      <c r="R60" s="106"/>
      <c r="S60" s="107"/>
      <c r="T60" s="107"/>
      <c r="U60" s="108">
        <f>Q59+S59</f>
        <v>10490.720000000001</v>
      </c>
      <c r="V60" s="109"/>
    </row>
    <row r="61" spans="1:22" ht="23.1" customHeight="1">
      <c r="B61" s="95"/>
      <c r="C61" s="110"/>
      <c r="D61" s="111"/>
      <c r="E61" s="98"/>
      <c r="F61" s="98"/>
      <c r="G61" s="8"/>
      <c r="H61" s="11"/>
      <c r="I61" s="99"/>
      <c r="J61" s="100"/>
      <c r="K61" s="100"/>
      <c r="M61" s="112" t="s">
        <v>208</v>
      </c>
      <c r="N61" s="113">
        <f>SUMIFS($N$3:$N$54,$A$3:$A$54,$M$61)</f>
        <v>0</v>
      </c>
      <c r="O61" s="114"/>
      <c r="P61" s="104"/>
      <c r="R61" s="181"/>
      <c r="S61" s="115"/>
      <c r="T61" s="115"/>
      <c r="U61" s="116"/>
    </row>
    <row r="62" spans="1:22">
      <c r="B62" s="95"/>
      <c r="C62" s="117"/>
      <c r="D62" s="118"/>
      <c r="E62" s="98"/>
      <c r="F62" s="98"/>
      <c r="G62" s="8"/>
      <c r="H62" s="11"/>
      <c r="I62" s="99"/>
      <c r="J62" s="100"/>
      <c r="K62" s="100"/>
      <c r="O62" s="119"/>
      <c r="R62" s="115"/>
      <c r="S62" s="115"/>
      <c r="T62" s="115"/>
      <c r="U62" s="116"/>
    </row>
    <row r="63" spans="1:22" ht="15" customHeight="1">
      <c r="L63" s="241" t="s">
        <v>819</v>
      </c>
      <c r="M63" s="242">
        <f>N61</f>
        <v>0</v>
      </c>
      <c r="N63" s="241"/>
      <c r="O63" s="243"/>
      <c r="P63" s="95"/>
    </row>
    <row r="64" spans="1:22" ht="15" customHeight="1">
      <c r="L64" s="241" t="s">
        <v>207</v>
      </c>
      <c r="M64" s="244">
        <v>5000</v>
      </c>
      <c r="N64" s="245">
        <v>46139</v>
      </c>
      <c r="O64" s="241"/>
      <c r="P64" s="134"/>
    </row>
    <row r="65" spans="12:18" ht="15" customHeight="1">
      <c r="L65" s="246" t="s">
        <v>207</v>
      </c>
      <c r="M65" s="247">
        <v>4000</v>
      </c>
      <c r="N65" s="245">
        <v>46151</v>
      </c>
      <c r="O65" s="241"/>
    </row>
    <row r="66" spans="12:18" ht="15" customHeight="1">
      <c r="L66" s="241" t="s">
        <v>207</v>
      </c>
      <c r="M66" s="247">
        <v>6000</v>
      </c>
      <c r="N66" s="245">
        <v>46154</v>
      </c>
      <c r="O66" s="241"/>
    </row>
    <row r="67" spans="12:18" ht="15" customHeight="1">
      <c r="L67" s="241" t="s">
        <v>207</v>
      </c>
      <c r="M67" s="247">
        <v>2949.12</v>
      </c>
      <c r="N67" s="245">
        <v>46155</v>
      </c>
      <c r="O67" s="241"/>
    </row>
    <row r="68" spans="12:18" ht="15" customHeight="1">
      <c r="L68" s="248" t="s">
        <v>820</v>
      </c>
      <c r="M68" s="249">
        <f>M64+M65+M66+M67</f>
        <v>17949.12</v>
      </c>
      <c r="N68" s="248" t="s">
        <v>821</v>
      </c>
      <c r="O68" s="248"/>
    </row>
    <row r="69" spans="12:18" ht="15" customHeight="1">
      <c r="R69" s="104"/>
    </row>
    <row r="72" spans="12:18" ht="15" customHeight="1">
      <c r="R72" s="104"/>
    </row>
    <row r="82" spans="6:6" ht="15" customHeight="1">
      <c r="F82" s="9" t="s">
        <v>440</v>
      </c>
    </row>
  </sheetData>
  <autoFilter ref="A2:V57">
    <sortState ref="A3:V62">
      <sortCondition ref="K3"/>
    </sortState>
  </autoFilter>
  <sortState ref="H3:I54">
    <sortCondition ref="I3"/>
  </sortState>
  <mergeCells count="1">
    <mergeCell ref="E59:G59"/>
  </mergeCells>
  <phoneticPr fontId="23" type="noConversion"/>
  <conditionalFormatting sqref="A3:D6">
    <cfRule type="expression" dxfId="1027" priority="118">
      <formula>$E3="STORAGE"</formula>
    </cfRule>
    <cfRule type="expression" dxfId="1026" priority="119">
      <formula>$E3="LOLO"</formula>
    </cfRule>
    <cfRule type="expression" dxfId="1025" priority="120">
      <formula>$E3="THC"</formula>
    </cfRule>
  </conditionalFormatting>
  <conditionalFormatting sqref="B4:B5 M4:P10 E4:G43 J4:K43 A6:B6 B7:B43 M11:N12 M13:P24 M26:P43 A53:B53 E53:H53 M53:P53 V47:V52 U53:V53 A7:A52 A3:A5 V44:V45">
    <cfRule type="expression" dxfId="1024" priority="307">
      <formula>$A3="PAID"</formula>
    </cfRule>
  </conditionalFormatting>
  <conditionalFormatting sqref="B3:D3 M55:O55 B55:L57 P55:V57">
    <cfRule type="expression" dxfId="1023" priority="122">
      <formula>$D3=$O$2</formula>
    </cfRule>
  </conditionalFormatting>
  <conditionalFormatting sqref="B3:G3">
    <cfRule type="expression" dxfId="1022" priority="121">
      <formula>$A3="PAID"</formula>
    </cfRule>
  </conditionalFormatting>
  <conditionalFormatting sqref="C4:D54">
    <cfRule type="expression" dxfId="1021" priority="210">
      <formula>$A4="PAID"</formula>
    </cfRule>
    <cfRule type="expression" dxfId="1020" priority="211">
      <formula>$D4=$O$2</formula>
    </cfRule>
  </conditionalFormatting>
  <conditionalFormatting sqref="E3">
    <cfRule type="duplicateValues" dxfId="1019" priority="2490"/>
    <cfRule type="duplicateValues" dxfId="1018" priority="2500"/>
  </conditionalFormatting>
  <conditionalFormatting sqref="E6 E8 E10:E11">
    <cfRule type="duplicateValues" dxfId="1017" priority="338"/>
  </conditionalFormatting>
  <conditionalFormatting sqref="E7">
    <cfRule type="duplicateValues" dxfId="1016" priority="334"/>
    <cfRule type="duplicateValues" dxfId="1015" priority="335"/>
    <cfRule type="duplicateValues" dxfId="1014" priority="336"/>
  </conditionalFormatting>
  <conditionalFormatting sqref="E8 E6 E10:E11">
    <cfRule type="duplicateValues" dxfId="1013" priority="339"/>
  </conditionalFormatting>
  <conditionalFormatting sqref="E8 E6">
    <cfRule type="duplicateValues" dxfId="1012" priority="337"/>
  </conditionalFormatting>
  <conditionalFormatting sqref="E14 E16:E19">
    <cfRule type="duplicateValues" dxfId="1011" priority="340"/>
  </conditionalFormatting>
  <conditionalFormatting sqref="E15">
    <cfRule type="duplicateValues" dxfId="1010" priority="331"/>
  </conditionalFormatting>
  <conditionalFormatting sqref="E20:E21">
    <cfRule type="duplicateValues" dxfId="1009" priority="341"/>
  </conditionalFormatting>
  <conditionalFormatting sqref="E44:E48">
    <cfRule type="duplicateValues" dxfId="1008" priority="238"/>
  </conditionalFormatting>
  <conditionalFormatting sqref="E44:E52">
    <cfRule type="duplicateValues" dxfId="1007" priority="242"/>
  </conditionalFormatting>
  <conditionalFormatting sqref="E49:E52">
    <cfRule type="duplicateValues" dxfId="1006" priority="241"/>
  </conditionalFormatting>
  <conditionalFormatting sqref="E53 E4:E43">
    <cfRule type="duplicateValues" dxfId="1005" priority="2615"/>
  </conditionalFormatting>
  <conditionalFormatting sqref="E53">
    <cfRule type="duplicateValues" dxfId="1004" priority="364"/>
  </conditionalFormatting>
  <conditionalFormatting sqref="E54">
    <cfRule type="duplicateValues" dxfId="1003" priority="157"/>
    <cfRule type="duplicateValues" dxfId="1002" priority="159"/>
  </conditionalFormatting>
  <conditionalFormatting sqref="E55:E1048576 E22:E43 E1:E2">
    <cfRule type="duplicateValues" dxfId="1001" priority="348"/>
  </conditionalFormatting>
  <conditionalFormatting sqref="E22:G52 K3:P3 M4:M43 L4:L54 M44:P52 J53:P54 J22:K52 O4:P13 P13:P24 O14:O21 N22:O24 E53:H54 N26:O27 P26:P43 N28:P43 B22:B54 V49:V52 U53:V53 U54 U39:U52 I3:I54 N25:P25 E3:G3 U3:V38 V39:V42">
    <cfRule type="expression" dxfId="1000" priority="349">
      <formula>$D3=$O$2</formula>
    </cfRule>
  </conditionalFormatting>
  <conditionalFormatting sqref="E44:G52 I4:I54 L4:L54 B44:B52 A54:B54 M44:P52 U44:U52">
    <cfRule type="expression" dxfId="999" priority="228">
      <formula>$A4="PAID"</formula>
    </cfRule>
  </conditionalFormatting>
  <conditionalFormatting sqref="E44:G52">
    <cfRule type="expression" dxfId="998" priority="224">
      <formula>$E44="STORAGE"</formula>
    </cfRule>
    <cfRule type="expression" dxfId="997" priority="225">
      <formula>$E44="LOLO"</formula>
    </cfRule>
    <cfRule type="expression" dxfId="996" priority="226">
      <formula>$E44="THC"</formula>
    </cfRule>
  </conditionalFormatting>
  <conditionalFormatting sqref="E53:H53 M4:P10 E4:G43 J4:K43 M11:N12 M13:P24 A55:XFD57 W43:XFD45 X46:XFD46 W47:XFD52">
    <cfRule type="expression" dxfId="995" priority="328">
      <formula>$E4="STORAGE"</formula>
    </cfRule>
    <cfRule type="expression" dxfId="994" priority="329">
      <formula>$E4="LOLO"</formula>
    </cfRule>
    <cfRule type="expression" dxfId="993" priority="330">
      <formula>$E4="THC"</formula>
    </cfRule>
  </conditionalFormatting>
  <conditionalFormatting sqref="E54:H54">
    <cfRule type="expression" dxfId="992" priority="152">
      <formula>$E54="STORAGE"</formula>
    </cfRule>
    <cfRule type="expression" dxfId="991" priority="153">
      <formula>$E54="LOLO"</formula>
    </cfRule>
    <cfRule type="expression" dxfId="990" priority="154">
      <formula>$E54="THC"</formula>
    </cfRule>
    <cfRule type="expression" dxfId="989" priority="156">
      <formula>$A54="PAID"</formula>
    </cfRule>
  </conditionalFormatting>
  <conditionalFormatting sqref="H3">
    <cfRule type="duplicateValues" dxfId="988" priority="2494"/>
    <cfRule type="duplicateValues" dxfId="987" priority="2495"/>
    <cfRule type="duplicateValues" dxfId="986" priority="2496"/>
    <cfRule type="expression" dxfId="985" priority="2497">
      <formula>$A3="PAID"</formula>
    </cfRule>
    <cfRule type="expression" dxfId="984" priority="2498">
      <formula>$D3=$O$2</formula>
    </cfRule>
  </conditionalFormatting>
  <conditionalFormatting sqref="H3:H52">
    <cfRule type="expression" dxfId="983" priority="114">
      <formula>$E3="STORAGE"</formula>
    </cfRule>
    <cfRule type="expression" dxfId="982" priority="115">
      <formula>$E3="LOLO"</formula>
    </cfRule>
    <cfRule type="expression" dxfId="981" priority="116">
      <formula>$E3="THC"</formula>
    </cfRule>
    <cfRule type="expression" dxfId="980" priority="117">
      <formula>$A3="PAID"</formula>
    </cfRule>
  </conditionalFormatting>
  <conditionalFormatting sqref="H4:H43">
    <cfRule type="duplicateValues" dxfId="979" priority="2436"/>
    <cfRule type="duplicateValues" dxfId="978" priority="2437"/>
    <cfRule type="duplicateValues" dxfId="977" priority="2438"/>
    <cfRule type="expression" dxfId="976" priority="2439">
      <formula>$A4="PAID"</formula>
    </cfRule>
    <cfRule type="expression" dxfId="975" priority="2440">
      <formula>$D4=$O$2</formula>
    </cfRule>
  </conditionalFormatting>
  <conditionalFormatting sqref="H44:H52">
    <cfRule type="duplicateValues" dxfId="974" priority="2441"/>
    <cfRule type="duplicateValues" dxfId="973" priority="2442"/>
    <cfRule type="duplicateValues" dxfId="972" priority="2443"/>
    <cfRule type="expression" dxfId="971" priority="2444">
      <formula>$D44=$O$2</formula>
    </cfRule>
  </conditionalFormatting>
  <conditionalFormatting sqref="H53">
    <cfRule type="duplicateValues" dxfId="970" priority="318"/>
    <cfRule type="duplicateValues" dxfId="969" priority="320"/>
  </conditionalFormatting>
  <conditionalFormatting sqref="H54">
    <cfRule type="duplicateValues" dxfId="968" priority="2618"/>
    <cfRule type="duplicateValues" dxfId="967" priority="2619"/>
    <cfRule type="duplicateValues" dxfId="966" priority="2620"/>
  </conditionalFormatting>
  <conditionalFormatting sqref="H60:J1048576 H1:J2 H55:J58 J22:J43">
    <cfRule type="duplicateValues" dxfId="965" priority="350"/>
  </conditionalFormatting>
  <conditionalFormatting sqref="I3:I54">
    <cfRule type="duplicateValues" dxfId="964" priority="2625"/>
  </conditionalFormatting>
  <conditionalFormatting sqref="I4:I54 L4:L54 B7:D44 A7:A52 C44:D54 B45:B52 A53:B54">
    <cfRule type="expression" dxfId="963" priority="207">
      <formula>$E4="STORAGE"</formula>
    </cfRule>
    <cfRule type="expression" dxfId="962" priority="208">
      <formula>$E4="LOLO"</formula>
    </cfRule>
    <cfRule type="expression" dxfId="961" priority="209">
      <formula>$E4="THC"</formula>
    </cfRule>
  </conditionalFormatting>
  <conditionalFormatting sqref="I60:I1048576 I1:I2 I55:I58">
    <cfRule type="duplicateValues" dxfId="960" priority="351"/>
  </conditionalFormatting>
  <conditionalFormatting sqref="I60:I1048576">
    <cfRule type="duplicateValues" dxfId="959" priority="346"/>
  </conditionalFormatting>
  <conditionalFormatting sqref="I3:P3 U3:V43">
    <cfRule type="expression" dxfId="958" priority="128">
      <formula>$A3="PAID"</formula>
    </cfRule>
  </conditionalFormatting>
  <conditionalFormatting sqref="I3:P3 U3:XFD42 E3:G3">
    <cfRule type="expression" dxfId="957" priority="129">
      <formula>$E3="STORAGE"</formula>
    </cfRule>
    <cfRule type="expression" dxfId="956" priority="130">
      <formula>$E3="LOLO"</formula>
    </cfRule>
    <cfRule type="expression" dxfId="955" priority="131">
      <formula>$E3="THC"</formula>
    </cfRule>
  </conditionalFormatting>
  <conditionalFormatting sqref="J20:J23">
    <cfRule type="duplicateValues" dxfId="954" priority="343"/>
  </conditionalFormatting>
  <conditionalFormatting sqref="J24 J28:J29 J36 J41">
    <cfRule type="expression" dxfId="953" priority="2454">
      <formula>$C24=$N$2</formula>
    </cfRule>
    <cfRule type="duplicateValues" dxfId="952" priority="2455"/>
  </conditionalFormatting>
  <conditionalFormatting sqref="J26:J28">
    <cfRule type="expression" dxfId="951" priority="2462">
      <formula>$C26=$N$2</formula>
    </cfRule>
    <cfRule type="duplicateValues" dxfId="950" priority="2463"/>
  </conditionalFormatting>
  <conditionalFormatting sqref="J31:J32">
    <cfRule type="expression" dxfId="949" priority="2464">
      <formula>$C31=$N$2</formula>
    </cfRule>
    <cfRule type="duplicateValues" dxfId="948" priority="2465"/>
  </conditionalFormatting>
  <conditionalFormatting sqref="J44:J54">
    <cfRule type="duplicateValues" dxfId="947" priority="236"/>
    <cfRule type="duplicateValues" dxfId="946" priority="240"/>
  </conditionalFormatting>
  <conditionalFormatting sqref="J45 J50:J51">
    <cfRule type="expression" dxfId="945" priority="2466">
      <formula>$C45=$N$2</formula>
    </cfRule>
    <cfRule type="duplicateValues" dxfId="944" priority="2467"/>
  </conditionalFormatting>
  <conditionalFormatting sqref="J60:J1048576 J1:J2 J55:J58 J22:J43">
    <cfRule type="duplicateValues" dxfId="943" priority="345"/>
  </conditionalFormatting>
  <conditionalFormatting sqref="J44:K48 J49:J54">
    <cfRule type="expression" dxfId="942" priority="233">
      <formula>$E44="STORAGE"</formula>
    </cfRule>
    <cfRule type="expression" dxfId="941" priority="234">
      <formula>$E44="LOLO"</formula>
    </cfRule>
    <cfRule type="expression" dxfId="940" priority="235">
      <formula>$E44="THC"</formula>
    </cfRule>
  </conditionalFormatting>
  <conditionalFormatting sqref="J44:K52 J53:J54">
    <cfRule type="expression" dxfId="939" priority="215">
      <formula>$A44="PAID"</formula>
    </cfRule>
  </conditionalFormatting>
  <conditionalFormatting sqref="K54">
    <cfRule type="expression" dxfId="938" priority="144">
      <formula>$A54="PAID"</formula>
    </cfRule>
    <cfRule type="expression" dxfId="937" priority="145">
      <formula>$E54="STORAGE"</formula>
    </cfRule>
    <cfRule type="expression" dxfId="936" priority="146">
      <formula>$E54="LOLO"</formula>
    </cfRule>
    <cfRule type="expression" dxfId="935" priority="147">
      <formula>$E54="THC"</formula>
    </cfRule>
  </conditionalFormatting>
  <conditionalFormatting sqref="L56:L57">
    <cfRule type="expression" dxfId="934" priority="352">
      <formula>#REF!=$M$1</formula>
    </cfRule>
  </conditionalFormatting>
  <conditionalFormatting sqref="L3:M55">
    <cfRule type="expression" dxfId="933" priority="347">
      <formula>$M3=$M$1</formula>
    </cfRule>
  </conditionalFormatting>
  <conditionalFormatting sqref="M15">
    <cfRule type="expression" dxfId="932" priority="332">
      <formula>$L15=$L$1</formula>
    </cfRule>
  </conditionalFormatting>
  <conditionalFormatting sqref="M54 P54 U54">
    <cfRule type="expression" dxfId="931" priority="300">
      <formula>$A54="PAID"</formula>
    </cfRule>
  </conditionalFormatting>
  <conditionalFormatting sqref="M25:P25">
    <cfRule type="expression" dxfId="930" priority="193">
      <formula>$A25="PAID"</formula>
    </cfRule>
    <cfRule type="expression" dxfId="929" priority="194">
      <formula>$E25="STORAGE"</formula>
    </cfRule>
    <cfRule type="expression" dxfId="928" priority="195">
      <formula>$E25="LOLO"</formula>
    </cfRule>
    <cfRule type="expression" dxfId="927" priority="196">
      <formula>$E25="THC"</formula>
    </cfRule>
  </conditionalFormatting>
  <conditionalFormatting sqref="M26:P43">
    <cfRule type="expression" dxfId="926" priority="310">
      <formula>$E26="STORAGE"</formula>
    </cfRule>
    <cfRule type="expression" dxfId="925" priority="311">
      <formula>$E26="LOLO"</formula>
    </cfRule>
    <cfRule type="expression" dxfId="924" priority="312">
      <formula>$E26="THC"</formula>
    </cfRule>
  </conditionalFormatting>
  <conditionalFormatting sqref="M49:P52 U49:V52 K49:K53">
    <cfRule type="expression" dxfId="923" priority="232">
      <formula>$A49="PAID"</formula>
    </cfRule>
  </conditionalFormatting>
  <conditionalFormatting sqref="M54:P54 U53:U54">
    <cfRule type="expression" dxfId="922" priority="140">
      <formula>$E53="STORAGE"</formula>
    </cfRule>
    <cfRule type="expression" dxfId="921" priority="141">
      <formula>$E53="LOLO"</formula>
    </cfRule>
    <cfRule type="expression" dxfId="920" priority="142">
      <formula>$E53="THC"</formula>
    </cfRule>
  </conditionalFormatting>
  <conditionalFormatting sqref="N43:O54 B43:B54 G43:G54 B4:B21 N4:O14 M15:P15 G11:G13 N16:N20 O16:O21 G17 E20:G21 J20:K21 J21:J23">
    <cfRule type="expression" dxfId="919" priority="306">
      <formula>$C4=$N$2</formula>
    </cfRule>
  </conditionalFormatting>
  <conditionalFormatting sqref="N54:O54">
    <cfRule type="expression" dxfId="918" priority="139">
      <formula>$A54="PAID"</formula>
    </cfRule>
  </conditionalFormatting>
  <conditionalFormatting sqref="O11:P12">
    <cfRule type="expression" dxfId="917" priority="202">
      <formula>$A11="PAID"</formula>
    </cfRule>
    <cfRule type="expression" dxfId="916" priority="203">
      <formula>$E11="STORAGE"</formula>
    </cfRule>
    <cfRule type="expression" dxfId="915" priority="204">
      <formula>$E11="LOLO"</formula>
    </cfRule>
    <cfRule type="expression" dxfId="914" priority="205">
      <formula>$E11="THC"</formula>
    </cfRule>
  </conditionalFormatting>
  <conditionalFormatting sqref="P4:P52">
    <cfRule type="expression" dxfId="913" priority="190">
      <formula>$E4="STORAGE"</formula>
    </cfRule>
    <cfRule type="expression" dxfId="912" priority="191">
      <formula>$E4="LOLO"</formula>
    </cfRule>
    <cfRule type="expression" dxfId="911" priority="192">
      <formula>$E4="THC"</formula>
    </cfRule>
  </conditionalFormatting>
  <conditionalFormatting sqref="Q15">
    <cfRule type="expression" dxfId="910" priority="64">
      <formula>$C15=$N$2</formula>
    </cfRule>
  </conditionalFormatting>
  <conditionalFormatting sqref="Q3:T12">
    <cfRule type="expression" dxfId="909" priority="43">
      <formula>$A3="PAID"</formula>
    </cfRule>
    <cfRule type="expression" dxfId="908" priority="44">
      <formula>$E3="STORAGE"</formula>
    </cfRule>
    <cfRule type="expression" dxfId="907" priority="45">
      <formula>$E3="LOLO"</formula>
    </cfRule>
    <cfRule type="expression" dxfId="906" priority="46">
      <formula>$E3="THC"</formula>
    </cfRule>
  </conditionalFormatting>
  <conditionalFormatting sqref="Q3:T14 R15 S15:T24 Q16:R24 Q25:T54">
    <cfRule type="expression" dxfId="905" priority="72">
      <formula>$D3=$O$2</formula>
    </cfRule>
  </conditionalFormatting>
  <conditionalFormatting sqref="Q13:T24">
    <cfRule type="expression" dxfId="904" priority="65">
      <formula>$A13="PAID"</formula>
    </cfRule>
    <cfRule type="expression" dxfId="903" priority="69">
      <formula>$E13="STORAGE"</formula>
    </cfRule>
    <cfRule type="expression" dxfId="902" priority="70">
      <formula>$E13="LOLO"</formula>
    </cfRule>
    <cfRule type="expression" dxfId="901" priority="71">
      <formula>$E13="THC"</formula>
    </cfRule>
  </conditionalFormatting>
  <conditionalFormatting sqref="Q25:T52">
    <cfRule type="expression" dxfId="900" priority="50">
      <formula>$A25="PAID"</formula>
    </cfRule>
  </conditionalFormatting>
  <conditionalFormatting sqref="Q25:T53">
    <cfRule type="expression" dxfId="899" priority="51">
      <formula>$E25="STORAGE"</formula>
    </cfRule>
    <cfRule type="expression" dxfId="898" priority="52">
      <formula>$E25="LOLO"</formula>
    </cfRule>
    <cfRule type="expression" dxfId="897" priority="53">
      <formula>$E25="THC"</formula>
    </cfRule>
  </conditionalFormatting>
  <conditionalFormatting sqref="Q49:T54">
    <cfRule type="expression" dxfId="896" priority="62">
      <formula>$A49="PAID"</formula>
    </cfRule>
  </conditionalFormatting>
  <conditionalFormatting sqref="Q54:T54">
    <cfRule type="expression" dxfId="895" priority="47">
      <formula>$E54="STORAGE"</formula>
    </cfRule>
    <cfRule type="expression" dxfId="894" priority="48">
      <formula>$E54="LOLO"</formula>
    </cfRule>
    <cfRule type="expression" dxfId="893" priority="49">
      <formula>$E54="THC"</formula>
    </cfRule>
  </conditionalFormatting>
  <conditionalFormatting sqref="U43:U53 M44:P53 K49:K53">
    <cfRule type="expression" dxfId="892" priority="229">
      <formula>$E43="STORAGE"</formula>
    </cfRule>
    <cfRule type="expression" dxfId="891" priority="230">
      <formula>$E43="LOLO"</formula>
    </cfRule>
    <cfRule type="expression" dxfId="890" priority="231">
      <formula>$E43="THC"</formula>
    </cfRule>
  </conditionalFormatting>
  <conditionalFormatting sqref="V49:V53">
    <cfRule type="duplicateValues" dxfId="889" priority="285"/>
    <cfRule type="expression" dxfId="888" priority="2313">
      <formula>$E49="STORAGE"</formula>
    </cfRule>
    <cfRule type="expression" dxfId="887" priority="2314">
      <formula>$E49="LOLO"</formula>
    </cfRule>
    <cfRule type="expression" dxfId="886" priority="2315">
      <formula>$E49="THC"</formula>
    </cfRule>
    <cfRule type="duplicateValues" dxfId="885" priority="2316"/>
  </conditionalFormatting>
  <conditionalFormatting sqref="V54">
    <cfRule type="expression" dxfId="884" priority="137">
      <formula>$A54="PAID"</formula>
    </cfRule>
  </conditionalFormatting>
  <pageMargins left="0.7" right="0.7" top="0.75" bottom="0.75" header="0.3" footer="0.3"/>
  <pageSetup paperSize="9" scale="96" orientation="portrait" r:id="rId1"/>
  <rowBreaks count="1" manualBreakCount="1">
    <brk id="2" max="21" man="1"/>
  </rowBreaks>
  <colBreaks count="1" manualBreakCount="1">
    <brk id="8" min="3" max="8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Y83"/>
  <sheetViews>
    <sheetView view="pageBreakPreview" zoomScale="70" zoomScaleNormal="70" zoomScaleSheetLayoutView="70" workbookViewId="0">
      <pane xSplit="8" ySplit="2" topLeftCell="I23" activePane="bottomRight" state="frozenSplit"/>
      <selection pane="topRight" activeCell="E1" sqref="E1"/>
      <selection pane="bottomLeft" activeCell="A23" sqref="A23"/>
      <selection pane="bottomRight" activeCell="E23" sqref="E23"/>
    </sheetView>
  </sheetViews>
  <sheetFormatPr defaultColWidth="14" defaultRowHeight="15" customHeight="1"/>
  <cols>
    <col min="1" max="3" width="14" style="9"/>
    <col min="4" max="4" width="23.85546875" style="9" customWidth="1"/>
    <col min="5" max="5" width="30.42578125" style="9" customWidth="1"/>
    <col min="6" max="6" width="16.85546875" style="9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0" width="14" style="9"/>
    <col min="21" max="21" width="15.42578125" style="9" customWidth="1"/>
    <col min="22" max="22" width="46.85546875" style="8" bestFit="1" customWidth="1"/>
    <col min="23" max="16384" width="14" style="9"/>
  </cols>
  <sheetData>
    <row r="1" spans="1:23">
      <c r="A1" s="8"/>
      <c r="C1" s="10"/>
      <c r="D1" s="10"/>
      <c r="E1" s="5" t="s">
        <v>0</v>
      </c>
      <c r="F1" s="5"/>
      <c r="G1" s="6"/>
      <c r="H1" s="11"/>
      <c r="I1" s="12"/>
      <c r="J1" s="13"/>
      <c r="K1" s="13"/>
      <c r="L1" s="11"/>
      <c r="M1" s="11" t="s">
        <v>193</v>
      </c>
      <c r="U1" s="8"/>
    </row>
    <row r="2" spans="1:23" ht="47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23" t="s">
        <v>2</v>
      </c>
      <c r="Q2" s="127" t="s">
        <v>17</v>
      </c>
      <c r="R2" s="128" t="s">
        <v>15</v>
      </c>
      <c r="S2" s="128" t="s">
        <v>16</v>
      </c>
      <c r="T2" s="128" t="s">
        <v>12</v>
      </c>
      <c r="U2" s="129" t="s">
        <v>194</v>
      </c>
      <c r="V2" s="123" t="s">
        <v>6</v>
      </c>
    </row>
    <row r="3" spans="1:23" ht="18" customHeight="1">
      <c r="A3" s="14" t="s">
        <v>207</v>
      </c>
      <c r="B3" s="15">
        <v>1</v>
      </c>
      <c r="C3" s="16" t="str">
        <f>INDEX(PORT!$B$2:$B$20,MATCH('05'!B3,PORT!$A$2:$A$20))</f>
        <v>PNH01</v>
      </c>
      <c r="D3" s="10" t="str">
        <f>INDEX(PORT!$C$2:$C$20,MATCH('05'!B3,PORT!$A$2:$A$20))</f>
        <v>KTI AIR PORT</v>
      </c>
      <c r="E3" s="18" t="s">
        <v>791</v>
      </c>
      <c r="F3" s="18">
        <v>46144</v>
      </c>
      <c r="G3" s="19" t="s">
        <v>351</v>
      </c>
      <c r="H3" s="49" t="s">
        <v>953</v>
      </c>
      <c r="I3" s="196" t="s">
        <v>792</v>
      </c>
      <c r="J3" s="142" t="s">
        <v>793</v>
      </c>
      <c r="K3" s="194">
        <v>46146</v>
      </c>
      <c r="L3" s="21" t="str">
        <f>VLOOKUP(K3,'[5]Exchange Rate'!$A$3:$C$21,3,FALSE)</f>
        <v>4005</v>
      </c>
      <c r="M3" s="20" t="str">
        <f t="shared" ref="M3:M34" si="0">TEXT(K3,"dddd")</f>
        <v>Monday</v>
      </c>
      <c r="N3" s="26">
        <v>253.87</v>
      </c>
      <c r="O3" s="233">
        <v>0</v>
      </c>
      <c r="P3" s="22">
        <v>50</v>
      </c>
      <c r="Q3" s="186">
        <v>210</v>
      </c>
      <c r="R3" s="186">
        <v>133.87</v>
      </c>
      <c r="S3" s="182">
        <f t="shared" ref="S3:S45" si="1">ROUND(Q3*10%,2)</f>
        <v>21</v>
      </c>
      <c r="T3" s="186">
        <v>180</v>
      </c>
      <c r="U3" s="24">
        <f t="shared" ref="U3:U55" si="2">(Q3+R3+T3)-(N3+O3+P3)</f>
        <v>220</v>
      </c>
      <c r="V3" s="19"/>
    </row>
    <row r="4" spans="1:23" ht="18" customHeight="1">
      <c r="A4" s="14" t="s">
        <v>207</v>
      </c>
      <c r="B4" s="151">
        <v>1</v>
      </c>
      <c r="C4" s="16" t="str">
        <f>INDEX(PORT!$B$2:$B$20,MATCH('05'!B4,PORT!$A$2:$A$20))</f>
        <v>PNH01</v>
      </c>
      <c r="D4" s="10" t="str">
        <f>INDEX(PORT!$C$2:$C$20,MATCH('05'!B4,PORT!$A$2:$A$20))</f>
        <v>KTI AIR PORT</v>
      </c>
      <c r="E4" s="215" t="s">
        <v>794</v>
      </c>
      <c r="F4" s="153">
        <v>46144</v>
      </c>
      <c r="G4" s="152" t="s">
        <v>351</v>
      </c>
      <c r="H4" s="49" t="s">
        <v>952</v>
      </c>
      <c r="I4" s="196" t="s">
        <v>795</v>
      </c>
      <c r="J4" s="142" t="s">
        <v>796</v>
      </c>
      <c r="K4" s="153">
        <v>46146</v>
      </c>
      <c r="L4" s="21" t="str">
        <f>VLOOKUP(K4,'[5]Exchange Rate'!$A$3:$C$21,3,FALSE)</f>
        <v>4005</v>
      </c>
      <c r="M4" s="20" t="str">
        <f t="shared" si="0"/>
        <v>Monday</v>
      </c>
      <c r="N4" s="148">
        <v>266.89</v>
      </c>
      <c r="O4" s="233">
        <v>0</v>
      </c>
      <c r="P4" s="22">
        <v>50</v>
      </c>
      <c r="Q4" s="184">
        <v>220</v>
      </c>
      <c r="R4" s="184">
        <v>146.88999999999999</v>
      </c>
      <c r="S4" s="182">
        <f t="shared" si="1"/>
        <v>22</v>
      </c>
      <c r="T4" s="184">
        <v>180</v>
      </c>
      <c r="U4" s="24">
        <f t="shared" si="2"/>
        <v>230</v>
      </c>
      <c r="V4" s="29"/>
    </row>
    <row r="5" spans="1:23" ht="18" customHeight="1">
      <c r="A5" s="14" t="s">
        <v>207</v>
      </c>
      <c r="B5" s="143">
        <v>4</v>
      </c>
      <c r="C5" s="16" t="str">
        <f>INDEX(PORT!$B$2:$B$20,MATCH('05'!B5,PORT!$A$2:$A$20))</f>
        <v>PNH04</v>
      </c>
      <c r="D5" s="10" t="str">
        <f>INDEX(PORT!$C$2:$C$20,MATCH('05'!B5,PORT!$A$2:$A$20))</f>
        <v>PNH PORT</v>
      </c>
      <c r="E5" s="172" t="s">
        <v>797</v>
      </c>
      <c r="F5" s="144">
        <v>46144</v>
      </c>
      <c r="G5" s="145" t="s">
        <v>41</v>
      </c>
      <c r="H5" s="49" t="s">
        <v>954</v>
      </c>
      <c r="I5" s="196" t="s">
        <v>798</v>
      </c>
      <c r="J5" s="142" t="s">
        <v>799</v>
      </c>
      <c r="K5" s="147">
        <v>46146</v>
      </c>
      <c r="L5" s="21" t="str">
        <f>VLOOKUP(K5,'[5]Exchange Rate'!$A$3:$C$21,3,FALSE)</f>
        <v>4005</v>
      </c>
      <c r="M5" s="20" t="str">
        <f t="shared" si="0"/>
        <v>Monday</v>
      </c>
      <c r="N5" s="148">
        <v>715.25</v>
      </c>
      <c r="O5" s="233">
        <v>506</v>
      </c>
      <c r="P5" s="22">
        <v>0</v>
      </c>
      <c r="Q5" s="183">
        <v>242</v>
      </c>
      <c r="R5" s="183">
        <v>606.75</v>
      </c>
      <c r="S5" s="182">
        <f t="shared" si="1"/>
        <v>24.2</v>
      </c>
      <c r="T5" s="186">
        <v>1227.5</v>
      </c>
      <c r="U5" s="24">
        <f t="shared" si="2"/>
        <v>855</v>
      </c>
      <c r="V5" s="19" t="s">
        <v>924</v>
      </c>
    </row>
    <row r="6" spans="1:23" ht="18" customHeight="1">
      <c r="A6" s="14" t="s">
        <v>207</v>
      </c>
      <c r="B6" s="15">
        <v>1</v>
      </c>
      <c r="C6" s="16" t="str">
        <f>INDEX(PORT!$B$2:$B$20,MATCH('05'!B6,PORT!$A$2:$A$20))</f>
        <v>PNH01</v>
      </c>
      <c r="D6" s="10" t="str">
        <f>INDEX(PORT!$C$2:$C$20,MATCH('05'!B6,PORT!$A$2:$A$20))</f>
        <v>KTI AIR PORT</v>
      </c>
      <c r="E6" s="18" t="s">
        <v>800</v>
      </c>
      <c r="F6" s="18">
        <v>46144</v>
      </c>
      <c r="G6" s="19" t="s">
        <v>4</v>
      </c>
      <c r="H6" s="49" t="s">
        <v>955</v>
      </c>
      <c r="I6" s="196" t="s">
        <v>801</v>
      </c>
      <c r="J6" s="142" t="s">
        <v>802</v>
      </c>
      <c r="K6" s="194">
        <v>46146</v>
      </c>
      <c r="L6" s="21" t="str">
        <f>VLOOKUP(K6,'[5]Exchange Rate'!$A$3:$C$21,3,FALSE)</f>
        <v>4005</v>
      </c>
      <c r="M6" s="20" t="str">
        <f t="shared" si="0"/>
        <v>Monday</v>
      </c>
      <c r="N6" s="26">
        <v>181</v>
      </c>
      <c r="O6" s="233">
        <v>0</v>
      </c>
      <c r="P6" s="22">
        <v>50</v>
      </c>
      <c r="Q6" s="182">
        <v>150</v>
      </c>
      <c r="R6" s="182">
        <v>36</v>
      </c>
      <c r="S6" s="182">
        <f t="shared" si="1"/>
        <v>15</v>
      </c>
      <c r="T6" s="182">
        <v>196.75</v>
      </c>
      <c r="U6" s="24">
        <f t="shared" si="2"/>
        <v>151.75</v>
      </c>
      <c r="V6" s="286"/>
    </row>
    <row r="7" spans="1:23" s="37" customFormat="1" ht="18" customHeight="1">
      <c r="A7" s="14" t="s">
        <v>207</v>
      </c>
      <c r="B7" s="143">
        <v>1</v>
      </c>
      <c r="C7" s="16" t="str">
        <f>INDEX(PORT!$B$2:$B$20,MATCH('05'!B7,PORT!$A$2:$A$20))</f>
        <v>PNH01</v>
      </c>
      <c r="D7" s="10" t="str">
        <f>INDEX(PORT!$C$2:$C$20,MATCH('05'!B7,PORT!$A$2:$A$20))</f>
        <v>KTI AIR PORT</v>
      </c>
      <c r="E7" s="235" t="s">
        <v>803</v>
      </c>
      <c r="F7" s="168">
        <v>46148</v>
      </c>
      <c r="G7" s="169" t="s">
        <v>351</v>
      </c>
      <c r="H7" s="49" t="s">
        <v>956</v>
      </c>
      <c r="I7" s="196" t="s">
        <v>804</v>
      </c>
      <c r="J7" s="142" t="s">
        <v>805</v>
      </c>
      <c r="K7" s="170">
        <v>46149</v>
      </c>
      <c r="L7" s="21" t="str">
        <f>VLOOKUP(K7,'[5]Exchange Rate'!$A$3:$C$21,3,FALSE)</f>
        <v>4011</v>
      </c>
      <c r="M7" s="20" t="str">
        <f t="shared" si="0"/>
        <v>Thursday</v>
      </c>
      <c r="N7" s="148">
        <v>90</v>
      </c>
      <c r="O7" s="233">
        <v>0</v>
      </c>
      <c r="P7" s="22">
        <v>50</v>
      </c>
      <c r="Q7" s="182">
        <v>140</v>
      </c>
      <c r="R7" s="182">
        <v>20</v>
      </c>
      <c r="S7" s="182">
        <f t="shared" si="1"/>
        <v>14</v>
      </c>
      <c r="T7" s="182">
        <v>60</v>
      </c>
      <c r="U7" s="24">
        <f t="shared" si="2"/>
        <v>80</v>
      </c>
      <c r="V7" s="17"/>
    </row>
    <row r="8" spans="1:23" s="37" customFormat="1" ht="18" customHeight="1">
      <c r="A8" s="14" t="s">
        <v>207</v>
      </c>
      <c r="B8" s="15">
        <v>1</v>
      </c>
      <c r="C8" s="16" t="str">
        <f>INDEX(PORT!$B$2:$B$20,MATCH('05'!B8,PORT!$A$2:$A$20))</f>
        <v>PNH01</v>
      </c>
      <c r="D8" s="10" t="str">
        <f>INDEX(PORT!$C$2:$C$20,MATCH('05'!B8,PORT!$A$2:$A$20))</f>
        <v>KTI AIR PORT</v>
      </c>
      <c r="E8" s="18" t="s">
        <v>806</v>
      </c>
      <c r="F8" s="18">
        <v>46148</v>
      </c>
      <c r="G8" s="19" t="s">
        <v>10</v>
      </c>
      <c r="H8" s="49" t="s">
        <v>957</v>
      </c>
      <c r="I8" s="196" t="s">
        <v>807</v>
      </c>
      <c r="J8" s="142" t="s">
        <v>808</v>
      </c>
      <c r="K8" s="194">
        <v>46149</v>
      </c>
      <c r="L8" s="21" t="str">
        <f>VLOOKUP(K8,'[5]Exchange Rate'!$A$3:$C$21,3,FALSE)</f>
        <v>4011</v>
      </c>
      <c r="M8" s="20" t="str">
        <f t="shared" si="0"/>
        <v>Thursday</v>
      </c>
      <c r="N8" s="26">
        <v>88.06</v>
      </c>
      <c r="O8" s="233">
        <v>0</v>
      </c>
      <c r="P8" s="22">
        <v>50</v>
      </c>
      <c r="Q8" s="186">
        <v>140</v>
      </c>
      <c r="R8" s="186">
        <v>18.059999999999999</v>
      </c>
      <c r="S8" s="182">
        <f t="shared" si="1"/>
        <v>14</v>
      </c>
      <c r="T8" s="186">
        <v>60</v>
      </c>
      <c r="U8" s="24">
        <f t="shared" si="2"/>
        <v>80</v>
      </c>
      <c r="V8" s="19"/>
    </row>
    <row r="9" spans="1:23" s="37" customFormat="1" ht="18" customHeight="1">
      <c r="A9" s="14" t="s">
        <v>207</v>
      </c>
      <c r="B9" s="15">
        <v>4</v>
      </c>
      <c r="C9" s="16" t="str">
        <f>INDEX(PORT!$B$2:$B$20,MATCH('05'!B9,PORT!$A$2:$A$20))</f>
        <v>PNH04</v>
      </c>
      <c r="D9" s="10" t="str">
        <f>INDEX(PORT!$C$2:$C$20,MATCH('05'!B9,PORT!$A$2:$A$20))</f>
        <v>PNH PORT</v>
      </c>
      <c r="E9" s="238" t="s">
        <v>809</v>
      </c>
      <c r="F9" s="18">
        <v>46149</v>
      </c>
      <c r="G9" s="19" t="s">
        <v>4</v>
      </c>
      <c r="H9" s="49" t="s">
        <v>958</v>
      </c>
      <c r="I9" s="196" t="s">
        <v>810</v>
      </c>
      <c r="J9" s="142" t="s">
        <v>811</v>
      </c>
      <c r="K9" s="194">
        <v>46150</v>
      </c>
      <c r="L9" s="21" t="str">
        <f>VLOOKUP(K9,'[5]Exchange Rate'!$A$3:$C$21,3,FALSE)</f>
        <v>4012</v>
      </c>
      <c r="M9" s="20" t="str">
        <f t="shared" si="0"/>
        <v>Friday</v>
      </c>
      <c r="N9" s="22">
        <v>1145.75</v>
      </c>
      <c r="O9" s="233">
        <v>0</v>
      </c>
      <c r="P9" s="22">
        <v>50</v>
      </c>
      <c r="Q9" s="186">
        <v>490</v>
      </c>
      <c r="R9" s="186">
        <v>295.75</v>
      </c>
      <c r="S9" s="182">
        <f t="shared" si="1"/>
        <v>49</v>
      </c>
      <c r="T9" s="186">
        <v>1078</v>
      </c>
      <c r="U9" s="24">
        <f t="shared" si="2"/>
        <v>668</v>
      </c>
      <c r="V9" s="286"/>
      <c r="W9" s="258" t="s">
        <v>812</v>
      </c>
    </row>
    <row r="10" spans="1:23" s="37" customFormat="1" ht="18" customHeight="1">
      <c r="A10" s="14" t="s">
        <v>207</v>
      </c>
      <c r="B10" s="143">
        <v>1</v>
      </c>
      <c r="C10" s="16" t="str">
        <f>INDEX(PORT!$B$2:$B$20,MATCH('05'!B10,PORT!$A$2:$A$20))</f>
        <v>PNH01</v>
      </c>
      <c r="D10" s="10" t="str">
        <f>INDEX(PORT!$C$2:$C$20,MATCH('05'!B10,PORT!$A$2:$A$20))</f>
        <v>KTI AIR PORT</v>
      </c>
      <c r="E10" s="236" t="s">
        <v>813</v>
      </c>
      <c r="F10" s="144">
        <v>46149</v>
      </c>
      <c r="G10" s="145" t="s">
        <v>351</v>
      </c>
      <c r="H10" s="49" t="s">
        <v>959</v>
      </c>
      <c r="I10" s="196" t="s">
        <v>830</v>
      </c>
      <c r="J10" s="142" t="s">
        <v>816</v>
      </c>
      <c r="K10" s="147">
        <v>46150</v>
      </c>
      <c r="L10" s="21" t="str">
        <f>VLOOKUP(K10,'[5]Exchange Rate'!$A$3:$C$21,3,FALSE)</f>
        <v>4012</v>
      </c>
      <c r="M10" s="20" t="str">
        <f t="shared" si="0"/>
        <v>Friday</v>
      </c>
      <c r="N10" s="148">
        <v>294</v>
      </c>
      <c r="O10" s="233">
        <v>0</v>
      </c>
      <c r="P10" s="22">
        <v>50</v>
      </c>
      <c r="Q10" s="182">
        <v>220</v>
      </c>
      <c r="R10" s="182">
        <v>174</v>
      </c>
      <c r="S10" s="182">
        <f t="shared" si="1"/>
        <v>22</v>
      </c>
      <c r="T10" s="182">
        <v>180</v>
      </c>
      <c r="U10" s="24">
        <f t="shared" si="2"/>
        <v>230</v>
      </c>
      <c r="V10" s="17"/>
    </row>
    <row r="11" spans="1:23" ht="18" customHeight="1">
      <c r="A11" s="14" t="s">
        <v>207</v>
      </c>
      <c r="B11" s="15">
        <v>1</v>
      </c>
      <c r="C11" s="16" t="str">
        <f>INDEX(PORT!$B$2:$B$20,MATCH('05'!B11,PORT!$A$2:$A$20))</f>
        <v>PNH01</v>
      </c>
      <c r="D11" s="10" t="str">
        <f>INDEX(PORT!$C$2:$C$20,MATCH('05'!B11,PORT!$A$2:$A$20))</f>
        <v>KTI AIR PORT</v>
      </c>
      <c r="E11" s="18" t="s">
        <v>814</v>
      </c>
      <c r="F11" s="18">
        <v>46149</v>
      </c>
      <c r="G11" s="19" t="s">
        <v>351</v>
      </c>
      <c r="H11" s="49" t="s">
        <v>960</v>
      </c>
      <c r="I11" s="196" t="s">
        <v>831</v>
      </c>
      <c r="J11" s="142" t="s">
        <v>817</v>
      </c>
      <c r="K11" s="194">
        <v>46150</v>
      </c>
      <c r="L11" s="21" t="str">
        <f>VLOOKUP(K11,'[5]Exchange Rate'!$A$3:$C$21,3,FALSE)</f>
        <v>4012</v>
      </c>
      <c r="M11" s="20" t="str">
        <f t="shared" si="0"/>
        <v>Friday</v>
      </c>
      <c r="N11" s="26">
        <v>176.08</v>
      </c>
      <c r="O11" s="233">
        <v>0</v>
      </c>
      <c r="P11" s="22">
        <v>50</v>
      </c>
      <c r="Q11" s="185">
        <v>150</v>
      </c>
      <c r="R11" s="185">
        <v>56.08</v>
      </c>
      <c r="S11" s="182">
        <f t="shared" si="1"/>
        <v>15</v>
      </c>
      <c r="T11" s="185">
        <v>180</v>
      </c>
      <c r="U11" s="24">
        <f t="shared" si="2"/>
        <v>159.99999999999997</v>
      </c>
      <c r="V11" s="19"/>
    </row>
    <row r="12" spans="1:23" s="37" customFormat="1" ht="18" customHeight="1">
      <c r="A12" s="14" t="s">
        <v>207</v>
      </c>
      <c r="B12" s="143">
        <v>11</v>
      </c>
      <c r="C12" s="16" t="str">
        <f>INDEX(PORT!$B$2:$B$20,MATCH('05'!B12,PORT!$A$2:$A$20))</f>
        <v>SHV11</v>
      </c>
      <c r="D12" s="10" t="str">
        <f>INDEX(PORT!$C$2:$C$20,MATCH('05'!B12,PORT!$A$2:$A$20))</f>
        <v>SHV PORT</v>
      </c>
      <c r="E12" s="215" t="s">
        <v>823</v>
      </c>
      <c r="F12" s="153">
        <v>46149</v>
      </c>
      <c r="G12" s="152" t="s">
        <v>351</v>
      </c>
      <c r="H12" s="49" t="s">
        <v>961</v>
      </c>
      <c r="I12" s="196" t="s">
        <v>832</v>
      </c>
      <c r="J12" s="142" t="s">
        <v>818</v>
      </c>
      <c r="K12" s="153">
        <v>46150</v>
      </c>
      <c r="L12" s="21" t="str">
        <f>VLOOKUP(K12,'[5]Exchange Rate'!$A$3:$C$21,3,FALSE)</f>
        <v>4012</v>
      </c>
      <c r="M12" s="20" t="str">
        <f t="shared" si="0"/>
        <v>Friday</v>
      </c>
      <c r="N12" s="148">
        <v>408.92</v>
      </c>
      <c r="O12" s="233">
        <v>582.82000000000005</v>
      </c>
      <c r="P12" s="22">
        <v>50</v>
      </c>
      <c r="Q12" s="184">
        <v>150</v>
      </c>
      <c r="R12" s="184">
        <v>606.66999999999996</v>
      </c>
      <c r="S12" s="182">
        <f t="shared" si="1"/>
        <v>15</v>
      </c>
      <c r="T12" s="184">
        <v>509.99</v>
      </c>
      <c r="U12" s="24">
        <f t="shared" si="2"/>
        <v>224.91999999999985</v>
      </c>
      <c r="V12" s="29"/>
      <c r="W12" s="50"/>
    </row>
    <row r="13" spans="1:23" s="37" customFormat="1" ht="18" customHeight="1">
      <c r="A13" s="14" t="s">
        <v>207</v>
      </c>
      <c r="B13" s="143">
        <v>19</v>
      </c>
      <c r="C13" s="16" t="str">
        <f>INDEX(PORT!$B$2:$B$20,MATCH('05'!B13,PORT!$A$2:$A$20))</f>
        <v>PNH19</v>
      </c>
      <c r="D13" s="10" t="str">
        <f>INDEX(PORT!$C$2:$C$20,MATCH('05'!B13,PORT!$A$2:$A$20))</f>
        <v>TEC SRUN DRYPORT</v>
      </c>
      <c r="E13" s="209" t="s">
        <v>837</v>
      </c>
      <c r="F13" s="172">
        <v>46149</v>
      </c>
      <c r="G13" s="155" t="s">
        <v>4</v>
      </c>
      <c r="H13" s="49" t="s">
        <v>962</v>
      </c>
      <c r="I13" s="196" t="s">
        <v>833</v>
      </c>
      <c r="J13" s="142" t="s">
        <v>859</v>
      </c>
      <c r="K13" s="195">
        <v>46150</v>
      </c>
      <c r="L13" s="21" t="str">
        <f>VLOOKUP(K13,'[5]Exchange Rate'!$A$3:$C$21,3,FALSE)</f>
        <v>4012</v>
      </c>
      <c r="M13" s="20" t="str">
        <f t="shared" si="0"/>
        <v>Friday</v>
      </c>
      <c r="N13" s="161">
        <v>143.18</v>
      </c>
      <c r="O13" s="233">
        <v>333.86</v>
      </c>
      <c r="P13" s="22">
        <v>50</v>
      </c>
      <c r="Q13" s="183">
        <v>150</v>
      </c>
      <c r="R13" s="183">
        <v>367.04</v>
      </c>
      <c r="S13" s="182">
        <f t="shared" si="1"/>
        <v>15</v>
      </c>
      <c r="T13" s="183">
        <v>159</v>
      </c>
      <c r="U13" s="24">
        <f t="shared" si="2"/>
        <v>149</v>
      </c>
      <c r="V13" s="286"/>
    </row>
    <row r="14" spans="1:23" s="50" customFormat="1" ht="18" customHeight="1">
      <c r="A14" s="14" t="s">
        <v>207</v>
      </c>
      <c r="B14" s="162">
        <v>11</v>
      </c>
      <c r="C14" s="16" t="str">
        <f>INDEX(PORT!$B$2:$B$20,MATCH('05'!B14,PORT!$A$2:$A$20))</f>
        <v>SHV11</v>
      </c>
      <c r="D14" s="10" t="str">
        <f>INDEX(PORT!$C$2:$C$20,MATCH('05'!B14,PORT!$A$2:$A$20))</f>
        <v>SHV PORT</v>
      </c>
      <c r="E14" s="215" t="s">
        <v>840</v>
      </c>
      <c r="F14" s="163">
        <v>46149</v>
      </c>
      <c r="G14" s="141" t="s">
        <v>4</v>
      </c>
      <c r="H14" s="49" t="s">
        <v>963</v>
      </c>
      <c r="I14" s="196" t="s">
        <v>834</v>
      </c>
      <c r="J14" s="142" t="s">
        <v>860</v>
      </c>
      <c r="K14" s="164">
        <v>46150</v>
      </c>
      <c r="L14" s="21" t="str">
        <f>VLOOKUP(K14,'[5]Exchange Rate'!$A$3:$C$21,3,FALSE)</f>
        <v>4012</v>
      </c>
      <c r="M14" s="20" t="str">
        <f t="shared" si="0"/>
        <v>Friday</v>
      </c>
      <c r="N14" s="140">
        <v>247.8</v>
      </c>
      <c r="O14" s="233">
        <v>346.7</v>
      </c>
      <c r="P14" s="22">
        <v>50</v>
      </c>
      <c r="Q14" s="184">
        <v>150</v>
      </c>
      <c r="R14" s="184">
        <v>365.5</v>
      </c>
      <c r="S14" s="182">
        <f t="shared" si="1"/>
        <v>15</v>
      </c>
      <c r="T14" s="184">
        <v>234.21</v>
      </c>
      <c r="U14" s="24">
        <f t="shared" si="2"/>
        <v>105.21000000000004</v>
      </c>
      <c r="V14" s="286"/>
      <c r="W14" s="9"/>
    </row>
    <row r="15" spans="1:23" s="50" customFormat="1" ht="18" customHeight="1">
      <c r="A15" s="14" t="s">
        <v>207</v>
      </c>
      <c r="B15" s="143">
        <v>11</v>
      </c>
      <c r="C15" s="16" t="str">
        <f>INDEX(PORT!$B$2:$B$20,MATCH('05'!B15,PORT!$A$2:$A$20))</f>
        <v>SHV11</v>
      </c>
      <c r="D15" s="10" t="str">
        <f>INDEX(PORT!$C$2:$C$20,MATCH('05'!B15,PORT!$A$2:$A$20))</f>
        <v>SHV PORT</v>
      </c>
      <c r="E15" s="236" t="s">
        <v>841</v>
      </c>
      <c r="F15" s="144">
        <v>46149</v>
      </c>
      <c r="G15" s="155" t="s">
        <v>4</v>
      </c>
      <c r="H15" s="49" t="s">
        <v>964</v>
      </c>
      <c r="I15" s="196" t="s">
        <v>835</v>
      </c>
      <c r="J15" s="142" t="s">
        <v>861</v>
      </c>
      <c r="K15" s="147">
        <v>46150</v>
      </c>
      <c r="L15" s="21" t="str">
        <f>VLOOKUP(K15,'[5]Exchange Rate'!$A$3:$C$21,3,FALSE)</f>
        <v>4012</v>
      </c>
      <c r="M15" s="20" t="str">
        <f t="shared" si="0"/>
        <v>Friday</v>
      </c>
      <c r="N15" s="148">
        <v>177.12</v>
      </c>
      <c r="O15" s="233">
        <v>208.12</v>
      </c>
      <c r="P15" s="22">
        <v>50</v>
      </c>
      <c r="Q15" s="202">
        <v>150</v>
      </c>
      <c r="R15" s="185">
        <v>225.24</v>
      </c>
      <c r="S15" s="182">
        <f t="shared" si="1"/>
        <v>15</v>
      </c>
      <c r="T15" s="185">
        <v>156.96</v>
      </c>
      <c r="U15" s="24">
        <f t="shared" si="2"/>
        <v>96.960000000000036</v>
      </c>
      <c r="V15" s="286"/>
      <c r="W15" s="9"/>
    </row>
    <row r="16" spans="1:23" s="37" customFormat="1" ht="18" customHeight="1">
      <c r="A16" s="14" t="s">
        <v>207</v>
      </c>
      <c r="B16" s="143">
        <v>19</v>
      </c>
      <c r="C16" s="16" t="str">
        <f>INDEX(PORT!$B$2:$B$20,MATCH('05'!B16,PORT!$A$2:$A$20))</f>
        <v>PNH19</v>
      </c>
      <c r="D16" s="10" t="str">
        <f>INDEX(PORT!$C$2:$C$20,MATCH('05'!B16,PORT!$A$2:$A$20))</f>
        <v>TEC SRUN DRYPORT</v>
      </c>
      <c r="E16" s="209" t="s">
        <v>843</v>
      </c>
      <c r="F16" s="172">
        <v>46149</v>
      </c>
      <c r="G16" s="155" t="s">
        <v>10</v>
      </c>
      <c r="H16" s="49" t="s">
        <v>965</v>
      </c>
      <c r="I16" s="196" t="s">
        <v>836</v>
      </c>
      <c r="J16" s="142" t="s">
        <v>855</v>
      </c>
      <c r="K16" s="195">
        <v>46150</v>
      </c>
      <c r="L16" s="21" t="str">
        <f>VLOOKUP(K16,'[5]Exchange Rate'!$A$3:$C$21,3,FALSE)</f>
        <v>4012</v>
      </c>
      <c r="M16" s="20" t="str">
        <f t="shared" si="0"/>
        <v>Friday</v>
      </c>
      <c r="N16" s="161">
        <v>113.1</v>
      </c>
      <c r="O16" s="233">
        <v>254.03</v>
      </c>
      <c r="P16" s="22">
        <v>50</v>
      </c>
      <c r="Q16" s="183">
        <v>150</v>
      </c>
      <c r="R16" s="183">
        <v>280.04000000000002</v>
      </c>
      <c r="S16" s="182">
        <f t="shared" si="1"/>
        <v>15</v>
      </c>
      <c r="T16" s="183">
        <v>109.5</v>
      </c>
      <c r="U16" s="24">
        <f t="shared" si="2"/>
        <v>122.40999999999997</v>
      </c>
      <c r="V16" s="19"/>
      <c r="W16" s="9"/>
    </row>
    <row r="17" spans="1:25" s="37" customFormat="1" ht="18" customHeight="1">
      <c r="A17" s="14" t="s">
        <v>207</v>
      </c>
      <c r="B17" s="143">
        <v>11</v>
      </c>
      <c r="C17" s="16" t="str">
        <f>INDEX(PORT!$B$2:$B$20,MATCH('05'!B17,PORT!$A$2:$A$20))</f>
        <v>SHV11</v>
      </c>
      <c r="D17" s="10" t="str">
        <f>INDEX(PORT!$C$2:$C$20,MATCH('05'!B17,PORT!$A$2:$A$20))</f>
        <v>SHV PORT</v>
      </c>
      <c r="E17" s="172" t="s">
        <v>845</v>
      </c>
      <c r="F17" s="144">
        <v>46149</v>
      </c>
      <c r="G17" s="145" t="s">
        <v>10</v>
      </c>
      <c r="H17" s="49" t="s">
        <v>966</v>
      </c>
      <c r="I17" s="196" t="s">
        <v>846</v>
      </c>
      <c r="J17" s="142" t="s">
        <v>856</v>
      </c>
      <c r="K17" s="147">
        <v>46150</v>
      </c>
      <c r="L17" s="21" t="str">
        <f>VLOOKUP(K17,'[5]Exchange Rate'!$A$3:$C$21,3,FALSE)</f>
        <v>4012</v>
      </c>
      <c r="M17" s="20" t="str">
        <f t="shared" si="0"/>
        <v>Friday</v>
      </c>
      <c r="N17" s="148">
        <v>160.72</v>
      </c>
      <c r="O17" s="233">
        <v>259.60000000000002</v>
      </c>
      <c r="P17" s="22">
        <v>50</v>
      </c>
      <c r="Q17" s="184">
        <v>150</v>
      </c>
      <c r="R17" s="184">
        <v>276.72000000000003</v>
      </c>
      <c r="S17" s="182">
        <f t="shared" si="1"/>
        <v>15</v>
      </c>
      <c r="T17" s="184">
        <v>111.28</v>
      </c>
      <c r="U17" s="24">
        <f t="shared" si="2"/>
        <v>67.67999999999995</v>
      </c>
      <c r="V17" s="140"/>
      <c r="W17" s="9"/>
    </row>
    <row r="18" spans="1:25" s="37" customFormat="1" ht="18" customHeight="1">
      <c r="A18" s="14" t="s">
        <v>207</v>
      </c>
      <c r="B18" s="143">
        <v>1</v>
      </c>
      <c r="C18" s="16" t="str">
        <f>INDEX(PORT!$B$2:$B$20,MATCH('05'!B18,PORT!$A$2:$A$20))</f>
        <v>PNH01</v>
      </c>
      <c r="D18" s="10" t="str">
        <f>INDEX(PORT!$C$2:$C$20,MATCH('05'!B18,PORT!$A$2:$A$20))</f>
        <v>KTI AIR PORT</v>
      </c>
      <c r="E18" s="172" t="s">
        <v>815</v>
      </c>
      <c r="F18" s="144">
        <v>46152</v>
      </c>
      <c r="G18" s="250" t="s">
        <v>351</v>
      </c>
      <c r="H18" s="49" t="s">
        <v>967</v>
      </c>
      <c r="I18" s="196" t="s">
        <v>847</v>
      </c>
      <c r="J18" s="142" t="s">
        <v>826</v>
      </c>
      <c r="K18" s="147">
        <v>46153</v>
      </c>
      <c r="L18" s="21" t="str">
        <f>VLOOKUP(K18,'[5]Exchange Rate'!$A$3:$C$21,3,FALSE)</f>
        <v>4012</v>
      </c>
      <c r="M18" s="20" t="str">
        <f t="shared" si="0"/>
        <v>Monday</v>
      </c>
      <c r="N18" s="148">
        <v>179.59</v>
      </c>
      <c r="O18" s="233">
        <v>0</v>
      </c>
      <c r="P18" s="22">
        <v>50</v>
      </c>
      <c r="Q18" s="183">
        <v>140</v>
      </c>
      <c r="R18" s="183">
        <v>29.59</v>
      </c>
      <c r="S18" s="182">
        <f t="shared" si="1"/>
        <v>14</v>
      </c>
      <c r="T18" s="183">
        <v>330</v>
      </c>
      <c r="U18" s="24">
        <f t="shared" si="2"/>
        <v>270</v>
      </c>
      <c r="V18" s="155"/>
    </row>
    <row r="19" spans="1:25" ht="18" customHeight="1">
      <c r="A19" s="14" t="s">
        <v>207</v>
      </c>
      <c r="B19" s="15">
        <v>4</v>
      </c>
      <c r="C19" s="16" t="str">
        <f>INDEX(PORT!$B$2:$B$20,MATCH('05'!B19,PORT!$A$2:$A$20))</f>
        <v>PNH04</v>
      </c>
      <c r="D19" s="10" t="str">
        <f>INDEX(PORT!$C$2:$C$20,MATCH('05'!B19,PORT!$A$2:$A$20))</f>
        <v>PNH PORT</v>
      </c>
      <c r="E19" s="18" t="s">
        <v>824</v>
      </c>
      <c r="F19" s="18">
        <v>46151</v>
      </c>
      <c r="G19" s="19" t="s">
        <v>41</v>
      </c>
      <c r="H19" s="49" t="s">
        <v>968</v>
      </c>
      <c r="I19" s="196" t="s">
        <v>848</v>
      </c>
      <c r="J19" s="142" t="s">
        <v>828</v>
      </c>
      <c r="K19" s="194">
        <v>46153</v>
      </c>
      <c r="L19" s="21" t="str">
        <f>VLOOKUP(K19,'[5]Exchange Rate'!$A$3:$C$21,3,FALSE)</f>
        <v>4012</v>
      </c>
      <c r="M19" s="20" t="str">
        <f t="shared" si="0"/>
        <v>Monday</v>
      </c>
      <c r="N19" s="26">
        <v>652.35</v>
      </c>
      <c r="O19" s="233">
        <v>466</v>
      </c>
      <c r="P19" s="22">
        <v>0</v>
      </c>
      <c r="Q19" s="186">
        <v>213</v>
      </c>
      <c r="R19" s="186">
        <v>540.35</v>
      </c>
      <c r="S19" s="182">
        <f t="shared" si="1"/>
        <v>21.3</v>
      </c>
      <c r="T19" s="186">
        <v>1224.5</v>
      </c>
      <c r="U19" s="24">
        <f t="shared" si="2"/>
        <v>859.5</v>
      </c>
      <c r="V19" s="262" t="s">
        <v>925</v>
      </c>
      <c r="W19" s="50"/>
    </row>
    <row r="20" spans="1:25" ht="18" customHeight="1">
      <c r="A20" s="14" t="s">
        <v>207</v>
      </c>
      <c r="B20" s="143">
        <v>21</v>
      </c>
      <c r="C20" s="16" t="str">
        <f>INDEX(PORT!$B$2:$B$20,MATCH('05'!B20,PORT!$A$2:$A$20))</f>
        <v>PNH21</v>
      </c>
      <c r="D20" s="10" t="str">
        <f>INDEX(PORT!$C$2:$C$20,MATCH('05'!B20,PORT!$A$2:$A$20))</f>
        <v>OLAIR DRY PORT</v>
      </c>
      <c r="E20" s="236" t="s">
        <v>839</v>
      </c>
      <c r="F20" s="144">
        <v>46154</v>
      </c>
      <c r="G20" s="145" t="s">
        <v>4</v>
      </c>
      <c r="H20" s="49" t="s">
        <v>969</v>
      </c>
      <c r="I20" s="196" t="s">
        <v>849</v>
      </c>
      <c r="J20" s="142" t="s">
        <v>862</v>
      </c>
      <c r="K20" s="147">
        <v>46155</v>
      </c>
      <c r="L20" s="21" t="str">
        <f>VLOOKUP(K20,'[5]Exchange Rate'!$A$3:$C$21,3,FALSE)</f>
        <v>4012</v>
      </c>
      <c r="M20" s="20" t="str">
        <f t="shared" si="0"/>
        <v>Wednesday</v>
      </c>
      <c r="N20" s="148">
        <v>137.86000000000001</v>
      </c>
      <c r="O20" s="233">
        <v>235.13</v>
      </c>
      <c r="P20" s="22">
        <v>50</v>
      </c>
      <c r="Q20" s="187">
        <v>150</v>
      </c>
      <c r="R20" s="187">
        <v>262.99</v>
      </c>
      <c r="S20" s="182">
        <f t="shared" si="1"/>
        <v>15</v>
      </c>
      <c r="T20" s="187">
        <v>159</v>
      </c>
      <c r="U20" s="24">
        <f t="shared" si="2"/>
        <v>149</v>
      </c>
      <c r="V20" s="286"/>
    </row>
    <row r="21" spans="1:25" ht="18" customHeight="1">
      <c r="A21" s="14" t="s">
        <v>207</v>
      </c>
      <c r="B21" s="143">
        <v>21</v>
      </c>
      <c r="C21" s="16" t="str">
        <f>INDEX(PORT!$B$2:$B$20,MATCH('05'!B21,PORT!$A$2:$A$20))</f>
        <v>PNH21</v>
      </c>
      <c r="D21" s="10" t="str">
        <f>INDEX(PORT!$C$2:$C$20,MATCH('05'!B21,PORT!$A$2:$A$20))</f>
        <v>OLAIR DRY PORT</v>
      </c>
      <c r="E21" s="215" t="s">
        <v>844</v>
      </c>
      <c r="F21" s="153">
        <v>46154</v>
      </c>
      <c r="G21" s="155" t="s">
        <v>10</v>
      </c>
      <c r="H21" s="49" t="s">
        <v>970</v>
      </c>
      <c r="I21" s="196" t="s">
        <v>850</v>
      </c>
      <c r="J21" s="142" t="s">
        <v>857</v>
      </c>
      <c r="K21" s="153">
        <v>46155</v>
      </c>
      <c r="L21" s="21" t="str">
        <f>VLOOKUP(K21,'[5]Exchange Rate'!$A$3:$C$21,3,FALSE)</f>
        <v>4012</v>
      </c>
      <c r="M21" s="20" t="str">
        <f t="shared" si="0"/>
        <v>Wednesday</v>
      </c>
      <c r="N21" s="148">
        <v>112</v>
      </c>
      <c r="O21" s="233">
        <v>207.63</v>
      </c>
      <c r="P21" s="22">
        <v>50</v>
      </c>
      <c r="Q21" s="186">
        <v>150</v>
      </c>
      <c r="R21" s="186">
        <v>232.63</v>
      </c>
      <c r="S21" s="182">
        <f t="shared" si="1"/>
        <v>15</v>
      </c>
      <c r="T21" s="186">
        <v>109.5</v>
      </c>
      <c r="U21" s="24">
        <f t="shared" si="2"/>
        <v>122.5</v>
      </c>
      <c r="V21" s="19"/>
    </row>
    <row r="22" spans="1:25" ht="18" customHeight="1">
      <c r="A22" s="14" t="s">
        <v>207</v>
      </c>
      <c r="B22" s="143">
        <v>1</v>
      </c>
      <c r="C22" s="16" t="str">
        <f>INDEX(PORT!$B$2:$B$20,MATCH('05'!B22,PORT!$A$2:$A$20))</f>
        <v>PNH01</v>
      </c>
      <c r="D22" s="10" t="str">
        <f>INDEX(PORT!$C$2:$C$20,MATCH('05'!B22,PORT!$A$2:$A$20))</f>
        <v>KTI AIR PORT</v>
      </c>
      <c r="E22" s="237" t="s">
        <v>822</v>
      </c>
      <c r="F22" s="144">
        <v>46158</v>
      </c>
      <c r="G22" s="155" t="s">
        <v>351</v>
      </c>
      <c r="H22" s="49" t="s">
        <v>971</v>
      </c>
      <c r="I22" s="196" t="s">
        <v>851</v>
      </c>
      <c r="J22" s="142" t="s">
        <v>827</v>
      </c>
      <c r="K22" s="147">
        <v>46160</v>
      </c>
      <c r="L22" s="21" t="str">
        <f>VLOOKUP(K22,'[5]Exchange Rate'!$A$3:$C$21,3,FALSE)</f>
        <v>4014</v>
      </c>
      <c r="M22" s="20" t="str">
        <f t="shared" si="0"/>
        <v>Monday</v>
      </c>
      <c r="N22" s="148">
        <v>358.33</v>
      </c>
      <c r="O22" s="233">
        <v>0</v>
      </c>
      <c r="P22" s="22">
        <v>50</v>
      </c>
      <c r="Q22" s="185">
        <v>230</v>
      </c>
      <c r="R22" s="185">
        <v>238.33</v>
      </c>
      <c r="S22" s="182">
        <f t="shared" si="1"/>
        <v>23</v>
      </c>
      <c r="T22" s="185">
        <v>180</v>
      </c>
      <c r="U22" s="24">
        <f t="shared" si="2"/>
        <v>240.00000000000006</v>
      </c>
      <c r="V22" s="31"/>
      <c r="W22" s="37"/>
    </row>
    <row r="23" spans="1:25" ht="18" customHeight="1">
      <c r="A23" s="14" t="s">
        <v>207</v>
      </c>
      <c r="B23" s="143">
        <v>4</v>
      </c>
      <c r="C23" s="16" t="str">
        <f>INDEX(PORT!$B$2:$B$20,MATCH('05'!B23,PORT!$A$2:$A$20))</f>
        <v>PNH04</v>
      </c>
      <c r="D23" s="10" t="str">
        <f>INDEX(PORT!$C$2:$C$20,MATCH('05'!B23,PORT!$A$2:$A$20))</f>
        <v>PNH PORT</v>
      </c>
      <c r="E23" s="236" t="s">
        <v>825</v>
      </c>
      <c r="F23" s="144">
        <v>46157</v>
      </c>
      <c r="G23" s="155" t="s">
        <v>41</v>
      </c>
      <c r="H23" s="49" t="s">
        <v>972</v>
      </c>
      <c r="I23" s="196" t="s">
        <v>852</v>
      </c>
      <c r="J23" s="142" t="s">
        <v>829</v>
      </c>
      <c r="K23" s="147">
        <v>46160</v>
      </c>
      <c r="L23" s="21" t="str">
        <f>VLOOKUP(K23,'[5]Exchange Rate'!$A$3:$C$21,3,FALSE)</f>
        <v>4014</v>
      </c>
      <c r="M23" s="20" t="str">
        <f t="shared" si="0"/>
        <v>Monday</v>
      </c>
      <c r="N23" s="148">
        <v>562.75</v>
      </c>
      <c r="O23" s="233">
        <v>506</v>
      </c>
      <c r="P23" s="22">
        <v>0</v>
      </c>
      <c r="Q23" s="193">
        <v>242</v>
      </c>
      <c r="R23" s="187">
        <v>654.25</v>
      </c>
      <c r="S23" s="182">
        <f t="shared" si="1"/>
        <v>24.2</v>
      </c>
      <c r="T23" s="187">
        <v>707.5</v>
      </c>
      <c r="U23" s="24">
        <f t="shared" si="2"/>
        <v>535</v>
      </c>
      <c r="V23" s="263" t="s">
        <v>926</v>
      </c>
      <c r="W23" s="37"/>
    </row>
    <row r="24" spans="1:25" ht="18" customHeight="1">
      <c r="A24" s="14" t="s">
        <v>207</v>
      </c>
      <c r="B24" s="197">
        <v>19</v>
      </c>
      <c r="C24" s="16" t="str">
        <f>INDEX(PORT!$B$2:$B$20,MATCH('05'!B24,PORT!$A$2:$A$20))</f>
        <v>PNH19</v>
      </c>
      <c r="D24" s="10" t="str">
        <f>INDEX(PORT!$C$2:$C$20,MATCH('05'!B24,PORT!$A$2:$A$20))</f>
        <v>TEC SRUN DRYPORT</v>
      </c>
      <c r="E24" s="215" t="s">
        <v>838</v>
      </c>
      <c r="F24" s="144">
        <v>46160</v>
      </c>
      <c r="G24" s="145" t="s">
        <v>4</v>
      </c>
      <c r="H24" s="49" t="s">
        <v>973</v>
      </c>
      <c r="I24" s="196" t="s">
        <v>853</v>
      </c>
      <c r="J24" s="142" t="s">
        <v>863</v>
      </c>
      <c r="K24" s="147">
        <v>46161</v>
      </c>
      <c r="L24" s="21" t="str">
        <f>VLOOKUP(K24,'[5]Exchange Rate'!$A$3:$C$21,3,FALSE)</f>
        <v>4019</v>
      </c>
      <c r="M24" s="20" t="str">
        <f t="shared" si="0"/>
        <v>Tuesday</v>
      </c>
      <c r="N24" s="148">
        <v>136.1</v>
      </c>
      <c r="O24" s="233">
        <v>207.13</v>
      </c>
      <c r="P24" s="22">
        <v>50</v>
      </c>
      <c r="Q24" s="184">
        <v>150</v>
      </c>
      <c r="R24" s="184">
        <v>233.23</v>
      </c>
      <c r="S24" s="182">
        <f t="shared" si="1"/>
        <v>15</v>
      </c>
      <c r="T24" s="184">
        <v>159</v>
      </c>
      <c r="U24" s="24">
        <f t="shared" si="2"/>
        <v>149</v>
      </c>
      <c r="V24" s="286"/>
      <c r="W24" s="37"/>
    </row>
    <row r="25" spans="1:25" ht="18" customHeight="1">
      <c r="A25" s="14" t="s">
        <v>207</v>
      </c>
      <c r="B25" s="143">
        <v>19</v>
      </c>
      <c r="C25" s="16" t="str">
        <f>INDEX(PORT!$B$2:$B$20,MATCH('05'!B25,PORT!$A$2:$A$20))</f>
        <v>PNH19</v>
      </c>
      <c r="D25" s="10" t="str">
        <f>INDEX(PORT!$C$2:$C$20,MATCH('05'!B25,PORT!$A$2:$A$20))</f>
        <v>TEC SRUN DRYPORT</v>
      </c>
      <c r="E25" s="236" t="s">
        <v>842</v>
      </c>
      <c r="F25" s="172">
        <v>46160</v>
      </c>
      <c r="G25" s="155" t="s">
        <v>10</v>
      </c>
      <c r="H25" s="49" t="s">
        <v>974</v>
      </c>
      <c r="I25" s="196" t="s">
        <v>854</v>
      </c>
      <c r="J25" s="142" t="s">
        <v>858</v>
      </c>
      <c r="K25" s="195">
        <v>46161</v>
      </c>
      <c r="L25" s="21" t="str">
        <f>VLOOKUP(K25,'[5]Exchange Rate'!$A$3:$C$21,3,FALSE)</f>
        <v>4019</v>
      </c>
      <c r="M25" s="20" t="str">
        <f t="shared" si="0"/>
        <v>Tuesday</v>
      </c>
      <c r="N25" s="161">
        <v>113.1</v>
      </c>
      <c r="O25" s="233">
        <v>194.05</v>
      </c>
      <c r="P25" s="22">
        <v>50</v>
      </c>
      <c r="Q25" s="186">
        <v>150</v>
      </c>
      <c r="R25" s="186">
        <v>220.15</v>
      </c>
      <c r="S25" s="182">
        <f t="shared" si="1"/>
        <v>15</v>
      </c>
      <c r="T25" s="186">
        <v>109.5</v>
      </c>
      <c r="U25" s="24">
        <f t="shared" si="2"/>
        <v>122.5</v>
      </c>
      <c r="V25" s="19"/>
      <c r="W25" s="257" t="s">
        <v>865</v>
      </c>
      <c r="X25" s="256"/>
      <c r="Y25" s="256"/>
    </row>
    <row r="26" spans="1:25" ht="18" customHeight="1">
      <c r="A26" s="14" t="s">
        <v>207</v>
      </c>
      <c r="B26" s="15">
        <v>1</v>
      </c>
      <c r="C26" s="16" t="str">
        <f>INDEX(PORT!$B$2:$B$20,MATCH('05'!B26,PORT!$A$2:$A$20))</f>
        <v>PNH01</v>
      </c>
      <c r="D26" s="10" t="str">
        <f>INDEX(PORT!$C$2:$C$20,MATCH('05'!B26,PORT!$A$2:$A$20))</f>
        <v>KTI AIR PORT</v>
      </c>
      <c r="E26" s="18" t="s">
        <v>896</v>
      </c>
      <c r="F26" s="18">
        <v>46162</v>
      </c>
      <c r="G26" s="19" t="s">
        <v>351</v>
      </c>
      <c r="H26" s="49" t="s">
        <v>975</v>
      </c>
      <c r="I26" s="196" t="s">
        <v>885</v>
      </c>
      <c r="J26" s="142" t="s">
        <v>902</v>
      </c>
      <c r="K26" s="194">
        <v>46163</v>
      </c>
      <c r="L26" s="21" t="str">
        <f>VLOOKUP(K26,'[5]Exchange Rate'!$A$3:$C$21,3,FALSE)</f>
        <v>4023</v>
      </c>
      <c r="M26" s="20" t="str">
        <f t="shared" si="0"/>
        <v>Thursday</v>
      </c>
      <c r="N26" s="26">
        <v>269.36</v>
      </c>
      <c r="O26" s="233">
        <v>0</v>
      </c>
      <c r="P26" s="22">
        <v>50</v>
      </c>
      <c r="Q26" s="186">
        <v>165</v>
      </c>
      <c r="R26" s="186">
        <v>99.36</v>
      </c>
      <c r="S26" s="182">
        <f t="shared" si="1"/>
        <v>16.5</v>
      </c>
      <c r="T26" s="186">
        <v>175.75</v>
      </c>
      <c r="U26" s="24">
        <f t="shared" si="2"/>
        <v>120.75</v>
      </c>
      <c r="V26" s="19"/>
      <c r="W26" s="201"/>
    </row>
    <row r="27" spans="1:25" ht="18" customHeight="1">
      <c r="A27" s="14" t="s">
        <v>207</v>
      </c>
      <c r="B27" s="15">
        <v>4</v>
      </c>
      <c r="C27" s="16" t="str">
        <f>INDEX(PORT!$B$2:$B$20,MATCH('05'!B27,PORT!$A$2:$A$20))</f>
        <v>PNH04</v>
      </c>
      <c r="D27" s="10" t="str">
        <f>INDEX(PORT!$C$2:$C$20,MATCH('05'!B27,PORT!$A$2:$A$20))</f>
        <v>PNH PORT</v>
      </c>
      <c r="E27" s="18" t="s">
        <v>909</v>
      </c>
      <c r="F27" s="18">
        <v>46163</v>
      </c>
      <c r="G27" s="19" t="s">
        <v>4</v>
      </c>
      <c r="H27" s="49" t="s">
        <v>976</v>
      </c>
      <c r="I27" s="196" t="s">
        <v>886</v>
      </c>
      <c r="J27" s="142" t="s">
        <v>881</v>
      </c>
      <c r="K27" s="194">
        <v>46164</v>
      </c>
      <c r="L27" s="21" t="str">
        <f>VLOOKUP(K27,'[5]Exchange Rate'!$A$3:$C$21,3,FALSE)</f>
        <v>4024</v>
      </c>
      <c r="M27" s="20" t="str">
        <f t="shared" si="0"/>
        <v>Friday</v>
      </c>
      <c r="N27" s="26">
        <v>597.75</v>
      </c>
      <c r="O27" s="233">
        <v>0</v>
      </c>
      <c r="P27" s="22">
        <v>50</v>
      </c>
      <c r="Q27" s="186">
        <v>245</v>
      </c>
      <c r="R27" s="186">
        <v>147.75</v>
      </c>
      <c r="S27" s="182">
        <f t="shared" si="1"/>
        <v>24.5</v>
      </c>
      <c r="T27" s="186">
        <v>574</v>
      </c>
      <c r="U27" s="24">
        <f t="shared" si="2"/>
        <v>319</v>
      </c>
      <c r="V27" s="286"/>
      <c r="W27" s="12"/>
    </row>
    <row r="28" spans="1:25" ht="18" customHeight="1">
      <c r="A28" s="14" t="s">
        <v>207</v>
      </c>
      <c r="B28" s="15">
        <v>11</v>
      </c>
      <c r="C28" s="16" t="str">
        <f>INDEX(PORT!$B$2:$B$20,MATCH('05'!B28,PORT!$A$2:$A$20))</f>
        <v>SHV11</v>
      </c>
      <c r="D28" s="10" t="str">
        <f>INDEX(PORT!$C$2:$C$20,MATCH('05'!B28,PORT!$A$2:$A$20))</f>
        <v>SHV PORT</v>
      </c>
      <c r="E28" s="16" t="s">
        <v>910</v>
      </c>
      <c r="F28" s="18">
        <v>46163</v>
      </c>
      <c r="G28" s="19" t="s">
        <v>4</v>
      </c>
      <c r="H28" s="49" t="s">
        <v>977</v>
      </c>
      <c r="I28" s="196" t="s">
        <v>887</v>
      </c>
      <c r="J28" s="142" t="s">
        <v>882</v>
      </c>
      <c r="K28" s="194">
        <v>46164</v>
      </c>
      <c r="L28" s="21" t="str">
        <f>VLOOKUP(K28,'[5]Exchange Rate'!$A$3:$C$21,3,FALSE)</f>
        <v>4024</v>
      </c>
      <c r="M28" s="20" t="str">
        <f t="shared" si="0"/>
        <v>Friday</v>
      </c>
      <c r="N28" s="22">
        <v>529.75</v>
      </c>
      <c r="O28" s="233">
        <v>0</v>
      </c>
      <c r="P28" s="22">
        <v>50</v>
      </c>
      <c r="Q28" s="182">
        <v>215</v>
      </c>
      <c r="R28" s="182">
        <v>70.75</v>
      </c>
      <c r="S28" s="182">
        <f t="shared" si="1"/>
        <v>21.5</v>
      </c>
      <c r="T28" s="182">
        <v>580.5</v>
      </c>
      <c r="U28" s="24">
        <f t="shared" si="2"/>
        <v>286.5</v>
      </c>
      <c r="V28" s="286"/>
      <c r="W28" s="12"/>
    </row>
    <row r="29" spans="1:25" ht="18" customHeight="1">
      <c r="A29" s="14" t="s">
        <v>207</v>
      </c>
      <c r="B29" s="59">
        <v>11</v>
      </c>
      <c r="C29" s="16" t="str">
        <f>INDEX(PORT!$B$2:$B$20,MATCH('05'!B29,PORT!$A$2:$A$20))</f>
        <v>SHV11</v>
      </c>
      <c r="D29" s="10" t="str">
        <f>INDEX(PORT!$C$2:$C$20,MATCH('05'!B29,PORT!$A$2:$A$20))</f>
        <v>SHV PORT</v>
      </c>
      <c r="E29" s="60" t="s">
        <v>912</v>
      </c>
      <c r="F29" s="54">
        <v>46163</v>
      </c>
      <c r="G29" s="19" t="s">
        <v>4</v>
      </c>
      <c r="H29" s="49" t="s">
        <v>978</v>
      </c>
      <c r="I29" s="196" t="s">
        <v>888</v>
      </c>
      <c r="J29" s="142" t="s">
        <v>883</v>
      </c>
      <c r="K29" s="20">
        <v>46164</v>
      </c>
      <c r="L29" s="21" t="str">
        <f>VLOOKUP(K29,'[5]Exchange Rate'!$A$3:$C$21,3,FALSE)</f>
        <v>4024</v>
      </c>
      <c r="M29" s="20" t="str">
        <f t="shared" si="0"/>
        <v>Friday</v>
      </c>
      <c r="N29" s="26">
        <v>195.12</v>
      </c>
      <c r="O29" s="233">
        <v>221.1</v>
      </c>
      <c r="P29" s="22">
        <v>50</v>
      </c>
      <c r="Q29" s="191">
        <v>150</v>
      </c>
      <c r="R29" s="191">
        <v>238.22</v>
      </c>
      <c r="S29" s="182">
        <f t="shared" si="1"/>
        <v>15</v>
      </c>
      <c r="T29" s="192">
        <v>157.80000000000001</v>
      </c>
      <c r="U29" s="24">
        <f t="shared" si="2"/>
        <v>79.799999999999955</v>
      </c>
      <c r="V29" s="286"/>
      <c r="W29" s="12"/>
    </row>
    <row r="30" spans="1:25" ht="18" customHeight="1">
      <c r="A30" s="14" t="s">
        <v>207</v>
      </c>
      <c r="B30" s="59">
        <v>11</v>
      </c>
      <c r="C30" s="16" t="str">
        <f>INDEX(PORT!$B$2:$B$20,MATCH('05'!B30,PORT!$A$2:$A$20))</f>
        <v>SHV11</v>
      </c>
      <c r="D30" s="10" t="str">
        <f>INDEX(PORT!$C$2:$C$20,MATCH('05'!B30,PORT!$A$2:$A$20))</f>
        <v>SHV PORT</v>
      </c>
      <c r="E30" s="60" t="s">
        <v>913</v>
      </c>
      <c r="F30" s="54">
        <v>46163</v>
      </c>
      <c r="G30" s="19" t="s">
        <v>10</v>
      </c>
      <c r="H30" s="49" t="s">
        <v>979</v>
      </c>
      <c r="I30" s="196" t="s">
        <v>889</v>
      </c>
      <c r="J30" s="142" t="s">
        <v>876</v>
      </c>
      <c r="K30" s="20">
        <v>46164</v>
      </c>
      <c r="L30" s="21" t="str">
        <f>VLOOKUP(K30,'[5]Exchange Rate'!$A$3:$C$21,3,FALSE)</f>
        <v>4024</v>
      </c>
      <c r="M30" s="20" t="str">
        <f t="shared" si="0"/>
        <v>Friday</v>
      </c>
      <c r="N30" s="26">
        <v>170.1</v>
      </c>
      <c r="O30" s="233">
        <v>283.58</v>
      </c>
      <c r="P30" s="22">
        <v>50</v>
      </c>
      <c r="Q30" s="191">
        <v>150</v>
      </c>
      <c r="R30" s="191">
        <v>300.7</v>
      </c>
      <c r="S30" s="182">
        <f t="shared" si="1"/>
        <v>15</v>
      </c>
      <c r="T30" s="192">
        <v>126.99</v>
      </c>
      <c r="U30" s="24">
        <f t="shared" si="2"/>
        <v>74.009999999999991</v>
      </c>
      <c r="V30" s="208"/>
      <c r="W30" s="12"/>
    </row>
    <row r="31" spans="1:25" ht="18" customHeight="1">
      <c r="A31" s="14" t="s">
        <v>207</v>
      </c>
      <c r="B31" s="151">
        <v>1</v>
      </c>
      <c r="C31" s="16" t="str">
        <f>INDEX(PORT!$B$2:$B$20,MATCH('05'!B31,PORT!$A$2:$A$20))</f>
        <v>PNH01</v>
      </c>
      <c r="D31" s="10" t="str">
        <f>INDEX(PORT!$C$2:$C$20,MATCH('05'!B31,PORT!$A$2:$A$20))</f>
        <v>KTI AIR PORT</v>
      </c>
      <c r="E31" s="172" t="s">
        <v>867</v>
      </c>
      <c r="F31" s="144">
        <v>46164</v>
      </c>
      <c r="G31" s="145" t="s">
        <v>10</v>
      </c>
      <c r="H31" s="49" t="s">
        <v>980</v>
      </c>
      <c r="I31" s="196" t="s">
        <v>890</v>
      </c>
      <c r="J31" s="142" t="s">
        <v>877</v>
      </c>
      <c r="K31" s="260">
        <v>46167</v>
      </c>
      <c r="L31" s="21" t="str">
        <f>VLOOKUP(K31,'[5]Exchange Rate'!$A$3:$C$21,3,FALSE)</f>
        <v>4025</v>
      </c>
      <c r="M31" s="20" t="str">
        <f t="shared" si="0"/>
        <v>Monday</v>
      </c>
      <c r="N31" s="148">
        <v>135.94999999999999</v>
      </c>
      <c r="O31" s="233">
        <v>0</v>
      </c>
      <c r="P31" s="22">
        <v>50</v>
      </c>
      <c r="Q31" s="184">
        <v>140</v>
      </c>
      <c r="R31" s="184">
        <v>15.95</v>
      </c>
      <c r="S31" s="182">
        <f t="shared" si="1"/>
        <v>14</v>
      </c>
      <c r="T31" s="185">
        <v>180</v>
      </c>
      <c r="U31" s="24">
        <f t="shared" si="2"/>
        <v>150</v>
      </c>
      <c r="V31" s="29"/>
    </row>
    <row r="32" spans="1:25" ht="18" customHeight="1">
      <c r="A32" s="14" t="s">
        <v>207</v>
      </c>
      <c r="B32" s="143">
        <v>1</v>
      </c>
      <c r="C32" s="16" t="str">
        <f>INDEX(PORT!$B$2:$B$20,MATCH('05'!B32,PORT!$A$2:$A$20))</f>
        <v>PNH01</v>
      </c>
      <c r="D32" s="10" t="str">
        <f>INDEX(PORT!$C$2:$C$20,MATCH('05'!B32,PORT!$A$2:$A$20))</f>
        <v>KTI AIR PORT</v>
      </c>
      <c r="E32" s="215" t="s">
        <v>868</v>
      </c>
      <c r="F32" s="166">
        <v>46164</v>
      </c>
      <c r="G32" s="165" t="s">
        <v>10</v>
      </c>
      <c r="H32" s="49" t="s">
        <v>981</v>
      </c>
      <c r="I32" s="196" t="s">
        <v>891</v>
      </c>
      <c r="J32" s="142" t="s">
        <v>878</v>
      </c>
      <c r="K32" s="261">
        <v>46167</v>
      </c>
      <c r="L32" s="21" t="str">
        <f>VLOOKUP(K32,'[5]Exchange Rate'!$A$3:$C$21,3,FALSE)</f>
        <v>4025</v>
      </c>
      <c r="M32" s="20" t="str">
        <f t="shared" si="0"/>
        <v>Monday</v>
      </c>
      <c r="N32" s="148">
        <v>135.94999999999999</v>
      </c>
      <c r="O32" s="233">
        <v>0</v>
      </c>
      <c r="P32" s="22">
        <v>50</v>
      </c>
      <c r="Q32" s="189">
        <v>140</v>
      </c>
      <c r="R32" s="189">
        <v>4.2</v>
      </c>
      <c r="S32" s="182">
        <f t="shared" si="1"/>
        <v>14</v>
      </c>
      <c r="T32" s="189">
        <v>191.75</v>
      </c>
      <c r="U32" s="24">
        <f t="shared" si="2"/>
        <v>150</v>
      </c>
      <c r="V32" s="31"/>
    </row>
    <row r="33" spans="1:23" ht="18" customHeight="1">
      <c r="A33" s="14" t="s">
        <v>207</v>
      </c>
      <c r="B33" s="15">
        <v>1</v>
      </c>
      <c r="C33" s="16" t="str">
        <f>INDEX(PORT!$B$2:$B$20,MATCH('05'!B33,PORT!$A$2:$A$20))</f>
        <v>PNH01</v>
      </c>
      <c r="D33" s="10" t="str">
        <f>INDEX(PORT!$C$2:$C$20,MATCH('05'!B33,PORT!$A$2:$A$20))</f>
        <v>KTI AIR PORT</v>
      </c>
      <c r="E33" s="18" t="s">
        <v>869</v>
      </c>
      <c r="F33" s="18">
        <v>46164</v>
      </c>
      <c r="G33" s="19" t="s">
        <v>10</v>
      </c>
      <c r="H33" s="49" t="s">
        <v>982</v>
      </c>
      <c r="I33" s="196" t="s">
        <v>892</v>
      </c>
      <c r="J33" s="142" t="s">
        <v>879</v>
      </c>
      <c r="K33" s="194">
        <v>46167</v>
      </c>
      <c r="L33" s="21" t="str">
        <f>VLOOKUP(K33,'[5]Exchange Rate'!$A$3:$C$21,3,FALSE)</f>
        <v>4025</v>
      </c>
      <c r="M33" s="20" t="str">
        <f t="shared" si="0"/>
        <v>Monday</v>
      </c>
      <c r="N33" s="26">
        <v>139.29</v>
      </c>
      <c r="O33" s="233">
        <v>0</v>
      </c>
      <c r="P33" s="22">
        <v>50</v>
      </c>
      <c r="Q33" s="186">
        <v>140</v>
      </c>
      <c r="R33" s="186">
        <v>19.29</v>
      </c>
      <c r="S33" s="182">
        <f t="shared" si="1"/>
        <v>14</v>
      </c>
      <c r="T33" s="186">
        <v>180</v>
      </c>
      <c r="U33" s="24">
        <f t="shared" si="2"/>
        <v>149.99999999999997</v>
      </c>
      <c r="V33" s="19"/>
    </row>
    <row r="34" spans="1:23" ht="18" customHeight="1">
      <c r="A34" s="14" t="s">
        <v>207</v>
      </c>
      <c r="B34" s="59">
        <v>1</v>
      </c>
      <c r="C34" s="16" t="str">
        <f>INDEX(PORT!$B$2:$B$20,MATCH('05'!B34,PORT!$A$2:$A$20))</f>
        <v>PNH01</v>
      </c>
      <c r="D34" s="10" t="str">
        <f>INDEX(PORT!$C$2:$C$20,MATCH('05'!B34,PORT!$A$2:$A$20))</f>
        <v>KTI AIR PORT</v>
      </c>
      <c r="E34" s="60" t="s">
        <v>870</v>
      </c>
      <c r="F34" s="54">
        <v>46164</v>
      </c>
      <c r="G34" s="19" t="s">
        <v>10</v>
      </c>
      <c r="H34" s="49" t="s">
        <v>983</v>
      </c>
      <c r="I34" s="196" t="s">
        <v>893</v>
      </c>
      <c r="J34" s="142" t="s">
        <v>880</v>
      </c>
      <c r="K34" s="20">
        <v>46167</v>
      </c>
      <c r="L34" s="21" t="str">
        <f>VLOOKUP(K34,'[5]Exchange Rate'!$A$3:$C$21,3,FALSE)</f>
        <v>4025</v>
      </c>
      <c r="M34" s="20" t="str">
        <f t="shared" si="0"/>
        <v>Monday</v>
      </c>
      <c r="N34" s="26">
        <v>135.94999999999999</v>
      </c>
      <c r="O34" s="233">
        <v>0</v>
      </c>
      <c r="P34" s="22">
        <v>50</v>
      </c>
      <c r="Q34" s="191">
        <v>140</v>
      </c>
      <c r="R34" s="191">
        <v>15.95</v>
      </c>
      <c r="S34" s="182">
        <f t="shared" si="1"/>
        <v>14</v>
      </c>
      <c r="T34" s="192">
        <v>180</v>
      </c>
      <c r="U34" s="24">
        <f t="shared" si="2"/>
        <v>150</v>
      </c>
      <c r="V34" s="58"/>
    </row>
    <row r="35" spans="1:23" ht="18" customHeight="1">
      <c r="A35" s="14" t="s">
        <v>207</v>
      </c>
      <c r="B35" s="59">
        <v>1</v>
      </c>
      <c r="C35" s="16" t="str">
        <f>INDEX(PORT!$B$2:$B$20,MATCH('05'!B35,PORT!$A$2:$A$20))</f>
        <v>PNH01</v>
      </c>
      <c r="D35" s="10" t="str">
        <f>INDEX(PORT!$C$2:$C$20,MATCH('05'!B35,PORT!$A$2:$A$20))</f>
        <v>KTI AIR PORT</v>
      </c>
      <c r="E35" s="60" t="s">
        <v>871</v>
      </c>
      <c r="F35" s="54">
        <v>46164</v>
      </c>
      <c r="G35" s="19" t="s">
        <v>10</v>
      </c>
      <c r="H35" s="49" t="s">
        <v>984</v>
      </c>
      <c r="I35" s="196" t="s">
        <v>898</v>
      </c>
      <c r="J35" s="142" t="s">
        <v>923</v>
      </c>
      <c r="K35" s="20">
        <v>46167</v>
      </c>
      <c r="L35" s="21" t="str">
        <f>VLOOKUP(K35,'[5]Exchange Rate'!$A$3:$C$21,3,FALSE)</f>
        <v>4025</v>
      </c>
      <c r="M35" s="20" t="str">
        <f t="shared" ref="M35:M55" si="3">TEXT(K35,"dddd")</f>
        <v>Monday</v>
      </c>
      <c r="N35" s="26">
        <v>135.94999999999999</v>
      </c>
      <c r="O35" s="233">
        <v>0</v>
      </c>
      <c r="P35" s="22">
        <v>50</v>
      </c>
      <c r="Q35" s="191">
        <v>140</v>
      </c>
      <c r="R35" s="191">
        <v>15.95</v>
      </c>
      <c r="S35" s="182">
        <f t="shared" si="1"/>
        <v>14</v>
      </c>
      <c r="T35" s="192">
        <v>180</v>
      </c>
      <c r="U35" s="24">
        <f t="shared" si="2"/>
        <v>150</v>
      </c>
      <c r="V35" s="58"/>
    </row>
    <row r="36" spans="1:23" s="139" customFormat="1" ht="15.75">
      <c r="A36" s="14" t="s">
        <v>207</v>
      </c>
      <c r="B36" s="59">
        <v>1</v>
      </c>
      <c r="C36" s="16" t="str">
        <f>INDEX(PORT!$B$2:$B$20,MATCH('05'!B36,PORT!$A$2:$A$20))</f>
        <v>PNH01</v>
      </c>
      <c r="D36" s="10" t="str">
        <f>INDEX(PORT!$C$2:$C$20,MATCH('05'!B36,PORT!$A$2:$A$20))</f>
        <v>KTI AIR PORT</v>
      </c>
      <c r="E36" s="60" t="s">
        <v>872</v>
      </c>
      <c r="F36" s="54">
        <v>46164</v>
      </c>
      <c r="G36" s="19" t="s">
        <v>4</v>
      </c>
      <c r="H36" s="49" t="s">
        <v>985</v>
      </c>
      <c r="I36" s="196" t="s">
        <v>899</v>
      </c>
      <c r="J36" s="142" t="s">
        <v>884</v>
      </c>
      <c r="K36" s="20">
        <v>46167</v>
      </c>
      <c r="L36" s="21" t="str">
        <f>VLOOKUP(K36,'[5]Exchange Rate'!$A$3:$C$21,3,FALSE)</f>
        <v>4025</v>
      </c>
      <c r="M36" s="20" t="str">
        <f t="shared" si="3"/>
        <v>Monday</v>
      </c>
      <c r="N36" s="26">
        <v>137.44999999999999</v>
      </c>
      <c r="O36" s="233">
        <v>0</v>
      </c>
      <c r="P36" s="22">
        <v>50</v>
      </c>
      <c r="Q36" s="191">
        <v>140</v>
      </c>
      <c r="R36" s="191">
        <v>17.45</v>
      </c>
      <c r="S36" s="182">
        <f t="shared" si="1"/>
        <v>14</v>
      </c>
      <c r="T36" s="192">
        <v>180</v>
      </c>
      <c r="U36" s="24">
        <f t="shared" si="2"/>
        <v>150</v>
      </c>
      <c r="V36" s="286"/>
      <c r="W36" s="9"/>
    </row>
    <row r="37" spans="1:23" s="201" customFormat="1" ht="18" customHeight="1">
      <c r="A37" s="14" t="s">
        <v>207</v>
      </c>
      <c r="B37" s="15">
        <v>1</v>
      </c>
      <c r="C37" s="16" t="str">
        <f>INDEX(PORT!$B$2:$B$20,MATCH('05'!B37,PORT!$A$2:$A$20))</f>
        <v>PNH01</v>
      </c>
      <c r="D37" s="10" t="str">
        <f>INDEX(PORT!$C$2:$C$20,MATCH('05'!B37,PORT!$A$2:$A$20))</f>
        <v>KTI AIR PORT</v>
      </c>
      <c r="E37" s="216" t="s">
        <v>873</v>
      </c>
      <c r="F37" s="18">
        <v>46164</v>
      </c>
      <c r="G37" s="19" t="s">
        <v>4</v>
      </c>
      <c r="H37" s="49" t="s">
        <v>986</v>
      </c>
      <c r="I37" s="196" t="s">
        <v>900</v>
      </c>
      <c r="J37" s="142" t="s">
        <v>919</v>
      </c>
      <c r="K37" s="194">
        <v>46167</v>
      </c>
      <c r="L37" s="21" t="str">
        <f>VLOOKUP(K37,'[5]Exchange Rate'!$A$3:$C$21,3,FALSE)</f>
        <v>4025</v>
      </c>
      <c r="M37" s="20" t="str">
        <f t="shared" si="3"/>
        <v>Monday</v>
      </c>
      <c r="N37" s="26">
        <v>135.94999999999999</v>
      </c>
      <c r="O37" s="233">
        <v>0</v>
      </c>
      <c r="P37" s="22">
        <v>50</v>
      </c>
      <c r="Q37" s="183">
        <v>140</v>
      </c>
      <c r="R37" s="183">
        <v>15.95</v>
      </c>
      <c r="S37" s="182">
        <f t="shared" si="1"/>
        <v>14</v>
      </c>
      <c r="T37" s="183">
        <v>180</v>
      </c>
      <c r="U37" s="24">
        <f t="shared" si="2"/>
        <v>150</v>
      </c>
      <c r="V37" s="286"/>
      <c r="W37" s="9"/>
    </row>
    <row r="38" spans="1:23" s="12" customFormat="1" ht="18" customHeight="1">
      <c r="A38" s="14" t="s">
        <v>207</v>
      </c>
      <c r="B38" s="15">
        <v>1</v>
      </c>
      <c r="C38" s="16" t="str">
        <f>INDEX(PORT!$B$2:$B$20,MATCH('05'!B38,PORT!$A$2:$A$20))</f>
        <v>PNH01</v>
      </c>
      <c r="D38" s="10" t="str">
        <f>INDEX(PORT!$C$2:$C$20,MATCH('05'!B38,PORT!$A$2:$A$20))</f>
        <v>KTI AIR PORT</v>
      </c>
      <c r="E38" s="18" t="s">
        <v>874</v>
      </c>
      <c r="F38" s="18">
        <v>46164</v>
      </c>
      <c r="G38" s="19" t="s">
        <v>4</v>
      </c>
      <c r="H38" s="49" t="s">
        <v>987</v>
      </c>
      <c r="I38" s="196" t="s">
        <v>901</v>
      </c>
      <c r="J38" s="142" t="s">
        <v>920</v>
      </c>
      <c r="K38" s="194">
        <v>46167</v>
      </c>
      <c r="L38" s="21" t="str">
        <f>VLOOKUP(K38,'[5]Exchange Rate'!$A$3:$C$21,3,FALSE)</f>
        <v>4025</v>
      </c>
      <c r="M38" s="20" t="str">
        <f t="shared" si="3"/>
        <v>Monday</v>
      </c>
      <c r="N38" s="26">
        <v>135.94999999999999</v>
      </c>
      <c r="O38" s="233">
        <v>0</v>
      </c>
      <c r="P38" s="22">
        <v>50</v>
      </c>
      <c r="Q38" s="203">
        <v>140</v>
      </c>
      <c r="R38" s="203">
        <v>15.95</v>
      </c>
      <c r="S38" s="204">
        <f t="shared" si="1"/>
        <v>14</v>
      </c>
      <c r="T38" s="203">
        <v>180</v>
      </c>
      <c r="U38" s="24">
        <f t="shared" si="2"/>
        <v>150</v>
      </c>
      <c r="V38" s="286"/>
      <c r="W38" s="9"/>
    </row>
    <row r="39" spans="1:23" s="12" customFormat="1" ht="18" customHeight="1">
      <c r="A39" s="14" t="s">
        <v>207</v>
      </c>
      <c r="B39" s="15">
        <v>1</v>
      </c>
      <c r="C39" s="16" t="str">
        <f>INDEX(PORT!$B$2:$B$20,MATCH('05'!B39,PORT!$A$2:$A$20))</f>
        <v>PNH01</v>
      </c>
      <c r="D39" s="10" t="str">
        <f>INDEX(PORT!$C$2:$C$20,MATCH('05'!B39,PORT!$A$2:$A$20))</f>
        <v>KTI AIR PORT</v>
      </c>
      <c r="E39" s="18" t="s">
        <v>875</v>
      </c>
      <c r="F39" s="18">
        <v>46164</v>
      </c>
      <c r="G39" s="19" t="s">
        <v>4</v>
      </c>
      <c r="H39" s="49" t="s">
        <v>988</v>
      </c>
      <c r="I39" s="196" t="s">
        <v>907</v>
      </c>
      <c r="J39" s="142" t="s">
        <v>921</v>
      </c>
      <c r="K39" s="194">
        <v>46167</v>
      </c>
      <c r="L39" s="21" t="str">
        <f>VLOOKUP(K39,'[5]Exchange Rate'!$A$3:$C$21,3,FALSE)</f>
        <v>4025</v>
      </c>
      <c r="M39" s="20" t="str">
        <f t="shared" si="3"/>
        <v>Monday</v>
      </c>
      <c r="N39" s="26">
        <v>135.94999999999999</v>
      </c>
      <c r="O39" s="233">
        <v>0</v>
      </c>
      <c r="P39" s="22">
        <v>50</v>
      </c>
      <c r="Q39" s="186">
        <v>140</v>
      </c>
      <c r="R39" s="186">
        <v>4.2</v>
      </c>
      <c r="S39" s="182">
        <f t="shared" si="1"/>
        <v>14</v>
      </c>
      <c r="T39" s="186">
        <v>191.75</v>
      </c>
      <c r="U39" s="24">
        <f t="shared" si="2"/>
        <v>150</v>
      </c>
      <c r="V39" s="286"/>
      <c r="W39" s="9"/>
    </row>
    <row r="40" spans="1:23" s="12" customFormat="1" ht="18" customHeight="1">
      <c r="A40" s="14" t="s">
        <v>207</v>
      </c>
      <c r="B40" s="15">
        <v>1</v>
      </c>
      <c r="C40" s="16" t="str">
        <f>INDEX(PORT!$B$2:$B$20,MATCH('05'!B40,PORT!$A$2:$A$20))</f>
        <v>PNH01</v>
      </c>
      <c r="D40" s="10" t="str">
        <f>INDEX(PORT!$C$2:$C$20,MATCH('05'!B40,PORT!$A$2:$A$20))</f>
        <v>KTI AIR PORT</v>
      </c>
      <c r="E40" s="18" t="s">
        <v>906</v>
      </c>
      <c r="F40" s="18">
        <v>46164</v>
      </c>
      <c r="G40" s="19" t="s">
        <v>351</v>
      </c>
      <c r="H40" s="49" t="s">
        <v>989</v>
      </c>
      <c r="I40" s="196" t="s">
        <v>914</v>
      </c>
      <c r="J40" s="142" t="s">
        <v>903</v>
      </c>
      <c r="K40" s="194">
        <v>46167</v>
      </c>
      <c r="L40" s="21" t="str">
        <f>VLOOKUP(K40,'[5]Exchange Rate'!$A$3:$C$21,3,FALSE)</f>
        <v>4025</v>
      </c>
      <c r="M40" s="20" t="str">
        <f t="shared" si="3"/>
        <v>Monday</v>
      </c>
      <c r="N40" s="26">
        <v>228</v>
      </c>
      <c r="O40" s="233">
        <v>0</v>
      </c>
      <c r="P40" s="22">
        <v>50</v>
      </c>
      <c r="Q40" s="186">
        <v>210</v>
      </c>
      <c r="R40" s="186">
        <v>108</v>
      </c>
      <c r="S40" s="182">
        <f t="shared" si="1"/>
        <v>21</v>
      </c>
      <c r="T40" s="186">
        <v>180</v>
      </c>
      <c r="U40" s="24">
        <f t="shared" si="2"/>
        <v>220</v>
      </c>
      <c r="V40" s="19"/>
    </row>
    <row r="41" spans="1:23" s="12" customFormat="1" ht="18" customHeight="1">
      <c r="A41" s="14" t="s">
        <v>207</v>
      </c>
      <c r="B41" s="15">
        <v>1</v>
      </c>
      <c r="C41" s="16" t="str">
        <f>INDEX(PORT!$B$2:$B$20,MATCH('05'!B41,PORT!$A$2:$A$20))</f>
        <v>PNH01</v>
      </c>
      <c r="D41" s="10" t="str">
        <f>INDEX(PORT!$C$2:$C$20,MATCH('05'!B41,PORT!$A$2:$A$20))</f>
        <v>KTI AIR PORT</v>
      </c>
      <c r="E41" s="18" t="s">
        <v>894</v>
      </c>
      <c r="F41" s="18">
        <v>46167</v>
      </c>
      <c r="G41" s="19" t="s">
        <v>351</v>
      </c>
      <c r="H41" s="49" t="s">
        <v>990</v>
      </c>
      <c r="I41" s="196" t="s">
        <v>915</v>
      </c>
      <c r="J41" s="142" t="s">
        <v>904</v>
      </c>
      <c r="K41" s="194">
        <v>46168</v>
      </c>
      <c r="L41" s="21" t="str">
        <f>VLOOKUP(K41,'[5]Exchange Rate'!$A$3:$C$21,3,FALSE)</f>
        <v>4029</v>
      </c>
      <c r="M41" s="20" t="str">
        <f t="shared" si="3"/>
        <v>Tuesday</v>
      </c>
      <c r="N41" s="26">
        <v>187.17</v>
      </c>
      <c r="O41" s="233">
        <v>0</v>
      </c>
      <c r="P41" s="22">
        <v>50</v>
      </c>
      <c r="Q41" s="185">
        <v>175</v>
      </c>
      <c r="R41" s="185">
        <v>67.17</v>
      </c>
      <c r="S41" s="182">
        <f t="shared" si="1"/>
        <v>17.5</v>
      </c>
      <c r="T41" s="185">
        <v>180</v>
      </c>
      <c r="U41" s="24">
        <f t="shared" si="2"/>
        <v>185.00000000000003</v>
      </c>
      <c r="V41" s="31"/>
      <c r="W41" s="9"/>
    </row>
    <row r="42" spans="1:23" s="12" customFormat="1" ht="18" customHeight="1">
      <c r="A42" s="14" t="s">
        <v>207</v>
      </c>
      <c r="B42" s="15">
        <v>1</v>
      </c>
      <c r="C42" s="16" t="str">
        <f>INDEX(PORT!$B$2:$B$20,MATCH('05'!B42,PORT!$A$2:$A$20))</f>
        <v>PNH01</v>
      </c>
      <c r="D42" s="10" t="str">
        <f>INDEX(PORT!$C$2:$C$20,MATCH('05'!B42,PORT!$A$2:$A$20))</f>
        <v>KTI AIR PORT</v>
      </c>
      <c r="E42" s="16" t="s">
        <v>895</v>
      </c>
      <c r="F42" s="54">
        <v>46167</v>
      </c>
      <c r="G42" s="19" t="s">
        <v>351</v>
      </c>
      <c r="H42" s="49" t="s">
        <v>991</v>
      </c>
      <c r="I42" s="196" t="s">
        <v>916</v>
      </c>
      <c r="J42" s="142" t="s">
        <v>905</v>
      </c>
      <c r="K42" s="20">
        <v>46168</v>
      </c>
      <c r="L42" s="21" t="str">
        <f>VLOOKUP(K42,'[5]Exchange Rate'!$A$3:$C$21,3,FALSE)</f>
        <v>4029</v>
      </c>
      <c r="M42" s="20" t="str">
        <f t="shared" si="3"/>
        <v>Tuesday</v>
      </c>
      <c r="N42" s="55">
        <v>247.89</v>
      </c>
      <c r="O42" s="233">
        <v>0</v>
      </c>
      <c r="P42" s="22">
        <v>50</v>
      </c>
      <c r="Q42" s="191">
        <v>210</v>
      </c>
      <c r="R42" s="191">
        <v>127.89</v>
      </c>
      <c r="S42" s="182">
        <f t="shared" si="1"/>
        <v>21</v>
      </c>
      <c r="T42" s="192">
        <v>180</v>
      </c>
      <c r="U42" s="24">
        <f t="shared" si="2"/>
        <v>220</v>
      </c>
      <c r="V42" s="58"/>
      <c r="W42" s="139"/>
    </row>
    <row r="43" spans="1:23" s="12" customFormat="1" ht="18" customHeight="1">
      <c r="A43" s="14" t="s">
        <v>207</v>
      </c>
      <c r="B43" s="15">
        <v>1</v>
      </c>
      <c r="C43" s="16" t="str">
        <f>INDEX(PORT!$B$2:$B$20,MATCH('05'!B43,PORT!$A$2:$A$20))</f>
        <v>PNH01</v>
      </c>
      <c r="D43" s="10" t="str">
        <f>INDEX(PORT!$C$2:$C$20,MATCH('05'!B43,PORT!$A$2:$A$20))</f>
        <v>KTI AIR PORT</v>
      </c>
      <c r="E43" s="216" t="s">
        <v>897</v>
      </c>
      <c r="F43" s="18">
        <v>46169</v>
      </c>
      <c r="G43" s="19" t="s">
        <v>351</v>
      </c>
      <c r="H43" s="49" t="s">
        <v>992</v>
      </c>
      <c r="I43" s="196" t="s">
        <v>917</v>
      </c>
      <c r="J43" s="142" t="s">
        <v>908</v>
      </c>
      <c r="K43" s="194">
        <v>46170</v>
      </c>
      <c r="L43" s="21" t="str">
        <f>VLOOKUP(K43,'[5]Exchange Rate'!$A$3:$C$21,3,FALSE)</f>
        <v>4027</v>
      </c>
      <c r="M43" s="20" t="str">
        <f t="shared" si="3"/>
        <v>Thursday</v>
      </c>
      <c r="N43" s="26">
        <v>291.38</v>
      </c>
      <c r="O43" s="233">
        <v>0</v>
      </c>
      <c r="P43" s="22">
        <v>50</v>
      </c>
      <c r="Q43" s="183">
        <v>165</v>
      </c>
      <c r="R43" s="183">
        <v>71.38</v>
      </c>
      <c r="S43" s="182">
        <f t="shared" si="1"/>
        <v>16.5</v>
      </c>
      <c r="T43" s="183">
        <v>350.75</v>
      </c>
      <c r="U43" s="24">
        <f t="shared" si="2"/>
        <v>245.75</v>
      </c>
      <c r="V43" s="19"/>
    </row>
    <row r="44" spans="1:23" s="12" customFormat="1" ht="18" customHeight="1">
      <c r="A44" s="14" t="s">
        <v>207</v>
      </c>
      <c r="B44" s="15">
        <v>4</v>
      </c>
      <c r="C44" s="16" t="str">
        <f>INDEX(PORT!$B$2:$B$20,MATCH('05'!B44,PORT!$A$2:$A$20))</f>
        <v>PNH04</v>
      </c>
      <c r="D44" s="10" t="str">
        <f>INDEX(PORT!$C$2:$C$20,MATCH('05'!B44,PORT!$A$2:$A$20))</f>
        <v>PNH PORT</v>
      </c>
      <c r="E44" s="16" t="s">
        <v>911</v>
      </c>
      <c r="F44" s="54">
        <v>46170</v>
      </c>
      <c r="G44" s="19" t="s">
        <v>4</v>
      </c>
      <c r="H44" s="49" t="s">
        <v>993</v>
      </c>
      <c r="I44" s="196" t="s">
        <v>918</v>
      </c>
      <c r="J44" s="142" t="s">
        <v>922</v>
      </c>
      <c r="K44" s="20">
        <v>46171</v>
      </c>
      <c r="L44" s="21" t="str">
        <f>VLOOKUP(K44,'[5]Exchange Rate'!$A$3:$C$21,3,FALSE)</f>
        <v>4026</v>
      </c>
      <c r="M44" s="20" t="str">
        <f t="shared" si="3"/>
        <v>Friday</v>
      </c>
      <c r="N44" s="55">
        <v>563.25</v>
      </c>
      <c r="O44" s="233">
        <v>0</v>
      </c>
      <c r="P44" s="22">
        <v>50</v>
      </c>
      <c r="Q44" s="191">
        <v>245</v>
      </c>
      <c r="R44" s="191">
        <v>143.25</v>
      </c>
      <c r="S44" s="182">
        <f t="shared" si="1"/>
        <v>24.5</v>
      </c>
      <c r="T44" s="192">
        <v>574</v>
      </c>
      <c r="U44" s="24">
        <f t="shared" si="2"/>
        <v>349</v>
      </c>
      <c r="V44" s="286"/>
    </row>
    <row r="45" spans="1:23" s="12" customFormat="1" ht="18" customHeight="1">
      <c r="A45" s="14"/>
      <c r="B45" s="59">
        <v>4</v>
      </c>
      <c r="C45" s="16" t="str">
        <f>INDEX(PORT!$B$2:$B$20,MATCH('05'!B45,PORT!$A$2:$A$20))</f>
        <v>PNH04</v>
      </c>
      <c r="D45" s="10" t="str">
        <f>INDEX(PORT!$C$2:$C$20,MATCH('05'!B45,PORT!$A$2:$A$20))</f>
        <v>PNH PORT</v>
      </c>
      <c r="E45" s="60" t="s">
        <v>928</v>
      </c>
      <c r="F45" s="54">
        <v>46149</v>
      </c>
      <c r="G45" s="19" t="s">
        <v>41</v>
      </c>
      <c r="H45" s="49"/>
      <c r="I45" s="196" t="s">
        <v>936</v>
      </c>
      <c r="J45" s="146" t="s">
        <v>943</v>
      </c>
      <c r="K45" s="20">
        <v>46171</v>
      </c>
      <c r="L45" s="21" t="str">
        <f>VLOOKUP(K45,'[5]Exchange Rate'!$A$3:$C$21,3,FALSE)</f>
        <v>4026</v>
      </c>
      <c r="M45" s="20" t="str">
        <f t="shared" si="3"/>
        <v>Friday</v>
      </c>
      <c r="N45" s="26">
        <v>0</v>
      </c>
      <c r="O45" s="233">
        <v>462</v>
      </c>
      <c r="P45" s="22">
        <v>0</v>
      </c>
      <c r="Q45" s="191">
        <v>0</v>
      </c>
      <c r="R45" s="191">
        <v>462</v>
      </c>
      <c r="S45" s="204">
        <f t="shared" si="1"/>
        <v>0</v>
      </c>
      <c r="T45" s="207">
        <v>94</v>
      </c>
      <c r="U45" s="24">
        <f t="shared" si="2"/>
        <v>94</v>
      </c>
      <c r="V45" s="60" t="s">
        <v>927</v>
      </c>
    </row>
    <row r="46" spans="1:23" s="12" customFormat="1" ht="18" customHeight="1">
      <c r="A46" s="14"/>
      <c r="B46" s="143">
        <v>19</v>
      </c>
      <c r="C46" s="16" t="str">
        <f>INDEX(PORT!$B$2:$B$20,MATCH('05'!B46,PORT!$A$2:$A$20))</f>
        <v>PNH19</v>
      </c>
      <c r="D46" s="10" t="str">
        <f>INDEX(PORT!$C$2:$C$20,MATCH('05'!B46,PORT!$A$2:$A$20))</f>
        <v>TEC SRUN DRYPORT</v>
      </c>
      <c r="E46" s="60" t="s">
        <v>1001</v>
      </c>
      <c r="F46" s="144"/>
      <c r="G46" s="145" t="s">
        <v>10</v>
      </c>
      <c r="H46" s="140"/>
      <c r="I46" s="196" t="s">
        <v>937</v>
      </c>
      <c r="J46" s="146"/>
      <c r="K46" s="147">
        <v>46173</v>
      </c>
      <c r="L46" s="21">
        <f>VLOOKUP(K46,'[5]Exchange Rate'!$A$3:$C$21,3,FALSE)</f>
        <v>4026</v>
      </c>
      <c r="M46" s="159" t="str">
        <f t="shared" si="3"/>
        <v>Sunday</v>
      </c>
      <c r="N46" s="148">
        <v>0</v>
      </c>
      <c r="O46" s="141">
        <v>193.6</v>
      </c>
      <c r="P46" s="161">
        <v>0</v>
      </c>
      <c r="Q46" s="193">
        <v>0</v>
      </c>
      <c r="R46" s="187">
        <v>193.6</v>
      </c>
      <c r="S46" s="184"/>
      <c r="T46" s="187">
        <v>0</v>
      </c>
      <c r="U46" s="24">
        <f t="shared" si="2"/>
        <v>0</v>
      </c>
      <c r="V46" s="267"/>
      <c r="W46" s="50"/>
    </row>
    <row r="47" spans="1:23" s="12" customFormat="1" ht="18" customHeight="1">
      <c r="A47" s="14"/>
      <c r="B47" s="59">
        <v>4</v>
      </c>
      <c r="C47" s="16" t="str">
        <f>INDEX(PORT!$B$2:$B$20,MATCH('05'!B48,PORT!$A$2:$A$20))</f>
        <v>PNH04</v>
      </c>
      <c r="D47" s="10" t="str">
        <f>INDEX(PORT!$C$2:$C$20,MATCH('05'!B48,PORT!$A$2:$A$20))</f>
        <v>PNH PORT</v>
      </c>
      <c r="E47" s="60" t="s">
        <v>929</v>
      </c>
      <c r="F47" s="54">
        <v>46157</v>
      </c>
      <c r="G47" s="19" t="s">
        <v>41</v>
      </c>
      <c r="H47" s="49"/>
      <c r="I47" s="196" t="s">
        <v>938</v>
      </c>
      <c r="J47" s="146" t="s">
        <v>945</v>
      </c>
      <c r="K47" s="20">
        <v>46171</v>
      </c>
      <c r="L47" s="21" t="str">
        <f>VLOOKUP(K47,'[5]Exchange Rate'!$A$3:$C$21,3,FALSE)</f>
        <v>4026</v>
      </c>
      <c r="M47" s="20" t="str">
        <f t="shared" si="3"/>
        <v>Friday</v>
      </c>
      <c r="N47" s="26">
        <v>0</v>
      </c>
      <c r="O47" s="233">
        <v>575.72</v>
      </c>
      <c r="P47" s="22">
        <v>0</v>
      </c>
      <c r="Q47" s="191">
        <v>0</v>
      </c>
      <c r="R47" s="191">
        <v>575.72</v>
      </c>
      <c r="S47" s="182">
        <f t="shared" ref="S47:S53" si="4">ROUND(Q47*10%,2)</f>
        <v>0</v>
      </c>
      <c r="T47" s="192">
        <v>203</v>
      </c>
      <c r="U47" s="24">
        <f t="shared" si="2"/>
        <v>203</v>
      </c>
      <c r="V47" s="208" t="s">
        <v>930</v>
      </c>
    </row>
    <row r="48" spans="1:23" s="12" customFormat="1" ht="18" customHeight="1">
      <c r="A48" s="14"/>
      <c r="B48" s="59">
        <v>4</v>
      </c>
      <c r="C48" s="16" t="str">
        <f>INDEX(PORT!$B$2:$B$20,MATCH('05'!B49,PORT!$A$2:$A$20))</f>
        <v>PNH04</v>
      </c>
      <c r="D48" s="10" t="str">
        <f>INDEX(PORT!$C$2:$C$20,MATCH('05'!B49,PORT!$A$2:$A$20))</f>
        <v>PNH PORT</v>
      </c>
      <c r="E48" s="60" t="s">
        <v>931</v>
      </c>
      <c r="F48" s="54">
        <v>46160</v>
      </c>
      <c r="G48" s="19" t="s">
        <v>41</v>
      </c>
      <c r="H48" s="49"/>
      <c r="I48" s="196" t="s">
        <v>939</v>
      </c>
      <c r="J48" s="146" t="s">
        <v>946</v>
      </c>
      <c r="K48" s="20">
        <v>46171</v>
      </c>
      <c r="L48" s="21" t="str">
        <f>VLOOKUP(K48,'[5]Exchange Rate'!$A$3:$C$21,3,FALSE)</f>
        <v>4026</v>
      </c>
      <c r="M48" s="20" t="str">
        <f t="shared" si="3"/>
        <v>Friday</v>
      </c>
      <c r="N48" s="26">
        <v>0</v>
      </c>
      <c r="O48" s="233">
        <v>451.2</v>
      </c>
      <c r="P48" s="22">
        <v>0</v>
      </c>
      <c r="Q48" s="191">
        <v>0</v>
      </c>
      <c r="R48" s="191">
        <v>451.2</v>
      </c>
      <c r="S48" s="182">
        <f t="shared" si="4"/>
        <v>0</v>
      </c>
      <c r="T48" s="192">
        <v>141.5</v>
      </c>
      <c r="U48" s="24">
        <f t="shared" si="2"/>
        <v>141.50000000000006</v>
      </c>
      <c r="V48" s="208" t="s">
        <v>932</v>
      </c>
    </row>
    <row r="49" spans="1:22" s="201" customFormat="1" ht="18" customHeight="1">
      <c r="A49" s="14"/>
      <c r="B49" s="59">
        <v>4</v>
      </c>
      <c r="C49" s="16" t="str">
        <f>INDEX(PORT!$B$2:$B$20,MATCH('05'!B50,PORT!$A$2:$A$20))</f>
        <v>PNH04</v>
      </c>
      <c r="D49" s="10" t="str">
        <f>INDEX(PORT!$C$2:$C$20,MATCH('05'!B50,PORT!$A$2:$A$20))</f>
        <v>PNH PORT</v>
      </c>
      <c r="E49" s="60" t="s">
        <v>995</v>
      </c>
      <c r="F49" s="54">
        <v>46162</v>
      </c>
      <c r="G49" s="19" t="s">
        <v>41</v>
      </c>
      <c r="H49" s="49"/>
      <c r="I49" s="196" t="s">
        <v>940</v>
      </c>
      <c r="J49" s="146" t="s">
        <v>947</v>
      </c>
      <c r="K49" s="20">
        <v>46171</v>
      </c>
      <c r="L49" s="21" t="str">
        <f>VLOOKUP(K49,'[5]Exchange Rate'!$A$3:$C$21,3,FALSE)</f>
        <v>4026</v>
      </c>
      <c r="M49" s="20" t="str">
        <f t="shared" si="3"/>
        <v>Friday</v>
      </c>
      <c r="N49" s="26">
        <v>0</v>
      </c>
      <c r="O49" s="233">
        <v>240.03</v>
      </c>
      <c r="P49" s="22">
        <v>0</v>
      </c>
      <c r="Q49" s="191">
        <v>0</v>
      </c>
      <c r="R49" s="191">
        <v>240.03</v>
      </c>
      <c r="S49" s="182">
        <f t="shared" si="4"/>
        <v>0</v>
      </c>
      <c r="T49" s="192">
        <v>141.5</v>
      </c>
      <c r="U49" s="24">
        <f t="shared" si="2"/>
        <v>141.49999999999997</v>
      </c>
      <c r="V49" s="60" t="s">
        <v>994</v>
      </c>
    </row>
    <row r="50" spans="1:22" s="201" customFormat="1" ht="18" customHeight="1">
      <c r="A50" s="14"/>
      <c r="B50" s="59">
        <v>4</v>
      </c>
      <c r="C50" s="16" t="str">
        <f>INDEX(PORT!$B$2:$B$20,MATCH('05'!B51,PORT!$A$2:$A$20))</f>
        <v>PNH04</v>
      </c>
      <c r="D50" s="10" t="str">
        <f>INDEX(PORT!$C$2:$C$20,MATCH('05'!B51,PORT!$A$2:$A$20))</f>
        <v>PNH PORT</v>
      </c>
      <c r="E50" s="60" t="s">
        <v>933</v>
      </c>
      <c r="F50" s="54">
        <v>46168</v>
      </c>
      <c r="G50" s="19" t="s">
        <v>41</v>
      </c>
      <c r="H50" s="49"/>
      <c r="I50" s="196" t="s">
        <v>941</v>
      </c>
      <c r="J50" s="146" t="s">
        <v>948</v>
      </c>
      <c r="K50" s="20">
        <v>46171</v>
      </c>
      <c r="L50" s="21" t="str">
        <f>VLOOKUP(K50,'[5]Exchange Rate'!$A$3:$C$21,3,FALSE)</f>
        <v>4026</v>
      </c>
      <c r="M50" s="20" t="str">
        <f t="shared" si="3"/>
        <v>Friday</v>
      </c>
      <c r="N50" s="26">
        <v>0</v>
      </c>
      <c r="O50" s="233">
        <v>1453.65</v>
      </c>
      <c r="P50" s="22">
        <v>0</v>
      </c>
      <c r="Q50" s="191">
        <v>0</v>
      </c>
      <c r="R50" s="191">
        <v>1453.65</v>
      </c>
      <c r="S50" s="204">
        <f t="shared" si="4"/>
        <v>0</v>
      </c>
      <c r="T50" s="207">
        <v>268</v>
      </c>
      <c r="U50" s="24">
        <f t="shared" si="2"/>
        <v>268</v>
      </c>
      <c r="V50" s="60" t="s">
        <v>950</v>
      </c>
    </row>
    <row r="51" spans="1:22" s="201" customFormat="1" ht="18" customHeight="1">
      <c r="A51" s="14"/>
      <c r="B51" s="59">
        <v>4</v>
      </c>
      <c r="C51" s="16" t="str">
        <f>INDEX(PORT!$B$2:$B$20,MATCH('05'!B52,PORT!$A$2:$A$20))</f>
        <v>PNH04</v>
      </c>
      <c r="D51" s="10" t="str">
        <f>INDEX(PORT!$C$2:$C$20,MATCH('05'!B52,PORT!$A$2:$A$20))</f>
        <v>PNH PORT</v>
      </c>
      <c r="E51" s="60" t="s">
        <v>934</v>
      </c>
      <c r="F51" s="54">
        <v>46170</v>
      </c>
      <c r="G51" s="19" t="s">
        <v>41</v>
      </c>
      <c r="H51" s="49"/>
      <c r="I51" s="196" t="s">
        <v>942</v>
      </c>
      <c r="J51" s="146" t="s">
        <v>949</v>
      </c>
      <c r="K51" s="20">
        <v>46171</v>
      </c>
      <c r="L51" s="21" t="str">
        <f>VLOOKUP(K51,'[5]Exchange Rate'!$A$3:$C$21,3,FALSE)</f>
        <v>4026</v>
      </c>
      <c r="M51" s="20" t="str">
        <f t="shared" si="3"/>
        <v>Friday</v>
      </c>
      <c r="N51" s="26">
        <v>0</v>
      </c>
      <c r="O51" s="233">
        <v>729.88</v>
      </c>
      <c r="P51" s="22">
        <v>0</v>
      </c>
      <c r="Q51" s="191">
        <v>0</v>
      </c>
      <c r="R51" s="191">
        <v>729.88</v>
      </c>
      <c r="S51" s="204">
        <f t="shared" si="4"/>
        <v>0</v>
      </c>
      <c r="T51" s="207">
        <v>160</v>
      </c>
      <c r="U51" s="24">
        <f t="shared" si="2"/>
        <v>160</v>
      </c>
      <c r="V51" s="60" t="s">
        <v>935</v>
      </c>
    </row>
    <row r="52" spans="1:22" s="50" customFormat="1" ht="18" customHeight="1">
      <c r="A52" s="14"/>
      <c r="B52" s="143">
        <v>4</v>
      </c>
      <c r="C52" s="16" t="str">
        <f>INDEX(PORT!$B$2:$B$20,MATCH('05'!B53,PORT!$A$2:$A$20))</f>
        <v>PNH19</v>
      </c>
      <c r="D52" s="10" t="str">
        <f>INDEX(PORT!$C$2:$C$20,MATCH('05'!B53,PORT!$A$2:$A$20))</f>
        <v>TEC SRUN DRYPORT</v>
      </c>
      <c r="E52" s="60" t="s">
        <v>996</v>
      </c>
      <c r="F52" s="144">
        <v>46174</v>
      </c>
      <c r="G52" s="145" t="s">
        <v>41</v>
      </c>
      <c r="H52" s="140"/>
      <c r="I52" s="196" t="s">
        <v>1000</v>
      </c>
      <c r="J52" s="146" t="s">
        <v>1091</v>
      </c>
      <c r="K52" s="147">
        <v>46171</v>
      </c>
      <c r="L52" s="21" t="str">
        <f>VLOOKUP(K52,'[5]Exchange Rate'!$A$3:$C$21,3,FALSE)</f>
        <v>4026</v>
      </c>
      <c r="M52" s="159" t="str">
        <f t="shared" si="3"/>
        <v>Friday</v>
      </c>
      <c r="N52" s="148">
        <v>0</v>
      </c>
      <c r="O52" s="141">
        <v>1317.36</v>
      </c>
      <c r="P52" s="161">
        <v>0</v>
      </c>
      <c r="Q52" s="188">
        <v>0</v>
      </c>
      <c r="R52" s="187">
        <v>1317.36</v>
      </c>
      <c r="S52" s="184">
        <f t="shared" si="4"/>
        <v>0</v>
      </c>
      <c r="T52" s="187">
        <v>174</v>
      </c>
      <c r="U52" s="24">
        <f t="shared" si="2"/>
        <v>174</v>
      </c>
      <c r="V52" s="267" t="s">
        <v>997</v>
      </c>
    </row>
    <row r="53" spans="1:22" s="50" customFormat="1" ht="18" customHeight="1">
      <c r="A53" s="14"/>
      <c r="B53" s="143">
        <v>19</v>
      </c>
      <c r="C53" s="16" t="str">
        <f>INDEX(PORT!$B$2:$B$20,MATCH('05'!B54,PORT!$A$2:$A$20))</f>
        <v>PNH04</v>
      </c>
      <c r="D53" s="10" t="str">
        <f>INDEX(PORT!$C$2:$C$20,MATCH('05'!B54,PORT!$A$2:$A$20))</f>
        <v>PNH PORT</v>
      </c>
      <c r="E53" s="60" t="s">
        <v>1002</v>
      </c>
      <c r="F53" s="144"/>
      <c r="G53" s="145" t="s">
        <v>4</v>
      </c>
      <c r="H53" s="140"/>
      <c r="I53" s="196" t="s">
        <v>1003</v>
      </c>
      <c r="J53" s="146"/>
      <c r="K53" s="147">
        <v>46173</v>
      </c>
      <c r="L53" s="21">
        <f>VLOOKUP(K53,'[5]Exchange Rate'!$A$3:$C$21,3,FALSE)</f>
        <v>4026</v>
      </c>
      <c r="M53" s="159" t="str">
        <f t="shared" si="3"/>
        <v>Sunday</v>
      </c>
      <c r="N53" s="148">
        <v>0</v>
      </c>
      <c r="O53" s="141">
        <v>231.48</v>
      </c>
      <c r="P53" s="161">
        <v>0</v>
      </c>
      <c r="Q53" s="188">
        <v>0</v>
      </c>
      <c r="R53" s="187">
        <v>231.48</v>
      </c>
      <c r="S53" s="184">
        <f t="shared" si="4"/>
        <v>0</v>
      </c>
      <c r="T53" s="187">
        <v>0</v>
      </c>
      <c r="U53" s="24">
        <f t="shared" si="2"/>
        <v>0</v>
      </c>
      <c r="V53" s="286"/>
    </row>
    <row r="54" spans="1:22" s="50" customFormat="1" ht="18" customHeight="1">
      <c r="A54" s="14"/>
      <c r="B54" s="143">
        <v>4</v>
      </c>
      <c r="C54" s="16" t="str">
        <f>INDEX(PORT!$B$2:$B$20,MATCH('05'!B47,PORT!$A$2:$A$20))</f>
        <v>PNH04</v>
      </c>
      <c r="D54" s="10" t="str">
        <f>INDEX(PORT!$C$2:$C$20,MATCH('05'!B47,PORT!$A$2:$A$20))</f>
        <v>PNH PORT</v>
      </c>
      <c r="E54" s="274"/>
      <c r="F54" s="275"/>
      <c r="G54" s="276" t="s">
        <v>41</v>
      </c>
      <c r="H54" s="277"/>
      <c r="I54" s="196"/>
      <c r="J54" s="146" t="s">
        <v>944</v>
      </c>
      <c r="K54" s="147">
        <v>46171</v>
      </c>
      <c r="L54" s="21" t="str">
        <f>VLOOKUP(K54,'[5]Exchange Rate'!$A$3:$C$21,3,FALSE)</f>
        <v>4026</v>
      </c>
      <c r="M54" s="20" t="str">
        <f t="shared" si="3"/>
        <v>Friday</v>
      </c>
      <c r="N54" s="26">
        <v>0</v>
      </c>
      <c r="O54" s="233">
        <v>0</v>
      </c>
      <c r="P54" s="22">
        <v>0</v>
      </c>
      <c r="Q54" s="285">
        <v>0</v>
      </c>
      <c r="R54" s="191">
        <v>0</v>
      </c>
      <c r="S54" s="204">
        <f>ROUND(Q54*10%,2)</f>
        <v>0</v>
      </c>
      <c r="T54" s="207">
        <v>40</v>
      </c>
      <c r="U54" s="24">
        <f t="shared" si="2"/>
        <v>40</v>
      </c>
      <c r="V54" s="60"/>
    </row>
    <row r="55" spans="1:22" s="50" customFormat="1" ht="18" customHeight="1">
      <c r="A55" s="14"/>
      <c r="B55" s="143"/>
      <c r="C55" s="16"/>
      <c r="D55" s="10"/>
      <c r="E55" s="276"/>
      <c r="F55" s="275"/>
      <c r="G55" s="276" t="s">
        <v>41</v>
      </c>
      <c r="H55" s="277"/>
      <c r="I55" s="196"/>
      <c r="J55" s="146" t="s">
        <v>999</v>
      </c>
      <c r="K55" s="147">
        <v>46171</v>
      </c>
      <c r="L55" s="21" t="str">
        <f>VLOOKUP(K55,'[5]Exchange Rate'!$A$3:$C$21,3,FALSE)</f>
        <v>4026</v>
      </c>
      <c r="M55" s="159" t="str">
        <f t="shared" si="3"/>
        <v>Friday</v>
      </c>
      <c r="N55" s="148">
        <v>0</v>
      </c>
      <c r="O55" s="265">
        <v>1720</v>
      </c>
      <c r="P55" s="161">
        <v>0</v>
      </c>
      <c r="Q55" s="188">
        <v>0</v>
      </c>
      <c r="R55" s="187">
        <v>0</v>
      </c>
      <c r="S55" s="184">
        <f>ROUND(Q55*10%,2)</f>
        <v>0</v>
      </c>
      <c r="T55" s="187">
        <v>1930</v>
      </c>
      <c r="U55" s="24">
        <f t="shared" si="2"/>
        <v>210</v>
      </c>
      <c r="V55" s="266" t="s">
        <v>951</v>
      </c>
    </row>
    <row r="56" spans="1:22" ht="15.75">
      <c r="A56" s="14" t="s">
        <v>207</v>
      </c>
      <c r="B56" s="15"/>
      <c r="C56" s="10"/>
      <c r="D56" s="65"/>
      <c r="E56" s="66" t="s">
        <v>9</v>
      </c>
      <c r="F56" s="66"/>
      <c r="G56" s="67"/>
      <c r="H56" s="68"/>
      <c r="I56" s="31"/>
      <c r="J56" s="63"/>
      <c r="K56" s="34"/>
      <c r="L56" s="32"/>
      <c r="M56" s="20"/>
      <c r="N56" s="26">
        <v>52.8</v>
      </c>
      <c r="O56" s="26"/>
      <c r="P56" s="35"/>
      <c r="Q56" s="39"/>
      <c r="R56" s="39"/>
      <c r="S56" s="36"/>
      <c r="T56" s="39"/>
      <c r="U56" s="24"/>
      <c r="V56" s="31" t="s">
        <v>864</v>
      </c>
    </row>
    <row r="57" spans="1:22">
      <c r="A57" s="14"/>
      <c r="B57" s="15"/>
      <c r="C57" s="10"/>
      <c r="D57" s="10"/>
      <c r="E57" s="18" t="s">
        <v>349</v>
      </c>
      <c r="F57" s="18"/>
      <c r="G57" s="19"/>
      <c r="H57" s="61"/>
      <c r="I57" s="19"/>
      <c r="J57" s="62"/>
      <c r="K57" s="62"/>
      <c r="L57" s="21"/>
      <c r="M57" s="52"/>
      <c r="O57" s="52"/>
      <c r="P57" s="26"/>
      <c r="Q57" s="42"/>
      <c r="R57" s="42"/>
      <c r="S57" s="42"/>
      <c r="T57" s="42"/>
      <c r="U57" s="24"/>
      <c r="V57" s="19"/>
    </row>
    <row r="58" spans="1:22">
      <c r="A58" s="14"/>
      <c r="B58" s="15"/>
      <c r="C58" s="10"/>
      <c r="D58" s="51"/>
      <c r="E58" s="18" t="s">
        <v>7</v>
      </c>
      <c r="F58" s="18"/>
      <c r="G58" s="19"/>
      <c r="H58" s="61"/>
      <c r="I58" s="19"/>
      <c r="J58" s="62"/>
      <c r="K58" s="62"/>
      <c r="L58" s="69"/>
      <c r="M58" s="52"/>
      <c r="N58" s="52"/>
      <c r="O58" s="52"/>
      <c r="P58" s="26"/>
      <c r="Q58" s="42"/>
      <c r="R58" s="42"/>
      <c r="S58" s="42"/>
      <c r="T58" s="42"/>
      <c r="U58" s="24"/>
      <c r="V58" s="19"/>
    </row>
    <row r="59" spans="1:22">
      <c r="A59" s="70"/>
      <c r="B59" s="70"/>
      <c r="C59" s="81"/>
      <c r="D59" s="82"/>
      <c r="E59" s="83"/>
      <c r="F59" s="84"/>
      <c r="G59" s="85"/>
      <c r="H59" s="75"/>
      <c r="I59" s="74"/>
      <c r="J59" s="76"/>
      <c r="K59" s="76"/>
      <c r="L59" s="77"/>
      <c r="M59" s="86"/>
      <c r="N59" s="133"/>
      <c r="O59" s="78"/>
      <c r="P59" s="78"/>
      <c r="Q59" s="79"/>
      <c r="R59" s="79"/>
      <c r="S59" s="79"/>
      <c r="T59" s="79"/>
      <c r="U59" s="80"/>
      <c r="V59" s="74"/>
    </row>
    <row r="60" spans="1:22" ht="15.75">
      <c r="A60" s="88"/>
      <c r="B60" s="89">
        <f>SUBTOTAL(3,B3:B59)</f>
        <v>52</v>
      </c>
      <c r="C60" s="88"/>
      <c r="D60" s="90"/>
      <c r="E60" s="342" t="s">
        <v>3</v>
      </c>
      <c r="F60" s="343"/>
      <c r="G60" s="344"/>
      <c r="H60" s="91">
        <f>SUBTOTAL(3,H3:H59)</f>
        <v>42</v>
      </c>
      <c r="I60" s="91">
        <f>SUBTOTAL(3,I3:I59)</f>
        <v>51</v>
      </c>
      <c r="J60" s="91">
        <f>SUBTOTAL(3,J3:J59)</f>
        <v>51</v>
      </c>
      <c r="K60" s="92"/>
      <c r="L60" s="89"/>
      <c r="M60" s="89"/>
      <c r="N60" s="93">
        <f>SUM(N3:N58)</f>
        <v>11274.780000000006</v>
      </c>
      <c r="O60" s="136">
        <f>SUBTOTAL(9,O3:O52)</f>
        <v>10235.19</v>
      </c>
      <c r="P60" s="91">
        <f>SUBTOTAL(9,P3:P56)</f>
        <v>1950</v>
      </c>
      <c r="Q60" s="91">
        <f>SUBTOTAL(9,Q3:Q53)</f>
        <v>7477</v>
      </c>
      <c r="R60" s="7">
        <f>SUBTOTAL(9,R3:R55)</f>
        <v>13174.409999999998</v>
      </c>
      <c r="S60" s="7">
        <f>SUBTOTAL(9,S3:S53)</f>
        <v>747.7</v>
      </c>
      <c r="T60" s="7">
        <f>SUBTOTAL(9,T3:T55)</f>
        <v>15477.479999999998</v>
      </c>
      <c r="U60" s="7">
        <f>SUBTOTAL(9,U3:U58)</f>
        <v>10770.240000000002</v>
      </c>
      <c r="V60" s="287"/>
    </row>
    <row r="61" spans="1:22" ht="23.1" customHeight="1">
      <c r="B61" s="95"/>
      <c r="C61" s="96"/>
      <c r="D61" s="97"/>
      <c r="E61" s="98"/>
      <c r="F61" s="98"/>
      <c r="G61" s="8"/>
      <c r="H61" s="11"/>
      <c r="I61" s="99"/>
      <c r="J61" s="100"/>
      <c r="K61" s="100"/>
      <c r="M61" s="101" t="s">
        <v>207</v>
      </c>
      <c r="N61" s="102">
        <f>SUMIFS($N$3:$N$58,$A$3:$A$58,$M$61)-O62</f>
        <v>11274.470000000007</v>
      </c>
      <c r="O61" s="103"/>
      <c r="P61" s="104"/>
      <c r="Q61" s="105"/>
      <c r="R61" s="106"/>
      <c r="S61" s="107"/>
      <c r="T61" s="107"/>
      <c r="U61" s="108"/>
      <c r="V61" s="264"/>
    </row>
    <row r="62" spans="1:22" ht="23.1" customHeight="1">
      <c r="B62" s="95"/>
      <c r="C62" s="110"/>
      <c r="D62" s="111"/>
      <c r="E62" s="98"/>
      <c r="F62" s="98"/>
      <c r="G62" s="8"/>
      <c r="H62" s="11"/>
      <c r="I62" s="99"/>
      <c r="J62" s="100"/>
      <c r="K62" s="100"/>
      <c r="M62" s="112" t="s">
        <v>208</v>
      </c>
      <c r="N62" s="113">
        <f>SUMIFS($N$3:$N$57,$A$3:$A$57,$M$62)</f>
        <v>0</v>
      </c>
      <c r="O62" s="251">
        <v>0.31</v>
      </c>
      <c r="P62" s="253" t="s">
        <v>866</v>
      </c>
      <c r="Q62" s="252"/>
      <c r="R62" s="259"/>
      <c r="S62" s="115"/>
      <c r="T62" s="115"/>
      <c r="U62" s="116"/>
    </row>
    <row r="63" spans="1:22">
      <c r="B63" s="95"/>
      <c r="C63" s="117"/>
      <c r="D63" s="118"/>
      <c r="E63" s="98"/>
      <c r="F63" s="98"/>
      <c r="G63" s="8"/>
      <c r="H63" s="11"/>
      <c r="I63" s="99"/>
      <c r="J63" s="100"/>
      <c r="K63" s="100"/>
      <c r="O63" s="254"/>
      <c r="R63" s="115"/>
      <c r="S63" s="181"/>
      <c r="T63" s="115"/>
      <c r="U63" s="116"/>
    </row>
    <row r="64" spans="1:22" ht="15" customHeight="1">
      <c r="N64" s="104"/>
      <c r="Q64" s="104"/>
      <c r="R64" s="104">
        <f>SUM(Q60+S60)</f>
        <v>8224.7000000000007</v>
      </c>
    </row>
    <row r="65" spans="13:19" ht="15" customHeight="1">
      <c r="S65" s="104"/>
    </row>
    <row r="66" spans="13:19" ht="15" customHeight="1">
      <c r="N66" s="239"/>
      <c r="O66" s="240"/>
    </row>
    <row r="68" spans="13:19" ht="15" customHeight="1">
      <c r="M68" s="268" t="s">
        <v>207</v>
      </c>
      <c r="N68" s="269">
        <v>5000</v>
      </c>
      <c r="O68" s="270">
        <v>46157</v>
      </c>
    </row>
    <row r="69" spans="13:19" ht="15" customHeight="1">
      <c r="M69" s="268" t="s">
        <v>207</v>
      </c>
      <c r="N69" s="271">
        <v>6274.47</v>
      </c>
      <c r="O69" s="270">
        <v>46182</v>
      </c>
    </row>
    <row r="70" spans="13:19" ht="15" customHeight="1">
      <c r="M70" s="272" t="s">
        <v>998</v>
      </c>
      <c r="N70" s="273">
        <f>SUM(N68:N69)</f>
        <v>11274.470000000001</v>
      </c>
      <c r="R70" s="104"/>
    </row>
    <row r="73" spans="13:19" ht="15" customHeight="1">
      <c r="R73" s="104"/>
    </row>
    <row r="83" spans="6:6" ht="15" customHeight="1">
      <c r="F83" s="9" t="s">
        <v>440</v>
      </c>
    </row>
  </sheetData>
  <autoFilter ref="A2:V58">
    <sortState ref="A3:V62">
      <sortCondition ref="K3"/>
    </sortState>
  </autoFilter>
  <sortState ref="A3:W58">
    <sortCondition ref="I3"/>
  </sortState>
  <mergeCells count="1">
    <mergeCell ref="E60:G60"/>
  </mergeCells>
  <phoneticPr fontId="23" type="noConversion"/>
  <conditionalFormatting sqref="A52:A55 R52:T55 V52:V55 O4:P46 L4:M47 I4:I55 Q25:T46 B44 M44:N46 I45:K45 A45:B51 K46:K51 J46:J55 N47:T47 M48:T51 L48:L55">
    <cfRule type="expression" dxfId="883" priority="15">
      <formula>$A4="PAID"</formula>
    </cfRule>
  </conditionalFormatting>
  <conditionalFormatting sqref="A3:B3 A56 A4:A44">
    <cfRule type="expression" dxfId="882" priority="149">
      <formula>$A3="PAID"</formula>
    </cfRule>
  </conditionalFormatting>
  <conditionalFormatting sqref="B3 I3:I55 E26:G51 K46:K51 V49:V53 L4:L46 M35:M45 O35:T46 M44:N46 I45:K45 J46:J55 L47:T47 M48:T51 L48:L55 R52:T55 E53:E55 M56:O56 B56:L58 P56:V58">
    <cfRule type="expression" dxfId="881" priority="150">
      <formula>$D3=$O$2</formula>
    </cfRule>
  </conditionalFormatting>
  <conditionalFormatting sqref="B3:B9">
    <cfRule type="expression" dxfId="880" priority="146">
      <formula>$E3="STORAGE"</formula>
    </cfRule>
    <cfRule type="expression" dxfId="879" priority="147">
      <formula>$E3="LOLO"</formula>
    </cfRule>
    <cfRule type="expression" dxfId="878" priority="148">
      <formula>$E3="THC"</formula>
    </cfRule>
  </conditionalFormatting>
  <conditionalFormatting sqref="B4:B9">
    <cfRule type="expression" dxfId="877" priority="155">
      <formula>$A4="PAID"</formula>
    </cfRule>
  </conditionalFormatting>
  <conditionalFormatting sqref="B4:B21 G43:G51 N43:N51 B43:B55 M52:Q55">
    <cfRule type="expression" dxfId="876" priority="154">
      <formula>$C4=$N$2</formula>
    </cfRule>
  </conditionalFormatting>
  <conditionalFormatting sqref="B10:B44 M44:N46 A45:B51 N47:T47 M48:T51 L4:M47 I4:I55 O35:T46 J45:K45 K46:K48 J46:J55 L48:L55 A3:A44">
    <cfRule type="expression" dxfId="875" priority="170">
      <formula>$E3="STORAGE"</formula>
    </cfRule>
    <cfRule type="expression" dxfId="874" priority="171">
      <formula>$E3="LOLO"</formula>
    </cfRule>
    <cfRule type="expression" dxfId="873" priority="172">
      <formula>$E3="THC"</formula>
    </cfRule>
  </conditionalFormatting>
  <conditionalFormatting sqref="B26:B34 E26:G34">
    <cfRule type="expression" dxfId="872" priority="96">
      <formula>$A26="PAID"</formula>
    </cfRule>
  </conditionalFormatting>
  <conditionalFormatting sqref="C3:D55">
    <cfRule type="expression" dxfId="871" priority="164">
      <formula>$E3="STORAGE"</formula>
    </cfRule>
    <cfRule type="expression" dxfId="870" priority="165">
      <formula>$E3="LOLO"</formula>
    </cfRule>
    <cfRule type="expression" dxfId="869" priority="166">
      <formula>$E3="THC"</formula>
    </cfRule>
    <cfRule type="expression" dxfId="868" priority="167">
      <formula>$A3="PAID"</formula>
    </cfRule>
    <cfRule type="expression" dxfId="867" priority="168">
      <formula>$D3=$O$2</formula>
    </cfRule>
  </conditionalFormatting>
  <conditionalFormatting sqref="E3">
    <cfRule type="duplicateValues" dxfId="866" priority="137"/>
    <cfRule type="duplicateValues" dxfId="865" priority="143"/>
  </conditionalFormatting>
  <conditionalFormatting sqref="E4:E9">
    <cfRule type="duplicateValues" dxfId="864" priority="144"/>
  </conditionalFormatting>
  <conditionalFormatting sqref="E6 E8">
    <cfRule type="duplicateValues" dxfId="863" priority="134"/>
  </conditionalFormatting>
  <conditionalFormatting sqref="E7">
    <cfRule type="duplicateValues" dxfId="862" priority="130"/>
    <cfRule type="duplicateValues" dxfId="861" priority="131"/>
    <cfRule type="duplicateValues" dxfId="860" priority="132"/>
  </conditionalFormatting>
  <conditionalFormatting sqref="E8 E6">
    <cfRule type="duplicateValues" dxfId="859" priority="133"/>
    <cfRule type="duplicateValues" dxfId="858" priority="135"/>
  </conditionalFormatting>
  <conditionalFormatting sqref="E10:E11">
    <cfRule type="duplicateValues" dxfId="857" priority="245"/>
    <cfRule type="duplicateValues" dxfId="856" priority="246"/>
  </conditionalFormatting>
  <conditionalFormatting sqref="E10:E25 E35:E43">
    <cfRule type="duplicateValues" dxfId="855" priority="287"/>
  </conditionalFormatting>
  <conditionalFormatting sqref="E14 E16:E19">
    <cfRule type="duplicateValues" dxfId="854" priority="247"/>
  </conditionalFormatting>
  <conditionalFormatting sqref="E15">
    <cfRule type="duplicateValues" dxfId="853" priority="239"/>
  </conditionalFormatting>
  <conditionalFormatting sqref="E20:E21">
    <cfRule type="duplicateValues" dxfId="852" priority="248"/>
  </conditionalFormatting>
  <conditionalFormatting sqref="E26:E34">
    <cfRule type="duplicateValues" dxfId="851" priority="101"/>
    <cfRule type="duplicateValues" dxfId="850" priority="103"/>
  </conditionalFormatting>
  <conditionalFormatting sqref="E44:E48">
    <cfRule type="duplicateValues" dxfId="849" priority="2794"/>
  </conditionalFormatting>
  <conditionalFormatting sqref="E49">
    <cfRule type="duplicateValues" dxfId="848" priority="34"/>
    <cfRule type="duplicateValues" dxfId="847" priority="35"/>
  </conditionalFormatting>
  <conditionalFormatting sqref="E50">
    <cfRule type="duplicateValues" dxfId="846" priority="22"/>
    <cfRule type="duplicateValues" dxfId="845" priority="23"/>
  </conditionalFormatting>
  <conditionalFormatting sqref="E51 E44:E48">
    <cfRule type="duplicateValues" dxfId="844" priority="2648"/>
  </conditionalFormatting>
  <conditionalFormatting sqref="E51">
    <cfRule type="duplicateValues" dxfId="843" priority="2649"/>
  </conditionalFormatting>
  <conditionalFormatting sqref="E52">
    <cfRule type="duplicateValues" dxfId="842" priority="11"/>
  </conditionalFormatting>
  <conditionalFormatting sqref="E53:E55">
    <cfRule type="expression" dxfId="841" priority="4">
      <formula>$A53="PAID"</formula>
    </cfRule>
    <cfRule type="duplicateValues" dxfId="840" priority="6"/>
    <cfRule type="duplicateValues" dxfId="839" priority="7"/>
  </conditionalFormatting>
  <conditionalFormatting sqref="E56:E1048576 E22:E25 E1:E2 E35:E43">
    <cfRule type="duplicateValues" dxfId="838" priority="253"/>
  </conditionalFormatting>
  <conditionalFormatting sqref="E3:G3 K3">
    <cfRule type="expression" dxfId="837" priority="136">
      <formula>$D3=$O$2</formula>
    </cfRule>
  </conditionalFormatting>
  <conditionalFormatting sqref="E3:G9 I3:K3">
    <cfRule type="expression" dxfId="836" priority="123">
      <formula>$E3="STORAGE"</formula>
    </cfRule>
    <cfRule type="expression" dxfId="835" priority="124">
      <formula>$E3="LOLO"</formula>
    </cfRule>
    <cfRule type="expression" dxfId="834" priority="125">
      <formula>$E3="THC"</formula>
    </cfRule>
  </conditionalFormatting>
  <conditionalFormatting sqref="E3:G9">
    <cfRule type="expression" dxfId="833" priority="122">
      <formula>$A3="PAID"</formula>
    </cfRule>
  </conditionalFormatting>
  <conditionalFormatting sqref="E22:G25 L3:M3 M4:M25 J22:K23 J26 J40:K43 Q4:T14 R15 S15:T24 Q16:R24 N22:N25 N35:N43 B22:B25 K24:K25 K44 Q25:T25 O4:P25">
    <cfRule type="expression" dxfId="832" priority="254">
      <formula>$D3=$O$2</formula>
    </cfRule>
  </conditionalFormatting>
  <conditionalFormatting sqref="E26:G34 M26:N34 K26:K39 Q25:T34">
    <cfRule type="expression" dxfId="831" priority="97">
      <formula>$E25="STORAGE"</formula>
    </cfRule>
    <cfRule type="expression" dxfId="830" priority="98">
      <formula>$E25="LOLO"</formula>
    </cfRule>
    <cfRule type="expression" dxfId="829" priority="99">
      <formula>$E25="THC"</formula>
    </cfRule>
  </conditionalFormatting>
  <conditionalFormatting sqref="E52:H55">
    <cfRule type="expression" dxfId="828" priority="1">
      <formula>$E52="STORAGE"</formula>
    </cfRule>
    <cfRule type="expression" dxfId="827" priority="2">
      <formula>$E52="LOLO"</formula>
    </cfRule>
    <cfRule type="expression" dxfId="826" priority="3">
      <formula>$E52="THC"</formula>
    </cfRule>
  </conditionalFormatting>
  <conditionalFormatting sqref="H3:H44">
    <cfRule type="duplicateValues" dxfId="825" priority="138"/>
    <cfRule type="duplicateValues" dxfId="824" priority="139"/>
    <cfRule type="duplicateValues" dxfId="823" priority="140"/>
    <cfRule type="expression" dxfId="822" priority="142">
      <formula>$D3=$O$2</formula>
    </cfRule>
  </conditionalFormatting>
  <conditionalFormatting sqref="H3:H51 E44:G51">
    <cfRule type="expression" dxfId="821" priority="17">
      <formula>$E3="STORAGE"</formula>
    </cfRule>
    <cfRule type="expression" dxfId="820" priority="18">
      <formula>$E3="LOLO"</formula>
    </cfRule>
    <cfRule type="expression" dxfId="819" priority="19">
      <formula>$E3="THC"</formula>
    </cfRule>
    <cfRule type="expression" dxfId="818" priority="20">
      <formula>$A3="PAID"</formula>
    </cfRule>
  </conditionalFormatting>
  <conditionalFormatting sqref="H45:H51">
    <cfRule type="duplicateValues" dxfId="817" priority="2822"/>
    <cfRule type="duplicateValues" dxfId="816" priority="2823"/>
    <cfRule type="duplicateValues" dxfId="815" priority="2824"/>
    <cfRule type="expression" dxfId="814" priority="2825">
      <formula>$D45=$O$2</formula>
    </cfRule>
  </conditionalFormatting>
  <conditionalFormatting sqref="H61:J1048576 H1:J2 H56:J59 J22:J23 J26 J40:J43">
    <cfRule type="duplicateValues" dxfId="813" priority="255"/>
  </conditionalFormatting>
  <conditionalFormatting sqref="I3:I55">
    <cfRule type="duplicateValues" dxfId="812" priority="2835"/>
  </conditionalFormatting>
  <conditionalFormatting sqref="I45:I55">
    <cfRule type="duplicateValues" dxfId="811" priority="2839"/>
  </conditionalFormatting>
  <conditionalFormatting sqref="I61:I1048576 I1:I2 I56:I59">
    <cfRule type="duplicateValues" dxfId="810" priority="256"/>
  </conditionalFormatting>
  <conditionalFormatting sqref="I61:I1048576">
    <cfRule type="duplicateValues" dxfId="809" priority="251"/>
  </conditionalFormatting>
  <conditionalFormatting sqref="I3:V3 U4:U55">
    <cfRule type="expression" dxfId="808" priority="104">
      <formula>$A3="PAID"</formula>
    </cfRule>
  </conditionalFormatting>
  <conditionalFormatting sqref="J20:J21 J24:K25 J27:J39 J40:K44">
    <cfRule type="expression" dxfId="807" priority="126">
      <formula>$A20="PAID"</formula>
    </cfRule>
    <cfRule type="expression" dxfId="806" priority="127">
      <formula>$E20="STORAGE"</formula>
    </cfRule>
    <cfRule type="expression" dxfId="805" priority="128">
      <formula>$E20="LOLO"</formula>
    </cfRule>
    <cfRule type="expression" dxfId="804" priority="129">
      <formula>$E20="THC"</formula>
    </cfRule>
  </conditionalFormatting>
  <conditionalFormatting sqref="J22:J23 J26">
    <cfRule type="duplicateValues" dxfId="803" priority="249"/>
  </conditionalFormatting>
  <conditionalFormatting sqref="J41">
    <cfRule type="expression" dxfId="802" priority="272">
      <formula>$C41=$N$2</formula>
    </cfRule>
    <cfRule type="duplicateValues" dxfId="801" priority="273"/>
  </conditionalFormatting>
  <conditionalFormatting sqref="J45:J55">
    <cfRule type="expression" dxfId="800" priority="2843">
      <formula>$C45=$N$2</formula>
    </cfRule>
    <cfRule type="duplicateValues" dxfId="799" priority="2844"/>
    <cfRule type="duplicateValues" dxfId="798" priority="2845"/>
    <cfRule type="duplicateValues" dxfId="797" priority="2846"/>
  </conditionalFormatting>
  <conditionalFormatting sqref="J61:J1048576 J1:J2 J56:J59 J22:J23 J26 J40:J43">
    <cfRule type="duplicateValues" dxfId="796" priority="250"/>
  </conditionalFormatting>
  <conditionalFormatting sqref="J4:K19">
    <cfRule type="expression" dxfId="795" priority="114">
      <formula>$A4="PAID"</formula>
    </cfRule>
    <cfRule type="expression" dxfId="794" priority="115">
      <formula>$E4="STORAGE"</formula>
    </cfRule>
    <cfRule type="expression" dxfId="793" priority="116">
      <formula>$E4="LOLO"</formula>
    </cfRule>
    <cfRule type="expression" dxfId="792" priority="117">
      <formula>$E4="THC"</formula>
    </cfRule>
  </conditionalFormatting>
  <conditionalFormatting sqref="K49:K51 L3:M3 W43:XFD51 A56">
    <cfRule type="expression" dxfId="791" priority="92">
      <formula>$E3="STORAGE"</formula>
    </cfRule>
    <cfRule type="expression" dxfId="790" priority="93">
      <formula>$E3="LOLO"</formula>
    </cfRule>
    <cfRule type="expression" dxfId="789" priority="94">
      <formula>$E3="THC"</formula>
    </cfRule>
  </conditionalFormatting>
  <conditionalFormatting sqref="L57:L58">
    <cfRule type="expression" dxfId="788" priority="257">
      <formula>#REF!=$M$1</formula>
    </cfRule>
  </conditionalFormatting>
  <conditionalFormatting sqref="M4:M25 L56:M56 M35:M46 L4:L46 L47:M47 M48:M51 L48:L55 L3:M3">
    <cfRule type="expression" dxfId="787" priority="252">
      <formula>$M3=$M$1</formula>
    </cfRule>
  </conditionalFormatting>
  <conditionalFormatting sqref="M15">
    <cfRule type="expression" dxfId="786" priority="240">
      <formula>$L15=$L$1</formula>
    </cfRule>
  </conditionalFormatting>
  <conditionalFormatting sqref="M26:M34">
    <cfRule type="expression" dxfId="785" priority="100">
      <formula>$M26=$M$1</formula>
    </cfRule>
  </conditionalFormatting>
  <conditionalFormatting sqref="M52:M55">
    <cfRule type="expression" dxfId="784" priority="12">
      <formula>$L52=$L$1</formula>
    </cfRule>
  </conditionalFormatting>
  <conditionalFormatting sqref="M4:N9">
    <cfRule type="expression" dxfId="783" priority="109">
      <formula>$A4="PAID"</formula>
    </cfRule>
    <cfRule type="expression" dxfId="782" priority="110">
      <formula>$E4="STORAGE"</formula>
    </cfRule>
    <cfRule type="expression" dxfId="781" priority="111">
      <formula>$E4="LOLO"</formula>
    </cfRule>
    <cfRule type="expression" dxfId="780" priority="112">
      <formula>$E4="THC"</formula>
    </cfRule>
  </conditionalFormatting>
  <conditionalFormatting sqref="M10:N24 E10:G25 Q13:T24 K20:K21 J22:K23 J26 B10:B25 B35:B43 M35:N43 E35:G43">
    <cfRule type="expression" dxfId="779" priority="224">
      <formula>$A10="PAID"</formula>
    </cfRule>
  </conditionalFormatting>
  <conditionalFormatting sqref="M10:N24 E10:G25 Q13:T24 K20:K21 J22:K23 J26 E35:G43 B56:XFD56 A57:XFD58">
    <cfRule type="expression" dxfId="778" priority="236">
      <formula>$E10="STORAGE"</formula>
    </cfRule>
    <cfRule type="expression" dxfId="777" priority="237">
      <formula>$E10="LOLO"</formula>
    </cfRule>
    <cfRule type="expression" dxfId="776" priority="238">
      <formula>$E10="THC"</formula>
    </cfRule>
  </conditionalFormatting>
  <conditionalFormatting sqref="M15:N15 G11:G13 Q15 N16:N20 G17 E20:G21 K20:K21 J22:J23 J26">
    <cfRule type="expression" dxfId="775" priority="223">
      <formula>$C11=$N$2</formula>
    </cfRule>
  </conditionalFormatting>
  <conditionalFormatting sqref="M25:N25">
    <cfRule type="expression" dxfId="774" priority="191">
      <formula>$A25="PAID"</formula>
    </cfRule>
    <cfRule type="expression" dxfId="773" priority="192">
      <formula>$E25="STORAGE"</formula>
    </cfRule>
    <cfRule type="expression" dxfId="772" priority="193">
      <formula>$E25="LOLO"</formula>
    </cfRule>
    <cfRule type="expression" dxfId="771" priority="194">
      <formula>$E25="THC"</formula>
    </cfRule>
  </conditionalFormatting>
  <conditionalFormatting sqref="M26:N34 K26:K39">
    <cfRule type="expression" dxfId="770" priority="95">
      <formula>$A26="PAID"</formula>
    </cfRule>
  </conditionalFormatting>
  <conditionalFormatting sqref="M35:N43">
    <cfRule type="expression" dxfId="769" priority="225">
      <formula>$E35="STORAGE"</formula>
    </cfRule>
    <cfRule type="expression" dxfId="768" priority="226">
      <formula>$E35="LOLO"</formula>
    </cfRule>
    <cfRule type="expression" dxfId="767" priority="227">
      <formula>$E35="THC"</formula>
    </cfRule>
  </conditionalFormatting>
  <conditionalFormatting sqref="M26:T34 K26:K39 B26:B51">
    <cfRule type="expression" dxfId="766" priority="102">
      <formula>$D26=$O$2</formula>
    </cfRule>
  </conditionalFormatting>
  <conditionalFormatting sqref="N4:N14">
    <cfRule type="expression" dxfId="765" priority="108">
      <formula>$C4=$N$2</formula>
    </cfRule>
  </conditionalFormatting>
  <conditionalFormatting sqref="N3:V3 U4:U55">
    <cfRule type="expression" dxfId="764" priority="113">
      <formula>$D3=$O$2</formula>
    </cfRule>
  </conditionalFormatting>
  <conditionalFormatting sqref="N3:XFD3 U4:U55">
    <cfRule type="expression" dxfId="763" priority="105">
      <formula>$E3="STORAGE"</formula>
    </cfRule>
    <cfRule type="expression" dxfId="762" priority="106">
      <formula>$E3="LOLO"</formula>
    </cfRule>
    <cfRule type="expression" dxfId="761" priority="107">
      <formula>$E3="THC"</formula>
    </cfRule>
  </conditionalFormatting>
  <conditionalFormatting sqref="O4:P34">
    <cfRule type="expression" dxfId="760" priority="89">
      <formula>$E4="STORAGE"</formula>
    </cfRule>
    <cfRule type="expression" dxfId="759" priority="90">
      <formula>$E4="LOLO"</formula>
    </cfRule>
    <cfRule type="expression" dxfId="758" priority="91">
      <formula>$E4="THC"</formula>
    </cfRule>
  </conditionalFormatting>
  <conditionalFormatting sqref="Q4:T12">
    <cfRule type="expression" dxfId="757" priority="195">
      <formula>$A4="PAID"</formula>
    </cfRule>
    <cfRule type="expression" dxfId="756" priority="196">
      <formula>$E4="STORAGE"</formula>
    </cfRule>
    <cfRule type="expression" dxfId="755" priority="197">
      <formula>$E4="LOLO"</formula>
    </cfRule>
    <cfRule type="expression" dxfId="754" priority="198">
      <formula>$E4="THC"</formula>
    </cfRule>
  </conditionalFormatting>
  <conditionalFormatting sqref="V4:V42 V44 V54:V55">
    <cfRule type="expression" dxfId="753" priority="28">
      <formula>$D4=$O$2</formula>
    </cfRule>
  </conditionalFormatting>
  <conditionalFormatting sqref="V4:V44">
    <cfRule type="expression" dxfId="752" priority="24">
      <formula>$A4="PAID"</formula>
    </cfRule>
  </conditionalFormatting>
  <conditionalFormatting sqref="V45 V47">
    <cfRule type="duplicateValues" dxfId="751" priority="57"/>
    <cfRule type="duplicateValues" dxfId="750" priority="58"/>
    <cfRule type="expression" dxfId="749" priority="59">
      <formula>$D45=$O$2</formula>
    </cfRule>
  </conditionalFormatting>
  <conditionalFormatting sqref="V45:V51">
    <cfRule type="expression" dxfId="748" priority="56">
      <formula>$A45="PAID"</formula>
    </cfRule>
  </conditionalFormatting>
  <conditionalFormatting sqref="V47">
    <cfRule type="expression" dxfId="747" priority="53">
      <formula>$E47="STORAGE"</formula>
    </cfRule>
    <cfRule type="expression" dxfId="746" priority="54">
      <formula>$E47="LOLO"</formula>
    </cfRule>
    <cfRule type="expression" dxfId="745" priority="55">
      <formula>$E47="THC"</formula>
    </cfRule>
  </conditionalFormatting>
  <conditionalFormatting sqref="V49:V51">
    <cfRule type="duplicateValues" dxfId="744" priority="2739"/>
    <cfRule type="expression" dxfId="743" priority="2740">
      <formula>$E49="STORAGE"</formula>
    </cfRule>
    <cfRule type="expression" dxfId="742" priority="2741">
      <formula>$E49="LOLO"</formula>
    </cfRule>
    <cfRule type="expression" dxfId="741" priority="2742">
      <formula>$E49="THC"</formula>
    </cfRule>
    <cfRule type="duplicateValues" dxfId="740" priority="2743"/>
  </conditionalFormatting>
  <conditionalFormatting sqref="V4:XFD42 V44:V45 V54">
    <cfRule type="expression" dxfId="739" priority="25">
      <formula>$E4="STORAGE"</formula>
    </cfRule>
    <cfRule type="expression" dxfId="738" priority="26">
      <formula>$E4="LOLO"</formula>
    </cfRule>
    <cfRule type="expression" dxfId="737" priority="27">
      <formula>$E4="THC"</formula>
    </cfRule>
  </conditionalFormatting>
  <conditionalFormatting sqref="V52:XFD53 A52:B55 K52:K55 M52:T55 W54:XFD54 V55:XFD55">
    <cfRule type="expression" dxfId="736" priority="8">
      <formula>$E52="STORAGE"</formula>
    </cfRule>
    <cfRule type="expression" dxfId="735" priority="9">
      <formula>$E52="LOLO"</formula>
    </cfRule>
    <cfRule type="expression" dxfId="734" priority="10">
      <formula>$E52="THC"</formula>
    </cfRule>
  </conditionalFormatting>
  <pageMargins left="0.7" right="0.7" top="0.75" bottom="0.75" header="0.3" footer="0.3"/>
  <pageSetup paperSize="9" scale="96" orientation="portrait" r:id="rId1"/>
  <rowBreaks count="1" manualBreakCount="1">
    <brk id="2" max="21" man="1"/>
  </rowBreaks>
  <colBreaks count="1" manualBreakCount="1">
    <brk id="7" max="8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3"/>
  <sheetViews>
    <sheetView view="pageBreakPreview" zoomScale="70" zoomScaleNormal="70" zoomScaleSheetLayoutView="70" workbookViewId="0">
      <pane xSplit="8" ySplit="2" topLeftCell="I48" activePane="bottomRight" state="frozenSplit"/>
      <selection pane="topRight" activeCell="G1" sqref="G1"/>
      <selection pane="bottomLeft" activeCell="A12" sqref="A12"/>
      <selection pane="bottomRight" activeCell="R75" sqref="R75"/>
    </sheetView>
  </sheetViews>
  <sheetFormatPr defaultColWidth="14" defaultRowHeight="15" customHeight="1"/>
  <cols>
    <col min="1" max="3" width="14" style="9"/>
    <col min="4" max="4" width="23.85546875" style="9" customWidth="1"/>
    <col min="5" max="5" width="30.42578125" style="9" customWidth="1"/>
    <col min="6" max="6" width="16.85546875" style="8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1" width="14" style="9"/>
    <col min="22" max="22" width="15.42578125" style="9" customWidth="1"/>
    <col min="23" max="23" width="46.85546875" style="8" bestFit="1" customWidth="1"/>
    <col min="24" max="16384" width="14" style="9"/>
  </cols>
  <sheetData>
    <row r="1" spans="1:24">
      <c r="A1" s="8"/>
      <c r="C1" s="10"/>
      <c r="D1" s="10"/>
      <c r="E1" s="5" t="s">
        <v>0</v>
      </c>
      <c r="F1" s="290"/>
      <c r="G1" s="6"/>
      <c r="H1" s="11"/>
      <c r="I1" s="12"/>
      <c r="J1" s="13"/>
      <c r="K1" s="13"/>
      <c r="L1" s="11"/>
      <c r="M1" s="11" t="s">
        <v>193</v>
      </c>
      <c r="V1" s="8"/>
    </row>
    <row r="2" spans="1:24" ht="47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37" t="s">
        <v>1233</v>
      </c>
      <c r="Q2" s="123" t="s">
        <v>2</v>
      </c>
      <c r="R2" s="127" t="s">
        <v>17</v>
      </c>
      <c r="S2" s="128" t="s">
        <v>15</v>
      </c>
      <c r="T2" s="128" t="s">
        <v>16</v>
      </c>
      <c r="U2" s="128" t="s">
        <v>12</v>
      </c>
      <c r="V2" s="129" t="s">
        <v>194</v>
      </c>
      <c r="W2" s="123" t="s">
        <v>6</v>
      </c>
    </row>
    <row r="3" spans="1:24" ht="18" customHeight="1">
      <c r="A3" s="14" t="s">
        <v>207</v>
      </c>
      <c r="B3" s="15">
        <v>19</v>
      </c>
      <c r="C3" s="16" t="str">
        <f>INDEX(PORT!$B$2:$B$20,MATCH('06'!B3,PORT!$A$2:$A$20))</f>
        <v>PNH19</v>
      </c>
      <c r="D3" s="10" t="str">
        <f>INDEX(PORT!$C$2:$C$20,MATCH('06'!B3,PORT!$A$2:$A$20))</f>
        <v>TEC SRUN DRYPORT</v>
      </c>
      <c r="E3" s="18" t="s">
        <v>1001</v>
      </c>
      <c r="F3" s="18">
        <v>46174</v>
      </c>
      <c r="G3" s="19" t="s">
        <v>10</v>
      </c>
      <c r="H3" s="49" t="s">
        <v>1027</v>
      </c>
      <c r="I3" s="196" t="s">
        <v>1028</v>
      </c>
      <c r="J3" s="142" t="s">
        <v>1014</v>
      </c>
      <c r="K3" s="194">
        <v>46175</v>
      </c>
      <c r="L3" s="21" t="str">
        <f>VLOOKUP(K3,'[6]Exchange Rate'!$A$3:$D$22,3,FALSE)</f>
        <v>4026</v>
      </c>
      <c r="M3" s="20" t="str">
        <f t="shared" ref="M3:M33" si="0">TEXT(K3,"dddd")</f>
        <v>Tuesday</v>
      </c>
      <c r="N3" s="26">
        <v>113.1</v>
      </c>
      <c r="O3" s="233">
        <v>193.6</v>
      </c>
      <c r="P3" s="233">
        <v>0</v>
      </c>
      <c r="Q3" s="22">
        <v>50</v>
      </c>
      <c r="R3" s="182">
        <v>150</v>
      </c>
      <c r="S3" s="182">
        <v>26.1</v>
      </c>
      <c r="T3" s="182">
        <f>ROUND(R3*10%,2)</f>
        <v>15</v>
      </c>
      <c r="U3" s="182">
        <v>109.5</v>
      </c>
      <c r="V3" s="24">
        <f>(R3+S3+U3)-(N3+O3+Q3+P3)</f>
        <v>-71.099999999999966</v>
      </c>
      <c r="W3" s="17" t="s">
        <v>1053</v>
      </c>
    </row>
    <row r="4" spans="1:24" ht="18" customHeight="1">
      <c r="A4" s="14" t="s">
        <v>207</v>
      </c>
      <c r="B4" s="15">
        <v>19</v>
      </c>
      <c r="C4" s="16" t="str">
        <f>INDEX(PORT!$B$2:$B$20,MATCH('06'!B4,PORT!$A$2:$A$20))</f>
        <v>PNH19</v>
      </c>
      <c r="D4" s="10" t="str">
        <f>INDEX(PORT!$C$2:$C$20,MATCH('06'!B4,PORT!$A$2:$A$20))</f>
        <v>TEC SRUN DRYPORT</v>
      </c>
      <c r="E4" s="18" t="s">
        <v>1002</v>
      </c>
      <c r="F4" s="18">
        <v>46174</v>
      </c>
      <c r="G4" s="19" t="s">
        <v>4</v>
      </c>
      <c r="H4" s="49" t="s">
        <v>1029</v>
      </c>
      <c r="I4" s="196" t="s">
        <v>1030</v>
      </c>
      <c r="J4" s="142" t="s">
        <v>1015</v>
      </c>
      <c r="K4" s="194">
        <v>46175</v>
      </c>
      <c r="L4" s="21" t="str">
        <f>VLOOKUP(K4,'[6]Exchange Rate'!$A$3:$D$22,3,FALSE)</f>
        <v>4026</v>
      </c>
      <c r="M4" s="20" t="str">
        <f t="shared" si="0"/>
        <v>Tuesday</v>
      </c>
      <c r="N4" s="26">
        <v>136.1</v>
      </c>
      <c r="O4" s="233">
        <v>231.48</v>
      </c>
      <c r="P4" s="233">
        <v>0</v>
      </c>
      <c r="Q4" s="22">
        <v>50</v>
      </c>
      <c r="R4" s="182">
        <v>150</v>
      </c>
      <c r="S4" s="182">
        <v>26.1</v>
      </c>
      <c r="T4" s="182">
        <f t="shared" ref="T4:T65" si="1">ROUND(R4*10%,2)</f>
        <v>15</v>
      </c>
      <c r="U4" s="182">
        <v>159</v>
      </c>
      <c r="V4" s="24">
        <f t="shared" ref="V4:V65" si="2">(R4+S4+U4)-(N4+O4+Q4+P4)</f>
        <v>-82.479999999999961</v>
      </c>
      <c r="W4" s="19" t="s">
        <v>1053</v>
      </c>
    </row>
    <row r="5" spans="1:24" ht="18" customHeight="1">
      <c r="A5" s="14" t="s">
        <v>207</v>
      </c>
      <c r="B5" s="143" t="s">
        <v>192</v>
      </c>
      <c r="C5" s="16" t="str">
        <f>INDEX(PORT!$B$2:$B$20,MATCH('06'!B5,PORT!$A$2:$A$20))</f>
        <v>SVR11</v>
      </c>
      <c r="D5" s="10" t="str">
        <f>INDEX(PORT!$C$2:$C$20,MATCH('06'!B5,PORT!$A$2:$A$20))</f>
        <v>BAVET CEO</v>
      </c>
      <c r="E5" s="236" t="s">
        <v>1004</v>
      </c>
      <c r="F5" s="144">
        <v>46174</v>
      </c>
      <c r="G5" s="155" t="s">
        <v>41</v>
      </c>
      <c r="H5" s="49" t="s">
        <v>1031</v>
      </c>
      <c r="I5" s="196" t="s">
        <v>1032</v>
      </c>
      <c r="J5" s="142" t="s">
        <v>1016</v>
      </c>
      <c r="K5" s="147">
        <v>46175</v>
      </c>
      <c r="L5" s="21" t="str">
        <f>VLOOKUP(K5,'[6]Exchange Rate'!$A$3:$D$22,3,FALSE)</f>
        <v>4026</v>
      </c>
      <c r="M5" s="20" t="str">
        <f t="shared" si="0"/>
        <v>Tuesday</v>
      </c>
      <c r="N5" s="148">
        <v>616.25</v>
      </c>
      <c r="O5" s="233">
        <v>0</v>
      </c>
      <c r="P5" s="233">
        <v>1507</v>
      </c>
      <c r="Q5" s="22">
        <v>0</v>
      </c>
      <c r="R5" s="182">
        <v>330</v>
      </c>
      <c r="S5" s="182">
        <v>21.25</v>
      </c>
      <c r="T5" s="182">
        <f t="shared" si="1"/>
        <v>33</v>
      </c>
      <c r="U5" s="182">
        <v>2474</v>
      </c>
      <c r="V5" s="24">
        <f t="shared" si="2"/>
        <v>702</v>
      </c>
      <c r="W5" s="31"/>
    </row>
    <row r="6" spans="1:24" ht="18" customHeight="1">
      <c r="A6" s="14" t="s">
        <v>207</v>
      </c>
      <c r="B6" s="143">
        <v>1</v>
      </c>
      <c r="C6" s="16" t="str">
        <f>INDEX(PORT!$B$2:$B$20,MATCH('06'!B6,PORT!$A$2:$A$20))</f>
        <v>PNH01</v>
      </c>
      <c r="D6" s="10" t="str">
        <f>INDEX(PORT!$C$2:$C$20,MATCH('06'!B6,PORT!$A$2:$A$20))</f>
        <v>KTI AIR PORT</v>
      </c>
      <c r="E6" s="215" t="s">
        <v>1005</v>
      </c>
      <c r="F6" s="153">
        <v>46175</v>
      </c>
      <c r="G6" s="152" t="s">
        <v>351</v>
      </c>
      <c r="H6" s="49" t="s">
        <v>1033</v>
      </c>
      <c r="I6" s="196" t="s">
        <v>1034</v>
      </c>
      <c r="J6" s="142" t="s">
        <v>1017</v>
      </c>
      <c r="K6" s="153">
        <v>46176</v>
      </c>
      <c r="L6" s="21" t="str">
        <f>VLOOKUP(K6,'[6]Exchange Rate'!$A$3:$D$22,3,FALSE)</f>
        <v>4026</v>
      </c>
      <c r="M6" s="20" t="str">
        <f t="shared" si="0"/>
        <v>Wednesday</v>
      </c>
      <c r="N6" s="148">
        <v>242.08</v>
      </c>
      <c r="O6" s="233">
        <v>0</v>
      </c>
      <c r="P6" s="233">
        <v>0</v>
      </c>
      <c r="Q6" s="22">
        <v>50</v>
      </c>
      <c r="R6" s="182">
        <v>165</v>
      </c>
      <c r="S6" s="182">
        <v>72.08</v>
      </c>
      <c r="T6" s="182">
        <f t="shared" si="1"/>
        <v>16.5</v>
      </c>
      <c r="U6" s="182">
        <v>225.75</v>
      </c>
      <c r="V6" s="24">
        <f t="shared" si="2"/>
        <v>170.74999999999994</v>
      </c>
      <c r="W6" s="29"/>
    </row>
    <row r="7" spans="1:24" s="37" customFormat="1" ht="18" customHeight="1">
      <c r="A7" s="14" t="s">
        <v>207</v>
      </c>
      <c r="B7" s="143">
        <v>4</v>
      </c>
      <c r="C7" s="16" t="str">
        <f>INDEX(PORT!$B$2:$B$20,MATCH('06'!B7,PORT!$A$2:$A$20))</f>
        <v>PNH04</v>
      </c>
      <c r="D7" s="10" t="str">
        <f>INDEX(PORT!$C$2:$C$20,MATCH('06'!B7,PORT!$A$2:$A$20))</f>
        <v>PNH PORT</v>
      </c>
      <c r="E7" s="172" t="s">
        <v>1006</v>
      </c>
      <c r="F7" s="144">
        <v>46177</v>
      </c>
      <c r="G7" s="145" t="s">
        <v>10</v>
      </c>
      <c r="H7" s="49" t="s">
        <v>1035</v>
      </c>
      <c r="I7" s="196" t="s">
        <v>1036</v>
      </c>
      <c r="J7" s="142" t="s">
        <v>1018</v>
      </c>
      <c r="K7" s="147">
        <v>46178</v>
      </c>
      <c r="L7" s="21" t="str">
        <f>VLOOKUP(K7,'[6]Exchange Rate'!$A$3:$D$22,3,FALSE)</f>
        <v>4027</v>
      </c>
      <c r="M7" s="20" t="str">
        <f t="shared" si="0"/>
        <v>Friday</v>
      </c>
      <c r="N7" s="148">
        <v>484.75</v>
      </c>
      <c r="O7" s="233">
        <v>0</v>
      </c>
      <c r="P7" s="233">
        <v>0</v>
      </c>
      <c r="Q7" s="22">
        <v>50</v>
      </c>
      <c r="R7" s="182">
        <v>245</v>
      </c>
      <c r="S7" s="182">
        <v>147.75</v>
      </c>
      <c r="T7" s="182">
        <f t="shared" si="1"/>
        <v>24.5</v>
      </c>
      <c r="U7" s="182">
        <v>411.5</v>
      </c>
      <c r="V7" s="24">
        <f t="shared" si="2"/>
        <v>269.5</v>
      </c>
      <c r="W7" s="19"/>
    </row>
    <row r="8" spans="1:24" s="37" customFormat="1" ht="18" customHeight="1">
      <c r="A8" s="14" t="s">
        <v>207</v>
      </c>
      <c r="B8" s="143">
        <v>4</v>
      </c>
      <c r="C8" s="16" t="str">
        <f>INDEX(PORT!$B$2:$B$20,MATCH('06'!B8,PORT!$A$2:$A$20))</f>
        <v>PNH04</v>
      </c>
      <c r="D8" s="10" t="str">
        <f>INDEX(PORT!$C$2:$C$20,MATCH('06'!B8,PORT!$A$2:$A$20))</f>
        <v>PNH PORT</v>
      </c>
      <c r="E8" s="235" t="s">
        <v>1007</v>
      </c>
      <c r="F8" s="168">
        <v>46177</v>
      </c>
      <c r="G8" s="169" t="s">
        <v>4</v>
      </c>
      <c r="H8" s="49" t="s">
        <v>1037</v>
      </c>
      <c r="I8" s="196" t="s">
        <v>1038</v>
      </c>
      <c r="J8" s="142" t="s">
        <v>1019</v>
      </c>
      <c r="K8" s="170">
        <v>46178</v>
      </c>
      <c r="L8" s="21" t="str">
        <f>VLOOKUP(K8,'[6]Exchange Rate'!$A$3:$D$22,3,FALSE)</f>
        <v>4027</v>
      </c>
      <c r="M8" s="20" t="str">
        <f t="shared" si="0"/>
        <v>Friday</v>
      </c>
      <c r="N8" s="148">
        <v>593.25</v>
      </c>
      <c r="O8" s="233">
        <v>0</v>
      </c>
      <c r="P8" s="233">
        <v>0</v>
      </c>
      <c r="Q8" s="22">
        <v>50</v>
      </c>
      <c r="R8" s="182">
        <v>245</v>
      </c>
      <c r="S8" s="182">
        <v>98.25</v>
      </c>
      <c r="T8" s="182">
        <f>ROUND(R8*10%,2)</f>
        <v>24.5</v>
      </c>
      <c r="U8" s="182">
        <v>619</v>
      </c>
      <c r="V8" s="24">
        <f t="shared" si="2"/>
        <v>319</v>
      </c>
      <c r="W8" s="17"/>
    </row>
    <row r="9" spans="1:24" s="37" customFormat="1" ht="18" customHeight="1">
      <c r="A9" s="14" t="s">
        <v>207</v>
      </c>
      <c r="B9" s="162">
        <v>1</v>
      </c>
      <c r="C9" s="16" t="str">
        <f>INDEX(PORT!$B$2:$B$20,MATCH('06'!B9,PORT!$A$2:$A$20))</f>
        <v>PNH01</v>
      </c>
      <c r="D9" s="10" t="str">
        <f>INDEX(PORT!$C$2:$C$20,MATCH('06'!B9,PORT!$A$2:$A$20))</f>
        <v>KTI AIR PORT</v>
      </c>
      <c r="E9" s="278" t="s">
        <v>1008</v>
      </c>
      <c r="F9" s="163">
        <v>46177</v>
      </c>
      <c r="G9" s="141" t="s">
        <v>351</v>
      </c>
      <c r="H9" s="49" t="s">
        <v>1039</v>
      </c>
      <c r="I9" s="196" t="s">
        <v>1040</v>
      </c>
      <c r="J9" s="142" t="s">
        <v>1020</v>
      </c>
      <c r="K9" s="164">
        <v>46178</v>
      </c>
      <c r="L9" s="21" t="str">
        <f>VLOOKUP(K9,'[6]Exchange Rate'!$A$3:$D$22,3,FALSE)</f>
        <v>4027</v>
      </c>
      <c r="M9" s="20" t="str">
        <f t="shared" si="0"/>
        <v>Friday</v>
      </c>
      <c r="N9" s="140">
        <v>239.73</v>
      </c>
      <c r="O9" s="233">
        <v>0</v>
      </c>
      <c r="P9" s="233">
        <v>0</v>
      </c>
      <c r="Q9" s="22">
        <v>50</v>
      </c>
      <c r="R9" s="182">
        <v>175</v>
      </c>
      <c r="S9" s="182">
        <v>99.73</v>
      </c>
      <c r="T9" s="182">
        <f t="shared" si="1"/>
        <v>17.5</v>
      </c>
      <c r="U9" s="182">
        <v>280</v>
      </c>
      <c r="V9" s="24">
        <f t="shared" si="2"/>
        <v>265</v>
      </c>
      <c r="W9" s="29"/>
      <c r="X9" s="258"/>
    </row>
    <row r="10" spans="1:24" s="37" customFormat="1" ht="18" customHeight="1">
      <c r="A10" s="14" t="s">
        <v>207</v>
      </c>
      <c r="B10" s="15">
        <v>1</v>
      </c>
      <c r="C10" s="16" t="str">
        <f>INDEX(PORT!$B$2:$B$20,MATCH('06'!B10,PORT!$A$2:$A$20))</f>
        <v>PNH01</v>
      </c>
      <c r="D10" s="10" t="str">
        <f>INDEX(PORT!$C$2:$C$20,MATCH('06'!B10,PORT!$A$2:$A$20))</f>
        <v>KTI AIR PORT</v>
      </c>
      <c r="E10" s="18" t="s">
        <v>1063</v>
      </c>
      <c r="F10" s="18">
        <v>46178</v>
      </c>
      <c r="G10" s="19" t="s">
        <v>10</v>
      </c>
      <c r="H10" s="49" t="s">
        <v>1041</v>
      </c>
      <c r="I10" s="196" t="s">
        <v>1042</v>
      </c>
      <c r="J10" s="142" t="s">
        <v>1021</v>
      </c>
      <c r="K10" s="194">
        <v>46181</v>
      </c>
      <c r="L10" s="21" t="str">
        <f>VLOOKUP(K10,'[6]Exchange Rate'!$A$3:$D$22,3,FALSE)</f>
        <v>4027</v>
      </c>
      <c r="M10" s="20" t="str">
        <f t="shared" si="0"/>
        <v>Monday</v>
      </c>
      <c r="N10" s="26">
        <v>85.95</v>
      </c>
      <c r="O10" s="233">
        <v>0</v>
      </c>
      <c r="P10" s="233">
        <v>0</v>
      </c>
      <c r="Q10" s="22">
        <v>50</v>
      </c>
      <c r="R10" s="182">
        <v>140</v>
      </c>
      <c r="S10" s="182">
        <v>4.2</v>
      </c>
      <c r="T10" s="182">
        <f t="shared" si="1"/>
        <v>14</v>
      </c>
      <c r="U10" s="182">
        <v>71.75</v>
      </c>
      <c r="V10" s="24">
        <f t="shared" si="2"/>
        <v>80</v>
      </c>
      <c r="W10" s="19"/>
    </row>
    <row r="11" spans="1:24" ht="18" customHeight="1">
      <c r="A11" s="14" t="s">
        <v>207</v>
      </c>
      <c r="B11" s="151">
        <v>1</v>
      </c>
      <c r="C11" s="16" t="str">
        <f>INDEX(PORT!$B$2:$B$20,MATCH('06'!B11,PORT!$A$2:$A$20))</f>
        <v>PNH01</v>
      </c>
      <c r="D11" s="10" t="str">
        <f>INDEX(PORT!$C$2:$C$20,MATCH('06'!B11,PORT!$A$2:$A$20))</f>
        <v>KTI AIR PORT</v>
      </c>
      <c r="E11" s="215" t="s">
        <v>1009</v>
      </c>
      <c r="F11" s="153">
        <v>46178</v>
      </c>
      <c r="G11" s="152" t="s">
        <v>10</v>
      </c>
      <c r="H11" s="49" t="s">
        <v>1043</v>
      </c>
      <c r="I11" s="196" t="s">
        <v>1044</v>
      </c>
      <c r="J11" s="142" t="s">
        <v>1022</v>
      </c>
      <c r="K11" s="153">
        <v>46181</v>
      </c>
      <c r="L11" s="21" t="str">
        <f>VLOOKUP(K11,'[6]Exchange Rate'!$A$3:$D$22,3,FALSE)</f>
        <v>4027</v>
      </c>
      <c r="M11" s="20" t="str">
        <f t="shared" si="0"/>
        <v>Monday</v>
      </c>
      <c r="N11" s="148">
        <v>85.95</v>
      </c>
      <c r="O11" s="233">
        <v>0</v>
      </c>
      <c r="P11" s="233">
        <v>0</v>
      </c>
      <c r="Q11" s="22">
        <v>50</v>
      </c>
      <c r="R11" s="182">
        <v>140</v>
      </c>
      <c r="S11" s="182">
        <v>15.95</v>
      </c>
      <c r="T11" s="182">
        <f t="shared" si="1"/>
        <v>14</v>
      </c>
      <c r="U11" s="182">
        <v>60</v>
      </c>
      <c r="V11" s="24">
        <f t="shared" si="2"/>
        <v>80</v>
      </c>
      <c r="W11" s="29"/>
    </row>
    <row r="12" spans="1:24" s="37" customFormat="1" ht="18" customHeight="1">
      <c r="A12" s="14" t="s">
        <v>207</v>
      </c>
      <c r="B12" s="15">
        <v>1</v>
      </c>
      <c r="C12" s="16" t="str">
        <f>INDEX(PORT!$B$2:$B$20,MATCH('06'!B12,PORT!$A$2:$A$20))</f>
        <v>PNH01</v>
      </c>
      <c r="D12" s="10" t="str">
        <f>INDEX(PORT!$C$2:$C$20,MATCH('06'!B12,PORT!$A$2:$A$20))</f>
        <v>KTI AIR PORT</v>
      </c>
      <c r="E12" s="16" t="s">
        <v>1010</v>
      </c>
      <c r="F12" s="18">
        <v>46179</v>
      </c>
      <c r="G12" s="19" t="s">
        <v>41</v>
      </c>
      <c r="H12" s="49" t="s">
        <v>1045</v>
      </c>
      <c r="I12" s="196" t="s">
        <v>1046</v>
      </c>
      <c r="J12" s="142" t="s">
        <v>1023</v>
      </c>
      <c r="K12" s="194">
        <v>46181</v>
      </c>
      <c r="L12" s="21" t="str">
        <f>VLOOKUP(K12,'[6]Exchange Rate'!$A$3:$D$22,3,FALSE)</f>
        <v>4027</v>
      </c>
      <c r="M12" s="20" t="str">
        <f t="shared" si="0"/>
        <v>Monday</v>
      </c>
      <c r="N12" s="22">
        <v>180.95</v>
      </c>
      <c r="O12" s="233">
        <v>77</v>
      </c>
      <c r="P12" s="22">
        <v>248</v>
      </c>
      <c r="Q12" s="22">
        <v>0</v>
      </c>
      <c r="R12" s="182">
        <v>120</v>
      </c>
      <c r="S12" s="182">
        <v>81.2</v>
      </c>
      <c r="T12" s="182">
        <f t="shared" si="1"/>
        <v>12</v>
      </c>
      <c r="U12" s="182">
        <v>908.25</v>
      </c>
      <c r="V12" s="24">
        <f t="shared" si="2"/>
        <v>603.5</v>
      </c>
      <c r="W12" s="19" t="s">
        <v>1155</v>
      </c>
      <c r="X12" s="50"/>
    </row>
    <row r="13" spans="1:24" s="37" customFormat="1" ht="18" customHeight="1">
      <c r="A13" s="14" t="s">
        <v>207</v>
      </c>
      <c r="B13" s="143">
        <v>4</v>
      </c>
      <c r="C13" s="16" t="str">
        <f>INDEX(PORT!$B$2:$B$20,MATCH('06'!B13,PORT!$A$2:$A$20))</f>
        <v>PNH04</v>
      </c>
      <c r="D13" s="10" t="str">
        <f>INDEX(PORT!$C$2:$C$20,MATCH('06'!B13,PORT!$A$2:$A$20))</f>
        <v>PNH PORT</v>
      </c>
      <c r="E13" s="236" t="s">
        <v>1011</v>
      </c>
      <c r="F13" s="144">
        <v>46178</v>
      </c>
      <c r="G13" s="145" t="s">
        <v>41</v>
      </c>
      <c r="H13" s="49" t="s">
        <v>1047</v>
      </c>
      <c r="I13" s="196" t="s">
        <v>1048</v>
      </c>
      <c r="J13" s="142" t="s">
        <v>1024</v>
      </c>
      <c r="K13" s="147">
        <v>46181</v>
      </c>
      <c r="L13" s="21" t="str">
        <f>VLOOKUP(K13,'[6]Exchange Rate'!$A$3:$D$22,3,FALSE)</f>
        <v>4027</v>
      </c>
      <c r="M13" s="20" t="str">
        <f t="shared" si="0"/>
        <v>Monday</v>
      </c>
      <c r="N13" s="148">
        <v>558.25</v>
      </c>
      <c r="O13" s="233">
        <v>588</v>
      </c>
      <c r="P13" s="233">
        <v>0</v>
      </c>
      <c r="Q13" s="22">
        <v>0</v>
      </c>
      <c r="R13" s="182">
        <v>242</v>
      </c>
      <c r="S13" s="182">
        <v>686.25</v>
      </c>
      <c r="T13" s="182">
        <f t="shared" si="1"/>
        <v>24.2</v>
      </c>
      <c r="U13" s="182">
        <v>757</v>
      </c>
      <c r="V13" s="24">
        <f t="shared" si="2"/>
        <v>539</v>
      </c>
      <c r="W13" s="17" t="s">
        <v>1152</v>
      </c>
    </row>
    <row r="14" spans="1:24" s="50" customFormat="1" ht="18" customHeight="1">
      <c r="A14" s="14" t="s">
        <v>207</v>
      </c>
      <c r="B14" s="143">
        <v>11</v>
      </c>
      <c r="C14" s="16" t="str">
        <f>INDEX(PORT!$B$2:$B$20,MATCH('06'!B14,PORT!$A$2:$A$20))</f>
        <v>SHV11</v>
      </c>
      <c r="D14" s="10" t="str">
        <f>INDEX(PORT!$C$2:$C$20,MATCH('06'!B14,PORT!$A$2:$A$20))</f>
        <v>SHV PORT</v>
      </c>
      <c r="E14" s="209" t="s">
        <v>1013</v>
      </c>
      <c r="F14" s="172">
        <v>46179</v>
      </c>
      <c r="G14" s="155" t="s">
        <v>351</v>
      </c>
      <c r="H14" s="49" t="s">
        <v>1049</v>
      </c>
      <c r="I14" s="196" t="s">
        <v>1050</v>
      </c>
      <c r="J14" s="142" t="s">
        <v>1026</v>
      </c>
      <c r="K14" s="195">
        <v>46181</v>
      </c>
      <c r="L14" s="21" t="str">
        <f>VLOOKUP(K14,'[6]Exchange Rate'!$A$3:$D$22,3,FALSE)</f>
        <v>4027</v>
      </c>
      <c r="M14" s="20" t="str">
        <f t="shared" si="0"/>
        <v>Monday</v>
      </c>
      <c r="N14" s="161">
        <v>851.38</v>
      </c>
      <c r="O14" s="233">
        <v>0</v>
      </c>
      <c r="P14" s="233">
        <v>0</v>
      </c>
      <c r="Q14" s="22">
        <v>50</v>
      </c>
      <c r="R14" s="182">
        <v>245</v>
      </c>
      <c r="S14" s="182">
        <v>69.88</v>
      </c>
      <c r="T14" s="182">
        <f t="shared" si="1"/>
        <v>24.5</v>
      </c>
      <c r="U14" s="182">
        <v>1202</v>
      </c>
      <c r="V14" s="24">
        <f t="shared" si="2"/>
        <v>615.50000000000011</v>
      </c>
      <c r="W14" s="19"/>
      <c r="X14" s="9"/>
    </row>
    <row r="15" spans="1:24" s="50" customFormat="1" ht="18" customHeight="1">
      <c r="A15" s="14" t="s">
        <v>207</v>
      </c>
      <c r="B15" s="15">
        <v>4</v>
      </c>
      <c r="C15" s="16" t="str">
        <f>INDEX(PORT!$B$2:$B$20,MATCH('06'!B15,PORT!$A$2:$A$20))</f>
        <v>PNH04</v>
      </c>
      <c r="D15" s="10" t="str">
        <f>INDEX(PORT!$C$2:$C$20,MATCH('06'!B15,PORT!$A$2:$A$20))</f>
        <v>PNH PORT</v>
      </c>
      <c r="E15" s="18" t="s">
        <v>1012</v>
      </c>
      <c r="F15" s="18">
        <v>46179</v>
      </c>
      <c r="G15" s="19" t="s">
        <v>41</v>
      </c>
      <c r="H15" s="49" t="s">
        <v>1051</v>
      </c>
      <c r="I15" s="196" t="s">
        <v>1052</v>
      </c>
      <c r="J15" s="142" t="s">
        <v>1025</v>
      </c>
      <c r="K15" s="194">
        <v>46181</v>
      </c>
      <c r="L15" s="21" t="str">
        <f>VLOOKUP(K15,'[6]Exchange Rate'!$A$3:$D$22,3,FALSE)</f>
        <v>4027</v>
      </c>
      <c r="M15" s="20" t="str">
        <f t="shared" si="0"/>
        <v>Monday</v>
      </c>
      <c r="N15" s="26">
        <v>842.75</v>
      </c>
      <c r="O15" s="233">
        <v>556</v>
      </c>
      <c r="P15" s="233">
        <v>0</v>
      </c>
      <c r="Q15" s="22">
        <v>0</v>
      </c>
      <c r="R15" s="182">
        <v>242</v>
      </c>
      <c r="S15" s="182">
        <v>654.25</v>
      </c>
      <c r="T15" s="182">
        <f t="shared" si="1"/>
        <v>24.2</v>
      </c>
      <c r="U15" s="182">
        <v>1537.5</v>
      </c>
      <c r="V15" s="24">
        <f t="shared" si="2"/>
        <v>1035</v>
      </c>
      <c r="W15" s="19" t="s">
        <v>1130</v>
      </c>
      <c r="X15" s="9"/>
    </row>
    <row r="16" spans="1:24" s="37" customFormat="1" ht="18" customHeight="1">
      <c r="A16" s="14" t="s">
        <v>207</v>
      </c>
      <c r="B16" s="143">
        <v>1</v>
      </c>
      <c r="C16" s="16" t="str">
        <f>INDEX(PORT!$B$2:$B$20,MATCH('06'!B16,PORT!$A$2:$A$20))</f>
        <v>PNH01</v>
      </c>
      <c r="D16" s="10" t="str">
        <f>INDEX(PORT!$C$2:$C$20,MATCH('06'!B16,PORT!$A$2:$A$20))</f>
        <v>KTI AIR PORT</v>
      </c>
      <c r="E16" s="209" t="s">
        <v>1054</v>
      </c>
      <c r="F16" s="172">
        <v>46184</v>
      </c>
      <c r="G16" s="155" t="s">
        <v>10</v>
      </c>
      <c r="H16" s="49" t="s">
        <v>1073</v>
      </c>
      <c r="I16" s="196" t="s">
        <v>1074</v>
      </c>
      <c r="J16" s="142" t="s">
        <v>1064</v>
      </c>
      <c r="K16" s="195">
        <v>46185</v>
      </c>
      <c r="L16" s="21" t="str">
        <f>VLOOKUP(K16,'[6]Exchange Rate'!$A$3:$D$22,3,FALSE)</f>
        <v>4026</v>
      </c>
      <c r="M16" s="20" t="str">
        <f t="shared" si="0"/>
        <v>Friday</v>
      </c>
      <c r="N16" s="161">
        <v>85.95</v>
      </c>
      <c r="O16" s="233">
        <v>0</v>
      </c>
      <c r="P16" s="233">
        <v>0</v>
      </c>
      <c r="Q16" s="22">
        <v>50</v>
      </c>
      <c r="R16" s="182">
        <v>140</v>
      </c>
      <c r="S16" s="182">
        <v>4.2</v>
      </c>
      <c r="T16" s="182">
        <f t="shared" si="1"/>
        <v>14</v>
      </c>
      <c r="U16" s="182">
        <v>71.75</v>
      </c>
      <c r="V16" s="24">
        <f t="shared" si="2"/>
        <v>80</v>
      </c>
      <c r="W16" s="19"/>
      <c r="X16" s="9"/>
    </row>
    <row r="17" spans="1:26" s="37" customFormat="1" ht="18" customHeight="1">
      <c r="A17" s="14" t="s">
        <v>207</v>
      </c>
      <c r="B17" s="143">
        <v>1</v>
      </c>
      <c r="C17" s="16" t="str">
        <f>INDEX(PORT!$B$2:$B$20,MATCH('06'!B17,PORT!$A$2:$A$20))</f>
        <v>PNH01</v>
      </c>
      <c r="D17" s="10" t="str">
        <f>INDEX(PORT!$C$2:$C$20,MATCH('06'!B17,PORT!$A$2:$A$20))</f>
        <v>KTI AIR PORT</v>
      </c>
      <c r="E17" s="172" t="s">
        <v>1055</v>
      </c>
      <c r="F17" s="144">
        <v>46184</v>
      </c>
      <c r="G17" s="145" t="s">
        <v>10</v>
      </c>
      <c r="H17" s="49" t="s">
        <v>1075</v>
      </c>
      <c r="I17" s="196" t="s">
        <v>1076</v>
      </c>
      <c r="J17" s="142" t="s">
        <v>1065</v>
      </c>
      <c r="K17" s="147">
        <v>46185</v>
      </c>
      <c r="L17" s="21" t="str">
        <f>VLOOKUP(K17,'[6]Exchange Rate'!$A$3:$D$22,3,FALSE)</f>
        <v>4026</v>
      </c>
      <c r="M17" s="20" t="str">
        <f t="shared" si="0"/>
        <v>Friday</v>
      </c>
      <c r="N17" s="148">
        <v>85.95</v>
      </c>
      <c r="O17" s="233">
        <v>0</v>
      </c>
      <c r="P17" s="233">
        <v>0</v>
      </c>
      <c r="Q17" s="22">
        <v>50</v>
      </c>
      <c r="R17" s="182">
        <v>140</v>
      </c>
      <c r="S17" s="182">
        <v>15.95</v>
      </c>
      <c r="T17" s="182">
        <f t="shared" si="1"/>
        <v>14</v>
      </c>
      <c r="U17" s="182">
        <v>60</v>
      </c>
      <c r="V17" s="24">
        <f t="shared" si="2"/>
        <v>80</v>
      </c>
      <c r="W17" s="140"/>
      <c r="X17" s="9"/>
    </row>
    <row r="18" spans="1:26" s="37" customFormat="1" ht="18" customHeight="1">
      <c r="A18" s="14" t="s">
        <v>207</v>
      </c>
      <c r="B18" s="143">
        <v>1</v>
      </c>
      <c r="C18" s="16" t="str">
        <f>INDEX(PORT!$B$2:$B$20,MATCH('06'!B18,PORT!$A$2:$A$20))</f>
        <v>PNH01</v>
      </c>
      <c r="D18" s="10" t="str">
        <f>INDEX(PORT!$C$2:$C$20,MATCH('06'!B18,PORT!$A$2:$A$20))</f>
        <v>KTI AIR PORT</v>
      </c>
      <c r="E18" s="172" t="s">
        <v>1056</v>
      </c>
      <c r="F18" s="144">
        <v>46184</v>
      </c>
      <c r="G18" s="250" t="s">
        <v>10</v>
      </c>
      <c r="H18" s="49" t="s">
        <v>1077</v>
      </c>
      <c r="I18" s="196" t="s">
        <v>1078</v>
      </c>
      <c r="J18" s="142" t="s">
        <v>1066</v>
      </c>
      <c r="K18" s="147">
        <v>46185</v>
      </c>
      <c r="L18" s="21" t="str">
        <f>VLOOKUP(K18,'[6]Exchange Rate'!$A$3:$D$22,3,FALSE)</f>
        <v>4026</v>
      </c>
      <c r="M18" s="20" t="str">
        <f t="shared" si="0"/>
        <v>Friday</v>
      </c>
      <c r="N18" s="148">
        <v>85.95</v>
      </c>
      <c r="O18" s="233">
        <v>0</v>
      </c>
      <c r="P18" s="233">
        <v>0</v>
      </c>
      <c r="Q18" s="22">
        <v>50</v>
      </c>
      <c r="R18" s="182">
        <v>140</v>
      </c>
      <c r="S18" s="182">
        <v>4.2</v>
      </c>
      <c r="T18" s="182">
        <f t="shared" si="1"/>
        <v>14</v>
      </c>
      <c r="U18" s="182">
        <v>71.75</v>
      </c>
      <c r="V18" s="24">
        <f t="shared" si="2"/>
        <v>80</v>
      </c>
      <c r="W18" s="155"/>
    </row>
    <row r="19" spans="1:26" ht="18" customHeight="1">
      <c r="A19" s="14" t="s">
        <v>207</v>
      </c>
      <c r="B19" s="15">
        <v>1</v>
      </c>
      <c r="C19" s="16" t="str">
        <f>INDEX(PORT!$B$2:$B$20,MATCH('06'!B19,PORT!$A$2:$A$20))</f>
        <v>PNH01</v>
      </c>
      <c r="D19" s="10" t="str">
        <f>INDEX(PORT!$C$2:$C$20,MATCH('06'!B19,PORT!$A$2:$A$20))</f>
        <v>KTI AIR PORT</v>
      </c>
      <c r="E19" s="18" t="s">
        <v>1057</v>
      </c>
      <c r="F19" s="18">
        <v>46184</v>
      </c>
      <c r="G19" s="19" t="s">
        <v>10</v>
      </c>
      <c r="H19" s="49" t="s">
        <v>1079</v>
      </c>
      <c r="I19" s="196" t="s">
        <v>1080</v>
      </c>
      <c r="J19" s="142" t="s">
        <v>1067</v>
      </c>
      <c r="K19" s="194">
        <v>46185</v>
      </c>
      <c r="L19" s="21" t="str">
        <f>VLOOKUP(K19,'[6]Exchange Rate'!$A$3:$D$22,3,FALSE)</f>
        <v>4026</v>
      </c>
      <c r="M19" s="20" t="str">
        <f t="shared" si="0"/>
        <v>Friday</v>
      </c>
      <c r="N19" s="26">
        <v>85.95</v>
      </c>
      <c r="O19" s="233">
        <v>0</v>
      </c>
      <c r="P19" s="233">
        <v>0</v>
      </c>
      <c r="Q19" s="22">
        <v>50</v>
      </c>
      <c r="R19" s="182">
        <v>140</v>
      </c>
      <c r="S19" s="182">
        <v>4.2</v>
      </c>
      <c r="T19" s="182">
        <f t="shared" si="1"/>
        <v>14</v>
      </c>
      <c r="U19" s="182">
        <v>71.75</v>
      </c>
      <c r="V19" s="24">
        <f t="shared" si="2"/>
        <v>80</v>
      </c>
      <c r="W19" s="19"/>
      <c r="X19" s="50"/>
    </row>
    <row r="20" spans="1:26" ht="18" customHeight="1">
      <c r="A20" s="14" t="s">
        <v>207</v>
      </c>
      <c r="B20" s="143">
        <v>1</v>
      </c>
      <c r="C20" s="16" t="str">
        <f>INDEX(PORT!$B$2:$B$20,MATCH('06'!B20,PORT!$A$2:$A$20))</f>
        <v>PNH01</v>
      </c>
      <c r="D20" s="10" t="str">
        <f>INDEX(PORT!$C$2:$C$20,MATCH('06'!B20,PORT!$A$2:$A$20))</f>
        <v>KTI AIR PORT</v>
      </c>
      <c r="E20" s="236" t="s">
        <v>1058</v>
      </c>
      <c r="F20" s="144">
        <v>46184</v>
      </c>
      <c r="G20" s="145" t="s">
        <v>10</v>
      </c>
      <c r="H20" s="49" t="s">
        <v>1081</v>
      </c>
      <c r="I20" s="196" t="s">
        <v>1082</v>
      </c>
      <c r="J20" s="142" t="s">
        <v>1068</v>
      </c>
      <c r="K20" s="147">
        <v>46185</v>
      </c>
      <c r="L20" s="21" t="str">
        <f>VLOOKUP(K20,'[6]Exchange Rate'!$A$3:$D$22,3,FALSE)</f>
        <v>4026</v>
      </c>
      <c r="M20" s="20" t="str">
        <f t="shared" si="0"/>
        <v>Friday</v>
      </c>
      <c r="N20" s="148">
        <v>85.95</v>
      </c>
      <c r="O20" s="233">
        <v>0</v>
      </c>
      <c r="P20" s="233">
        <v>0</v>
      </c>
      <c r="Q20" s="22">
        <v>50</v>
      </c>
      <c r="R20" s="182">
        <v>140</v>
      </c>
      <c r="S20" s="182">
        <v>4.2</v>
      </c>
      <c r="T20" s="182">
        <f t="shared" si="1"/>
        <v>14</v>
      </c>
      <c r="U20" s="182">
        <v>71.75</v>
      </c>
      <c r="V20" s="24">
        <f t="shared" si="2"/>
        <v>80</v>
      </c>
      <c r="W20" s="49"/>
    </row>
    <row r="21" spans="1:26" ht="18" customHeight="1">
      <c r="A21" s="14" t="s">
        <v>207</v>
      </c>
      <c r="B21" s="143">
        <v>1</v>
      </c>
      <c r="C21" s="16" t="str">
        <f>INDEX(PORT!$B$2:$B$20,MATCH('06'!B21,PORT!$A$2:$A$20))</f>
        <v>PNH01</v>
      </c>
      <c r="D21" s="10" t="str">
        <f>INDEX(PORT!$C$2:$C$20,MATCH('06'!B21,PORT!$A$2:$A$20))</f>
        <v>KTI AIR PORT</v>
      </c>
      <c r="E21" s="215" t="s">
        <v>1059</v>
      </c>
      <c r="F21" s="153">
        <v>46184</v>
      </c>
      <c r="G21" s="155" t="s">
        <v>10</v>
      </c>
      <c r="H21" s="49" t="s">
        <v>1083</v>
      </c>
      <c r="I21" s="196" t="s">
        <v>1084</v>
      </c>
      <c r="J21" s="142" t="s">
        <v>1069</v>
      </c>
      <c r="K21" s="153">
        <v>46185</v>
      </c>
      <c r="L21" s="21" t="str">
        <f>VLOOKUP(K21,'[6]Exchange Rate'!$A$3:$D$22,3,FALSE)</f>
        <v>4026</v>
      </c>
      <c r="M21" s="20" t="str">
        <f t="shared" si="0"/>
        <v>Friday</v>
      </c>
      <c r="N21" s="148">
        <v>85.95</v>
      </c>
      <c r="O21" s="233">
        <v>0</v>
      </c>
      <c r="P21" s="233">
        <v>0</v>
      </c>
      <c r="Q21" s="22">
        <v>50</v>
      </c>
      <c r="R21" s="182">
        <v>140</v>
      </c>
      <c r="S21" s="182">
        <v>4.2</v>
      </c>
      <c r="T21" s="182">
        <f t="shared" si="1"/>
        <v>14</v>
      </c>
      <c r="U21" s="182">
        <v>71.75</v>
      </c>
      <c r="V21" s="24">
        <f t="shared" si="2"/>
        <v>80</v>
      </c>
      <c r="W21" s="19"/>
    </row>
    <row r="22" spans="1:26" ht="18" customHeight="1">
      <c r="A22" s="14" t="s">
        <v>207</v>
      </c>
      <c r="B22" s="143">
        <v>11</v>
      </c>
      <c r="C22" s="16" t="str">
        <f>INDEX(PORT!$B$2:$B$20,MATCH('06'!B22,PORT!$A$2:$A$20))</f>
        <v>SHV11</v>
      </c>
      <c r="D22" s="10" t="str">
        <f>INDEX(PORT!$C$2:$C$20,MATCH('06'!B22,PORT!$A$2:$A$20))</f>
        <v>SHV PORT</v>
      </c>
      <c r="E22" s="236" t="s">
        <v>1061</v>
      </c>
      <c r="F22" s="144">
        <v>46184</v>
      </c>
      <c r="G22" s="155" t="s">
        <v>10</v>
      </c>
      <c r="H22" s="49" t="s">
        <v>1085</v>
      </c>
      <c r="I22" s="196" t="s">
        <v>1086</v>
      </c>
      <c r="J22" s="142" t="s">
        <v>1070</v>
      </c>
      <c r="K22" s="147">
        <v>46185</v>
      </c>
      <c r="L22" s="21" t="str">
        <f>VLOOKUP(K22,'[6]Exchange Rate'!$A$3:$D$22,3,FALSE)</f>
        <v>4026</v>
      </c>
      <c r="M22" s="20" t="str">
        <f t="shared" si="0"/>
        <v>Friday</v>
      </c>
      <c r="N22" s="148">
        <v>278</v>
      </c>
      <c r="O22" s="233">
        <v>0</v>
      </c>
      <c r="P22" s="233">
        <v>0</v>
      </c>
      <c r="Q22" s="22">
        <v>50</v>
      </c>
      <c r="R22" s="182">
        <v>110.94</v>
      </c>
      <c r="S22" s="182">
        <v>84.95</v>
      </c>
      <c r="T22" s="182">
        <f t="shared" si="1"/>
        <v>11.09</v>
      </c>
      <c r="U22" s="182">
        <v>303.23</v>
      </c>
      <c r="V22" s="24">
        <f t="shared" si="2"/>
        <v>171.12</v>
      </c>
      <c r="W22" s="58"/>
      <c r="X22" s="37"/>
    </row>
    <row r="23" spans="1:26" ht="18" customHeight="1">
      <c r="A23" s="14" t="s">
        <v>207</v>
      </c>
      <c r="B23" s="197">
        <v>1</v>
      </c>
      <c r="C23" s="16" t="str">
        <f>INDEX(PORT!$B$2:$B$20,MATCH('06'!B23,PORT!$A$2:$A$20))</f>
        <v>PNH01</v>
      </c>
      <c r="D23" s="10" t="str">
        <f>INDEX(PORT!$C$2:$C$20,MATCH('06'!B23,PORT!$A$2:$A$20))</f>
        <v>KTI AIR PORT</v>
      </c>
      <c r="E23" s="215" t="s">
        <v>1062</v>
      </c>
      <c r="F23" s="144">
        <v>46184</v>
      </c>
      <c r="G23" s="145" t="s">
        <v>10</v>
      </c>
      <c r="H23" s="49" t="s">
        <v>1087</v>
      </c>
      <c r="I23" s="196" t="s">
        <v>1088</v>
      </c>
      <c r="J23" s="142" t="s">
        <v>1071</v>
      </c>
      <c r="K23" s="147">
        <v>46185</v>
      </c>
      <c r="L23" s="21" t="str">
        <f>VLOOKUP(K23,'[6]Exchange Rate'!$A$3:$D$22,3,FALSE)</f>
        <v>4026</v>
      </c>
      <c r="M23" s="20" t="str">
        <f t="shared" si="0"/>
        <v>Friday</v>
      </c>
      <c r="N23" s="148">
        <v>85.95</v>
      </c>
      <c r="O23" s="233">
        <v>0</v>
      </c>
      <c r="P23" s="233">
        <v>0</v>
      </c>
      <c r="Q23" s="22">
        <v>50</v>
      </c>
      <c r="R23" s="182">
        <v>140</v>
      </c>
      <c r="S23" s="182">
        <v>4.2</v>
      </c>
      <c r="T23" s="182">
        <f t="shared" si="1"/>
        <v>14</v>
      </c>
      <c r="U23" s="182">
        <v>71.75</v>
      </c>
      <c r="V23" s="24">
        <f t="shared" si="2"/>
        <v>80</v>
      </c>
      <c r="W23" s="29"/>
      <c r="X23" s="37"/>
    </row>
    <row r="24" spans="1:26" ht="18" customHeight="1">
      <c r="A24" s="14" t="s">
        <v>207</v>
      </c>
      <c r="B24" s="143">
        <v>11</v>
      </c>
      <c r="C24" s="16" t="str">
        <f>INDEX(PORT!$B$2:$B$20,MATCH('06'!B24,PORT!$A$2:$A$20))</f>
        <v>SHV11</v>
      </c>
      <c r="D24" s="10" t="str">
        <f>INDEX(PORT!$C$2:$C$20,MATCH('06'!B24,PORT!$A$2:$A$20))</f>
        <v>SHV PORT</v>
      </c>
      <c r="E24" s="236" t="s">
        <v>1092</v>
      </c>
      <c r="F24" s="172">
        <v>46184</v>
      </c>
      <c r="G24" s="155" t="s">
        <v>4</v>
      </c>
      <c r="H24" s="49" t="s">
        <v>1089</v>
      </c>
      <c r="I24" s="196" t="s">
        <v>1090</v>
      </c>
      <c r="J24" s="142" t="s">
        <v>1112</v>
      </c>
      <c r="K24" s="195">
        <v>46185</v>
      </c>
      <c r="L24" s="21" t="str">
        <f>VLOOKUP(K24,'[6]Exchange Rate'!$A$3:$D$22,3,FALSE)</f>
        <v>4026</v>
      </c>
      <c r="M24" s="20" t="str">
        <f t="shared" si="0"/>
        <v>Friday</v>
      </c>
      <c r="N24" s="161">
        <v>210.38</v>
      </c>
      <c r="O24" s="233">
        <v>0</v>
      </c>
      <c r="P24" s="233">
        <v>0</v>
      </c>
      <c r="Q24" s="22">
        <v>50</v>
      </c>
      <c r="R24" s="182">
        <v>99.11</v>
      </c>
      <c r="S24" s="182">
        <v>13.75</v>
      </c>
      <c r="T24" s="182">
        <f t="shared" si="1"/>
        <v>9.91</v>
      </c>
      <c r="U24" s="182">
        <v>274.77999999999997</v>
      </c>
      <c r="V24" s="24">
        <f t="shared" si="2"/>
        <v>127.25999999999999</v>
      </c>
      <c r="W24" s="19"/>
      <c r="X24" s="37"/>
    </row>
    <row r="25" spans="1:26" ht="18" customHeight="1">
      <c r="A25" s="14" t="s">
        <v>207</v>
      </c>
      <c r="B25" s="143">
        <v>1</v>
      </c>
      <c r="C25" s="16" t="str">
        <f>INDEX(PORT!$B$2:$B$20,MATCH('06'!B25,PORT!$A$2:$A$20))</f>
        <v>PNH01</v>
      </c>
      <c r="D25" s="10" t="str">
        <f>INDEX(PORT!$C$2:$C$20,MATCH('06'!B25,PORT!$A$2:$A$20))</f>
        <v>KTI AIR PORT</v>
      </c>
      <c r="E25" s="237" t="s">
        <v>1060</v>
      </c>
      <c r="F25" s="144">
        <v>46185</v>
      </c>
      <c r="G25" s="155" t="s">
        <v>10</v>
      </c>
      <c r="H25" s="49" t="s">
        <v>1098</v>
      </c>
      <c r="I25" s="196" t="s">
        <v>1099</v>
      </c>
      <c r="J25" s="289" t="s">
        <v>1072</v>
      </c>
      <c r="K25" s="147">
        <v>46188</v>
      </c>
      <c r="L25" s="21">
        <f>VLOOKUP(K25,'[6]Exchange Rate'!$A$3:$D$22,3,FALSE)</f>
        <v>4025</v>
      </c>
      <c r="M25" s="20" t="str">
        <f t="shared" si="0"/>
        <v>Monday</v>
      </c>
      <c r="N25" s="148">
        <v>92.99</v>
      </c>
      <c r="O25" s="233">
        <v>0</v>
      </c>
      <c r="P25" s="233">
        <v>0</v>
      </c>
      <c r="Q25" s="22">
        <v>50</v>
      </c>
      <c r="R25" s="182">
        <v>140</v>
      </c>
      <c r="S25" s="182">
        <v>22.99</v>
      </c>
      <c r="T25" s="182">
        <f t="shared" si="1"/>
        <v>14</v>
      </c>
      <c r="U25" s="182">
        <v>180</v>
      </c>
      <c r="V25" s="24">
        <f t="shared" si="2"/>
        <v>200</v>
      </c>
      <c r="W25" s="31"/>
      <c r="X25" s="257"/>
      <c r="Y25" s="256"/>
      <c r="Z25" s="256"/>
    </row>
    <row r="26" spans="1:26" ht="18" customHeight="1">
      <c r="A26" s="14" t="s">
        <v>207</v>
      </c>
      <c r="B26" s="15">
        <v>4</v>
      </c>
      <c r="C26" s="16" t="str">
        <f>INDEX(PORT!$B$2:$B$20,MATCH('06'!B26,PORT!$A$2:$A$20))</f>
        <v>PNH04</v>
      </c>
      <c r="D26" s="10" t="str">
        <f>INDEX(PORT!$C$2:$C$20,MATCH('06'!B26,PORT!$A$2:$A$20))</f>
        <v>PNH PORT</v>
      </c>
      <c r="E26" s="18" t="s">
        <v>1093</v>
      </c>
      <c r="F26" s="18">
        <v>46185</v>
      </c>
      <c r="G26" s="19" t="s">
        <v>4</v>
      </c>
      <c r="H26" s="49" t="s">
        <v>1100</v>
      </c>
      <c r="I26" s="196" t="s">
        <v>1101</v>
      </c>
      <c r="J26" s="142" t="s">
        <v>1113</v>
      </c>
      <c r="K26" s="194">
        <v>46188</v>
      </c>
      <c r="L26" s="21">
        <f>VLOOKUP(K26,'[6]Exchange Rate'!$A$3:$D$22,3,FALSE)</f>
        <v>4025</v>
      </c>
      <c r="M26" s="20" t="str">
        <f t="shared" si="0"/>
        <v>Monday</v>
      </c>
      <c r="N26" s="26">
        <v>551.85</v>
      </c>
      <c r="O26" s="233">
        <v>0</v>
      </c>
      <c r="P26" s="233">
        <v>0</v>
      </c>
      <c r="Q26" s="22">
        <v>50</v>
      </c>
      <c r="R26" s="182">
        <v>215</v>
      </c>
      <c r="S26" s="182">
        <v>101.85</v>
      </c>
      <c r="T26" s="182">
        <f t="shared" si="1"/>
        <v>21.5</v>
      </c>
      <c r="U26" s="182">
        <v>547.5</v>
      </c>
      <c r="V26" s="24">
        <f t="shared" si="2"/>
        <v>262.5</v>
      </c>
      <c r="W26" s="19"/>
      <c r="X26" s="201"/>
    </row>
    <row r="27" spans="1:26" ht="18" customHeight="1">
      <c r="A27" s="14" t="s">
        <v>207</v>
      </c>
      <c r="B27" s="143">
        <v>4</v>
      </c>
      <c r="C27" s="16" t="str">
        <f>INDEX(PORT!$B$2:$B$20,MATCH('06'!B27,PORT!$A$2:$A$20))</f>
        <v>PNH04</v>
      </c>
      <c r="D27" s="10" t="str">
        <f>INDEX(PORT!$C$2:$C$20,MATCH('06'!B27,PORT!$A$2:$A$20))</f>
        <v>PNH PORT</v>
      </c>
      <c r="E27" s="215" t="s">
        <v>1119</v>
      </c>
      <c r="F27" s="166">
        <v>46185</v>
      </c>
      <c r="G27" s="165" t="s">
        <v>41</v>
      </c>
      <c r="H27" s="49" t="s">
        <v>1102</v>
      </c>
      <c r="I27" s="196" t="s">
        <v>1103</v>
      </c>
      <c r="J27" s="142" t="s">
        <v>1120</v>
      </c>
      <c r="K27" s="261">
        <v>46188</v>
      </c>
      <c r="L27" s="21">
        <f>VLOOKUP(K27,'[6]Exchange Rate'!$A$3:$D$22,3,FALSE)</f>
        <v>4025</v>
      </c>
      <c r="M27" s="20" t="str">
        <f t="shared" si="0"/>
        <v>Monday</v>
      </c>
      <c r="N27" s="148">
        <v>562.75</v>
      </c>
      <c r="O27" s="233">
        <v>476.5</v>
      </c>
      <c r="P27" s="233">
        <v>0</v>
      </c>
      <c r="Q27" s="22">
        <v>0</v>
      </c>
      <c r="R27" s="182">
        <v>242</v>
      </c>
      <c r="S27" s="182">
        <v>574.75</v>
      </c>
      <c r="T27" s="182">
        <f t="shared" si="1"/>
        <v>24.2</v>
      </c>
      <c r="U27" s="182">
        <v>903</v>
      </c>
      <c r="V27" s="24">
        <f t="shared" si="2"/>
        <v>680.5</v>
      </c>
      <c r="W27" s="31" t="s">
        <v>1156</v>
      </c>
      <c r="X27" s="12"/>
    </row>
    <row r="28" spans="1:26" ht="18" customHeight="1">
      <c r="A28" s="14" t="s">
        <v>207</v>
      </c>
      <c r="B28" s="151">
        <v>11</v>
      </c>
      <c r="C28" s="16" t="str">
        <f>INDEX(PORT!$B$2:$B$20,MATCH('06'!B28,PORT!$A$2:$A$20))</f>
        <v>SHV11</v>
      </c>
      <c r="D28" s="10" t="str">
        <f>INDEX(PORT!$C$2:$C$20,MATCH('06'!B28,PORT!$A$2:$A$20))</f>
        <v>SHV PORT</v>
      </c>
      <c r="E28" s="172" t="s">
        <v>1097</v>
      </c>
      <c r="F28" s="144">
        <v>46188</v>
      </c>
      <c r="G28" s="145" t="s">
        <v>4</v>
      </c>
      <c r="H28" s="49" t="s">
        <v>1104</v>
      </c>
      <c r="I28" s="196" t="s">
        <v>1105</v>
      </c>
      <c r="J28" s="142" t="s">
        <v>1114</v>
      </c>
      <c r="K28" s="260">
        <v>46189</v>
      </c>
      <c r="L28" s="21">
        <f>VLOOKUP(K28,'[6]Exchange Rate'!$A$3:$D$22,3,FALSE)</f>
        <v>4025</v>
      </c>
      <c r="M28" s="20" t="str">
        <f t="shared" si="0"/>
        <v>Tuesday</v>
      </c>
      <c r="N28" s="148">
        <v>168.96</v>
      </c>
      <c r="O28" s="233">
        <v>262.89999999999998</v>
      </c>
      <c r="P28" s="233">
        <v>0</v>
      </c>
      <c r="Q28" s="22">
        <v>50</v>
      </c>
      <c r="R28" s="182">
        <v>150</v>
      </c>
      <c r="S28" s="182">
        <v>280.45999999999998</v>
      </c>
      <c r="T28" s="182">
        <f t="shared" si="1"/>
        <v>15</v>
      </c>
      <c r="U28" s="182">
        <v>165.97</v>
      </c>
      <c r="V28" s="24">
        <f t="shared" si="2"/>
        <v>114.56999999999994</v>
      </c>
      <c r="W28" s="29"/>
      <c r="X28" s="12"/>
    </row>
    <row r="29" spans="1:26" ht="18" customHeight="1">
      <c r="A29" s="14" t="s">
        <v>207</v>
      </c>
      <c r="B29" s="15">
        <v>11</v>
      </c>
      <c r="C29" s="16" t="str">
        <f>INDEX(PORT!$B$2:$B$20,MATCH('06'!B29,PORT!$A$2:$A$20))</f>
        <v>SHV11</v>
      </c>
      <c r="D29" s="10" t="str">
        <f>INDEX(PORT!$C$2:$C$20,MATCH('06'!B29,PORT!$A$2:$A$20))</f>
        <v>SHV PORT</v>
      </c>
      <c r="E29" s="18" t="s">
        <v>1094</v>
      </c>
      <c r="F29" s="18">
        <v>46190</v>
      </c>
      <c r="G29" s="19" t="s">
        <v>4</v>
      </c>
      <c r="H29" s="49" t="s">
        <v>1106</v>
      </c>
      <c r="I29" s="196" t="s">
        <v>1107</v>
      </c>
      <c r="J29" s="142" t="s">
        <v>1115</v>
      </c>
      <c r="K29" s="194">
        <v>46192</v>
      </c>
      <c r="L29" s="21" t="str">
        <f>VLOOKUP(K29,'[6]Exchange Rate'!$A$3:$D$22,3,FALSE)</f>
        <v>4024</v>
      </c>
      <c r="M29" s="20" t="str">
        <f t="shared" si="0"/>
        <v>Friday</v>
      </c>
      <c r="N29" s="26">
        <v>531.75</v>
      </c>
      <c r="O29" s="233">
        <v>0</v>
      </c>
      <c r="P29" s="233">
        <v>0</v>
      </c>
      <c r="Q29" s="22">
        <v>50</v>
      </c>
      <c r="R29" s="182">
        <v>215</v>
      </c>
      <c r="S29" s="182">
        <v>67.75</v>
      </c>
      <c r="T29" s="182">
        <f t="shared" si="1"/>
        <v>21.5</v>
      </c>
      <c r="U29" s="182">
        <v>580.5</v>
      </c>
      <c r="V29" s="24">
        <f t="shared" si="2"/>
        <v>281.5</v>
      </c>
      <c r="W29" s="19"/>
      <c r="X29" s="12"/>
    </row>
    <row r="30" spans="1:26" ht="18" customHeight="1">
      <c r="A30" s="14" t="s">
        <v>207</v>
      </c>
      <c r="B30" s="59">
        <v>1</v>
      </c>
      <c r="C30" s="16" t="str">
        <f>INDEX(PORT!$B$2:$B$20,MATCH('06'!B30,PORT!$A$2:$A$20))</f>
        <v>PNH01</v>
      </c>
      <c r="D30" s="10" t="str">
        <f>INDEX(PORT!$C$2:$C$20,MATCH('06'!B30,PORT!$A$2:$A$20))</f>
        <v>KTI AIR PORT</v>
      </c>
      <c r="E30" s="60" t="s">
        <v>1122</v>
      </c>
      <c r="F30" s="54">
        <v>46190</v>
      </c>
      <c r="G30" s="19" t="s">
        <v>10</v>
      </c>
      <c r="H30" s="49" t="s">
        <v>1108</v>
      </c>
      <c r="I30" s="196" t="s">
        <v>1109</v>
      </c>
      <c r="J30" s="142" t="s">
        <v>1199</v>
      </c>
      <c r="K30" s="20">
        <v>46192</v>
      </c>
      <c r="L30" s="21" t="str">
        <f>VLOOKUP(K30,'[6]Exchange Rate'!$A$3:$D$22,3,FALSE)</f>
        <v>4024</v>
      </c>
      <c r="M30" s="20" t="str">
        <f t="shared" si="0"/>
        <v>Friday</v>
      </c>
      <c r="N30" s="26">
        <v>90.88</v>
      </c>
      <c r="O30" s="233">
        <v>0</v>
      </c>
      <c r="P30" s="233">
        <v>0</v>
      </c>
      <c r="Q30" s="22">
        <v>50</v>
      </c>
      <c r="R30" s="182">
        <v>140</v>
      </c>
      <c r="S30" s="182">
        <v>20.88</v>
      </c>
      <c r="T30" s="182">
        <f t="shared" si="1"/>
        <v>14</v>
      </c>
      <c r="U30" s="182">
        <v>60</v>
      </c>
      <c r="V30" s="24">
        <f t="shared" si="2"/>
        <v>80</v>
      </c>
      <c r="W30" s="58"/>
      <c r="X30" s="12"/>
    </row>
    <row r="31" spans="1:26" ht="18" customHeight="1">
      <c r="A31" s="14" t="s">
        <v>207</v>
      </c>
      <c r="B31" s="59">
        <v>19</v>
      </c>
      <c r="C31" s="16" t="str">
        <f>INDEX(PORT!$B$2:$B$20,MATCH('06'!B31,PORT!$A$2:$A$20))</f>
        <v>PNH19</v>
      </c>
      <c r="D31" s="10" t="str">
        <f>INDEX(PORT!$C$2:$C$20,MATCH('06'!B31,PORT!$A$2:$A$20))</f>
        <v>TEC SRUN DRYPORT</v>
      </c>
      <c r="E31" s="60" t="s">
        <v>1129</v>
      </c>
      <c r="F31" s="54">
        <v>46196</v>
      </c>
      <c r="G31" s="19" t="s">
        <v>4</v>
      </c>
      <c r="H31" s="49" t="s">
        <v>1110</v>
      </c>
      <c r="I31" s="196" t="s">
        <v>1111</v>
      </c>
      <c r="J31" s="142" t="s">
        <v>1116</v>
      </c>
      <c r="K31" s="20">
        <v>46197</v>
      </c>
      <c r="L31" s="21" t="str">
        <f>VLOOKUP(K31,'[6]Exchange Rate'!$A$3:$D$22,3,FALSE)</f>
        <v>4024</v>
      </c>
      <c r="M31" s="20" t="str">
        <f t="shared" si="0"/>
        <v>Wednesday</v>
      </c>
      <c r="N31" s="26">
        <v>147.13</v>
      </c>
      <c r="O31" s="233">
        <v>262.89999999999998</v>
      </c>
      <c r="P31" s="233">
        <v>0</v>
      </c>
      <c r="Q31" s="22">
        <v>50</v>
      </c>
      <c r="R31" s="182">
        <v>150</v>
      </c>
      <c r="S31" s="182">
        <v>386.33</v>
      </c>
      <c r="T31" s="182">
        <f t="shared" si="1"/>
        <v>15</v>
      </c>
      <c r="U31" s="182">
        <v>159</v>
      </c>
      <c r="V31" s="24">
        <f t="shared" si="2"/>
        <v>235.29999999999995</v>
      </c>
      <c r="W31" s="58"/>
    </row>
    <row r="32" spans="1:26" ht="18" customHeight="1">
      <c r="A32" s="14" t="s">
        <v>207</v>
      </c>
      <c r="B32" s="143">
        <v>11</v>
      </c>
      <c r="C32" s="16" t="str">
        <f>INDEX(PORT!$B$2:$B$20,MATCH('06'!B32,PORT!$A$2:$A$20))</f>
        <v>SHV11</v>
      </c>
      <c r="D32" s="10" t="str">
        <f>INDEX(PORT!$C$2:$C$20,MATCH('06'!B32,PORT!$A$2:$A$20))</f>
        <v>SHV PORT</v>
      </c>
      <c r="E32" s="60" t="s">
        <v>1163</v>
      </c>
      <c r="F32" s="144">
        <v>46196</v>
      </c>
      <c r="G32" s="145" t="s">
        <v>4</v>
      </c>
      <c r="H32" s="49" t="s">
        <v>1123</v>
      </c>
      <c r="I32" s="196" t="s">
        <v>1124</v>
      </c>
      <c r="J32" s="142" t="s">
        <v>1117</v>
      </c>
      <c r="K32" s="147">
        <v>46197</v>
      </c>
      <c r="L32" s="21" t="str">
        <f>VLOOKUP(K32,'[6]Exchange Rate'!$A$3:$D$22,3,FALSE)</f>
        <v>4024</v>
      </c>
      <c r="M32" s="20" t="str">
        <f t="shared" si="0"/>
        <v>Wednesday</v>
      </c>
      <c r="N32" s="148">
        <v>194.43</v>
      </c>
      <c r="O32" s="140">
        <v>251.89</v>
      </c>
      <c r="P32" s="233">
        <v>0</v>
      </c>
      <c r="Q32" s="22">
        <v>50</v>
      </c>
      <c r="R32" s="182">
        <v>150</v>
      </c>
      <c r="S32" s="182">
        <v>267.32</v>
      </c>
      <c r="T32" s="182">
        <f t="shared" si="1"/>
        <v>15</v>
      </c>
      <c r="U32" s="182">
        <v>166.75</v>
      </c>
      <c r="V32" s="24">
        <f t="shared" si="2"/>
        <v>87.749999999999943</v>
      </c>
      <c r="W32" s="49"/>
    </row>
    <row r="33" spans="1:24" ht="18" customHeight="1">
      <c r="A33" s="14" t="s">
        <v>207</v>
      </c>
      <c r="B33" s="59">
        <v>11</v>
      </c>
      <c r="C33" s="16" t="str">
        <f>INDEX(PORT!$B$2:$B$20,MATCH('06'!B33,PORT!$A$2:$A$20))</f>
        <v>SHV11</v>
      </c>
      <c r="D33" s="10" t="str">
        <f>INDEX(PORT!$C$2:$C$20,MATCH('06'!B33,PORT!$A$2:$A$20))</f>
        <v>SHV PORT</v>
      </c>
      <c r="E33" s="60" t="s">
        <v>1164</v>
      </c>
      <c r="F33" s="54">
        <v>46196</v>
      </c>
      <c r="G33" s="19" t="s">
        <v>4</v>
      </c>
      <c r="H33" s="49" t="s">
        <v>1125</v>
      </c>
      <c r="I33" s="196" t="s">
        <v>1126</v>
      </c>
      <c r="J33" s="142" t="s">
        <v>1118</v>
      </c>
      <c r="K33" s="20">
        <v>46197</v>
      </c>
      <c r="L33" s="21" t="str">
        <f>VLOOKUP(K33,'[6]Exchange Rate'!$A$3:$D$22,3,FALSE)</f>
        <v>4024</v>
      </c>
      <c r="M33" s="20" t="str">
        <f t="shared" si="0"/>
        <v>Wednesday</v>
      </c>
      <c r="N33" s="26">
        <v>170.43</v>
      </c>
      <c r="O33" s="233">
        <v>192.5</v>
      </c>
      <c r="P33" s="233">
        <v>0</v>
      </c>
      <c r="Q33" s="22">
        <v>50</v>
      </c>
      <c r="R33" s="182">
        <v>150</v>
      </c>
      <c r="S33" s="182">
        <v>207.93</v>
      </c>
      <c r="T33" s="182">
        <f t="shared" si="1"/>
        <v>15</v>
      </c>
      <c r="U33" s="182">
        <v>156.5</v>
      </c>
      <c r="V33" s="24">
        <f t="shared" si="2"/>
        <v>101.50000000000006</v>
      </c>
      <c r="W33" s="60"/>
    </row>
    <row r="34" spans="1:24" ht="18" customHeight="1">
      <c r="A34" s="14" t="s">
        <v>207</v>
      </c>
      <c r="B34" s="143">
        <v>11</v>
      </c>
      <c r="C34" s="16" t="str">
        <f>INDEX(PORT!$B$2:$B$20,MATCH('06'!B34,PORT!$A$2:$A$20))</f>
        <v>SHV11</v>
      </c>
      <c r="D34" s="10" t="str">
        <f>INDEX(PORT!$C$2:$C$20,MATCH('06'!B34,PORT!$A$2:$A$20))</f>
        <v>SHV PORT</v>
      </c>
      <c r="E34" s="60" t="s">
        <v>1165</v>
      </c>
      <c r="F34" s="144">
        <v>46196</v>
      </c>
      <c r="G34" s="145" t="s">
        <v>10</v>
      </c>
      <c r="H34" s="49" t="s">
        <v>1127</v>
      </c>
      <c r="I34" s="196" t="s">
        <v>1128</v>
      </c>
      <c r="J34" s="142" t="s">
        <v>1200</v>
      </c>
      <c r="K34" s="147">
        <v>46197</v>
      </c>
      <c r="L34" s="21" t="str">
        <f>VLOOKUP(K34,'[6]Exchange Rate'!$A$3:$D$22,3,FALSE)</f>
        <v>4024</v>
      </c>
      <c r="M34" s="20" t="str">
        <f t="shared" ref="M34:M65" si="3">TEXT(K34,"dddd")</f>
        <v>Wednesday</v>
      </c>
      <c r="N34" s="148">
        <v>301.39999999999998</v>
      </c>
      <c r="O34" s="140">
        <v>698.5</v>
      </c>
      <c r="P34" s="233">
        <v>0</v>
      </c>
      <c r="Q34" s="22">
        <v>50</v>
      </c>
      <c r="R34" s="182">
        <v>150</v>
      </c>
      <c r="S34" s="182">
        <v>727.4</v>
      </c>
      <c r="T34" s="182">
        <f t="shared" si="1"/>
        <v>15</v>
      </c>
      <c r="U34" s="182">
        <v>348.13</v>
      </c>
      <c r="V34" s="24">
        <f t="shared" si="2"/>
        <v>175.62999999999988</v>
      </c>
      <c r="W34" s="49"/>
    </row>
    <row r="35" spans="1:24" ht="18" customHeight="1">
      <c r="A35" s="14" t="s">
        <v>207</v>
      </c>
      <c r="B35" s="288"/>
      <c r="C35" s="16" t="e">
        <f>INDEX(PORT!$B$2:$B$20,MATCH('06'!B35,PORT!$A$2:$A$20))</f>
        <v>#N/A</v>
      </c>
      <c r="D35" s="10" t="e">
        <f>INDEX(PORT!$C$2:$C$20,MATCH('06'!B35,PORT!$A$2:$A$20))</f>
        <v>#N/A</v>
      </c>
      <c r="E35" s="16" t="s">
        <v>1095</v>
      </c>
      <c r="F35" s="18">
        <v>46197</v>
      </c>
      <c r="G35" s="19" t="s">
        <v>4</v>
      </c>
      <c r="H35" s="196" t="s">
        <v>1168</v>
      </c>
      <c r="I35" s="196" t="s">
        <v>1137</v>
      </c>
      <c r="J35" s="142" t="s">
        <v>1195</v>
      </c>
      <c r="K35" s="194">
        <v>46198</v>
      </c>
      <c r="L35" s="21" t="str">
        <f>VLOOKUP(K35,'[6]Exchange Rate'!$A$3:$D$22,3,FALSE)</f>
        <v>4024</v>
      </c>
      <c r="M35" s="20" t="str">
        <f t="shared" si="3"/>
        <v>Thursday</v>
      </c>
      <c r="N35" s="22">
        <v>141.16</v>
      </c>
      <c r="O35" s="233">
        <v>255.75</v>
      </c>
      <c r="P35" s="233">
        <v>0</v>
      </c>
      <c r="Q35" s="22">
        <v>50</v>
      </c>
      <c r="R35" s="182">
        <v>150</v>
      </c>
      <c r="S35" s="182">
        <v>286.91000000000003</v>
      </c>
      <c r="T35" s="182">
        <f t="shared" si="1"/>
        <v>15</v>
      </c>
      <c r="U35" s="182">
        <v>159</v>
      </c>
      <c r="V35" s="24">
        <f t="shared" si="2"/>
        <v>149.00000000000011</v>
      </c>
      <c r="W35" s="17"/>
    </row>
    <row r="36" spans="1:24" s="139" customFormat="1" ht="18" customHeight="1">
      <c r="A36" s="14" t="s">
        <v>207</v>
      </c>
      <c r="B36" s="288"/>
      <c r="C36" s="16" t="e">
        <f>INDEX(PORT!$B$2:$B$20,MATCH('06'!B36,PORT!$A$2:$A$20))</f>
        <v>#N/A</v>
      </c>
      <c r="D36" s="10" t="e">
        <f>INDEX(PORT!$C$2:$C$20,MATCH('06'!B36,PORT!$A$2:$A$20))</f>
        <v>#N/A</v>
      </c>
      <c r="E36" s="18" t="s">
        <v>1121</v>
      </c>
      <c r="F36" s="18">
        <v>46197</v>
      </c>
      <c r="G36" s="19" t="s">
        <v>10</v>
      </c>
      <c r="H36" s="196" t="s">
        <v>1169</v>
      </c>
      <c r="I36" s="196" t="s">
        <v>1138</v>
      </c>
      <c r="J36" s="142" t="s">
        <v>1201</v>
      </c>
      <c r="K36" s="194">
        <v>46198</v>
      </c>
      <c r="L36" s="21" t="str">
        <f>VLOOKUP(K36,'[6]Exchange Rate'!$A$3:$D$22,3,FALSE)</f>
        <v>4024</v>
      </c>
      <c r="M36" s="20" t="str">
        <f t="shared" si="3"/>
        <v>Thursday</v>
      </c>
      <c r="N36" s="26">
        <v>112</v>
      </c>
      <c r="O36" s="233">
        <v>203.5</v>
      </c>
      <c r="P36" s="233">
        <v>0</v>
      </c>
      <c r="Q36" s="22">
        <v>50</v>
      </c>
      <c r="R36" s="182">
        <v>150</v>
      </c>
      <c r="S36" s="182">
        <v>228.5</v>
      </c>
      <c r="T36" s="182">
        <f t="shared" si="1"/>
        <v>15</v>
      </c>
      <c r="U36" s="182">
        <v>109.5</v>
      </c>
      <c r="V36" s="24">
        <f t="shared" si="2"/>
        <v>122.5</v>
      </c>
      <c r="W36" s="19"/>
      <c r="X36" s="9"/>
    </row>
    <row r="37" spans="1:24" s="201" customFormat="1" ht="18" customHeight="1">
      <c r="A37" s="14" t="s">
        <v>207</v>
      </c>
      <c r="B37" s="59">
        <v>1</v>
      </c>
      <c r="C37" s="16" t="str">
        <f>INDEX(PORT!$B$2:$B$20,MATCH('06'!B37,PORT!$A$2:$A$20))</f>
        <v>PNH01</v>
      </c>
      <c r="D37" s="10" t="str">
        <f>INDEX(PORT!$C$2:$C$20,MATCH('06'!B37,PORT!$A$2:$A$20))</f>
        <v>KTI AIR PORT</v>
      </c>
      <c r="E37" s="60" t="s">
        <v>1096</v>
      </c>
      <c r="F37" s="54">
        <v>46198</v>
      </c>
      <c r="G37" s="19" t="s">
        <v>4</v>
      </c>
      <c r="H37" s="196" t="s">
        <v>1170</v>
      </c>
      <c r="I37" s="196" t="s">
        <v>1139</v>
      </c>
      <c r="J37" s="142" t="s">
        <v>1196</v>
      </c>
      <c r="K37" s="20">
        <v>46199</v>
      </c>
      <c r="L37" s="21" t="str">
        <f>VLOOKUP(K37,'[6]Exchange Rate'!$A$3:$D$22,3,FALSE)</f>
        <v>4024</v>
      </c>
      <c r="M37" s="20" t="str">
        <f t="shared" si="3"/>
        <v>Friday</v>
      </c>
      <c r="N37" s="26">
        <v>164.7</v>
      </c>
      <c r="O37" s="233">
        <v>104.5</v>
      </c>
      <c r="P37" s="233">
        <v>0</v>
      </c>
      <c r="Q37" s="22">
        <v>50</v>
      </c>
      <c r="R37" s="182">
        <v>150</v>
      </c>
      <c r="S37" s="182">
        <v>124.2</v>
      </c>
      <c r="T37" s="182">
        <f t="shared" si="1"/>
        <v>15</v>
      </c>
      <c r="U37" s="182">
        <v>196.75</v>
      </c>
      <c r="V37" s="24">
        <f t="shared" si="2"/>
        <v>151.75</v>
      </c>
      <c r="W37" s="208"/>
      <c r="X37" s="9"/>
    </row>
    <row r="38" spans="1:24" s="12" customFormat="1" ht="18" customHeight="1">
      <c r="A38" s="14" t="s">
        <v>207</v>
      </c>
      <c r="B38" s="59">
        <v>1</v>
      </c>
      <c r="C38" s="16" t="str">
        <f>INDEX(PORT!$B$2:$B$20,MATCH('06'!B38,PORT!$A$2:$A$20))</f>
        <v>PNH01</v>
      </c>
      <c r="D38" s="10" t="str">
        <f>INDEX(PORT!$C$2:$C$20,MATCH('06'!B38,PORT!$A$2:$A$20))</f>
        <v>KTI AIR PORT</v>
      </c>
      <c r="E38" s="60" t="s">
        <v>1157</v>
      </c>
      <c r="F38" s="54">
        <v>46200</v>
      </c>
      <c r="G38" s="19" t="s">
        <v>351</v>
      </c>
      <c r="H38" s="49" t="s">
        <v>1171</v>
      </c>
      <c r="I38" s="196" t="s">
        <v>1140</v>
      </c>
      <c r="J38" s="142" t="s">
        <v>1191</v>
      </c>
      <c r="K38" s="20">
        <v>46202</v>
      </c>
      <c r="L38" s="21" t="str">
        <f>VLOOKUP(K38,'[6]Exchange Rate'!$A$3:$D$22,3,FALSE)</f>
        <v>4026</v>
      </c>
      <c r="M38" s="20" t="str">
        <f t="shared" si="3"/>
        <v>Monday</v>
      </c>
      <c r="N38" s="26">
        <v>153.81</v>
      </c>
      <c r="O38" s="233">
        <v>0</v>
      </c>
      <c r="P38" s="233">
        <v>0</v>
      </c>
      <c r="Q38" s="22">
        <v>50</v>
      </c>
      <c r="R38" s="182">
        <v>140</v>
      </c>
      <c r="S38" s="182">
        <v>33.81</v>
      </c>
      <c r="T38" s="182">
        <f t="shared" si="1"/>
        <v>14</v>
      </c>
      <c r="U38" s="182">
        <v>180</v>
      </c>
      <c r="V38" s="24">
        <f t="shared" si="2"/>
        <v>150</v>
      </c>
      <c r="W38" s="60"/>
      <c r="X38" s="9"/>
    </row>
    <row r="39" spans="1:24" s="12" customFormat="1" ht="18" customHeight="1">
      <c r="A39" s="14" t="s">
        <v>207</v>
      </c>
      <c r="B39" s="59">
        <v>11</v>
      </c>
      <c r="C39" s="16" t="str">
        <f>INDEX(PORT!$B$2:$B$20,MATCH('06'!B39,PORT!$A$2:$A$20))</f>
        <v>SHV11</v>
      </c>
      <c r="D39" s="10" t="str">
        <f>INDEX(PORT!$C$2:$C$20,MATCH('06'!B39,PORT!$A$2:$A$20))</f>
        <v>SHV PORT</v>
      </c>
      <c r="E39" s="60" t="s">
        <v>1158</v>
      </c>
      <c r="F39" s="54">
        <v>46200</v>
      </c>
      <c r="G39" s="19" t="s">
        <v>351</v>
      </c>
      <c r="H39" s="49" t="s">
        <v>1172</v>
      </c>
      <c r="I39" s="196" t="s">
        <v>1141</v>
      </c>
      <c r="J39" s="142" t="s">
        <v>1192</v>
      </c>
      <c r="K39" s="20">
        <v>46202</v>
      </c>
      <c r="L39" s="21" t="str">
        <f>VLOOKUP(K39,'[6]Exchange Rate'!$A$3:$D$22,3,FALSE)</f>
        <v>4026</v>
      </c>
      <c r="M39" s="20" t="str">
        <f t="shared" si="3"/>
        <v>Monday</v>
      </c>
      <c r="N39" s="26">
        <v>838.88</v>
      </c>
      <c r="O39" s="233">
        <v>0</v>
      </c>
      <c r="P39" s="233">
        <v>0</v>
      </c>
      <c r="Q39" s="22">
        <v>50</v>
      </c>
      <c r="R39" s="182">
        <v>245</v>
      </c>
      <c r="S39" s="182">
        <v>72.38</v>
      </c>
      <c r="T39" s="182">
        <f t="shared" si="1"/>
        <v>24.5</v>
      </c>
      <c r="U39" s="182">
        <v>1282</v>
      </c>
      <c r="V39" s="24">
        <f t="shared" si="2"/>
        <v>710.50000000000011</v>
      </c>
      <c r="W39" s="208"/>
      <c r="X39" s="9"/>
    </row>
    <row r="40" spans="1:24" s="12" customFormat="1" ht="18" customHeight="1">
      <c r="A40" s="14" t="s">
        <v>207</v>
      </c>
      <c r="B40" s="59">
        <v>4</v>
      </c>
      <c r="C40" s="16" t="str">
        <f>INDEX(PORT!$B$2:$B$20,MATCH('06'!B40,PORT!$A$2:$A$20))</f>
        <v>PNH04</v>
      </c>
      <c r="D40" s="10" t="str">
        <f>INDEX(PORT!$C$2:$C$20,MATCH('06'!B40,PORT!$A$2:$A$20))</f>
        <v>PNH PORT</v>
      </c>
      <c r="E40" s="60" t="s">
        <v>1161</v>
      </c>
      <c r="F40" s="54">
        <v>46564</v>
      </c>
      <c r="G40" s="19" t="s">
        <v>4</v>
      </c>
      <c r="H40" s="49" t="s">
        <v>1173</v>
      </c>
      <c r="I40" s="196" t="s">
        <v>1142</v>
      </c>
      <c r="J40" s="142" t="s">
        <v>1197</v>
      </c>
      <c r="K40" s="20">
        <v>46202</v>
      </c>
      <c r="L40" s="21" t="str">
        <f>VLOOKUP(K40,'[6]Exchange Rate'!$A$3:$D$22,3,FALSE)</f>
        <v>4026</v>
      </c>
      <c r="M40" s="20" t="str">
        <f t="shared" si="3"/>
        <v>Monday</v>
      </c>
      <c r="N40" s="26">
        <v>1153.95</v>
      </c>
      <c r="O40" s="233">
        <v>0</v>
      </c>
      <c r="P40" s="233">
        <v>0</v>
      </c>
      <c r="Q40" s="22">
        <v>50</v>
      </c>
      <c r="R40" s="182">
        <v>490</v>
      </c>
      <c r="S40" s="182">
        <v>302.75</v>
      </c>
      <c r="T40" s="182">
        <f t="shared" si="1"/>
        <v>49</v>
      </c>
      <c r="U40" s="182">
        <v>1078</v>
      </c>
      <c r="V40" s="24">
        <f t="shared" si="2"/>
        <v>666.8</v>
      </c>
      <c r="W40" s="60" t="s">
        <v>1209</v>
      </c>
      <c r="X40" s="9"/>
    </row>
    <row r="41" spans="1:24" s="12" customFormat="1" ht="18" customHeight="1">
      <c r="A41" s="14" t="s">
        <v>207</v>
      </c>
      <c r="B41" s="143">
        <v>11</v>
      </c>
      <c r="C41" s="16" t="str">
        <f>INDEX(PORT!$B$2:$B$20,MATCH('06'!B41,PORT!$A$2:$A$20))</f>
        <v>SHV11</v>
      </c>
      <c r="D41" s="10" t="str">
        <f>INDEX(PORT!$C$2:$C$20,MATCH('06'!B41,PORT!$A$2:$A$20))</f>
        <v>SHV PORT</v>
      </c>
      <c r="E41" s="60" t="s">
        <v>1166</v>
      </c>
      <c r="F41" s="144">
        <v>46199</v>
      </c>
      <c r="G41" s="145" t="s">
        <v>10</v>
      </c>
      <c r="H41" s="49" t="s">
        <v>1174</v>
      </c>
      <c r="I41" s="196" t="s">
        <v>1153</v>
      </c>
      <c r="J41" s="142" t="s">
        <v>1202</v>
      </c>
      <c r="K41" s="147">
        <v>46202</v>
      </c>
      <c r="L41" s="21" t="str">
        <f>VLOOKUP(K41,'[6]Exchange Rate'!$A$3:$D$22,3,FALSE)</f>
        <v>4026</v>
      </c>
      <c r="M41" s="20" t="str">
        <f t="shared" si="3"/>
        <v>Monday</v>
      </c>
      <c r="N41" s="148">
        <v>208.48</v>
      </c>
      <c r="O41" s="141">
        <v>331.23</v>
      </c>
      <c r="P41" s="233">
        <v>0</v>
      </c>
      <c r="Q41" s="22">
        <v>50</v>
      </c>
      <c r="R41" s="182">
        <v>150</v>
      </c>
      <c r="S41" s="182">
        <v>351.71</v>
      </c>
      <c r="T41" s="182">
        <f t="shared" si="1"/>
        <v>15</v>
      </c>
      <c r="U41" s="182">
        <v>186.79</v>
      </c>
      <c r="V41" s="24">
        <f t="shared" si="2"/>
        <v>98.789999999999964</v>
      </c>
      <c r="W41" s="267"/>
    </row>
    <row r="42" spans="1:24" s="12" customFormat="1" ht="18" customHeight="1">
      <c r="A42" s="14"/>
      <c r="B42" s="59">
        <v>4</v>
      </c>
      <c r="C42" s="16" t="str">
        <f>INDEX(PORT!$B$2:$B$20,MATCH('06'!B42,PORT!$A$2:$A$20))</f>
        <v>PNH04</v>
      </c>
      <c r="D42" s="10" t="str">
        <f>INDEX(PORT!$C$2:$C$20,MATCH('06'!B42,PORT!$A$2:$A$20))</f>
        <v>PNH PORT</v>
      </c>
      <c r="E42" s="295" t="s">
        <v>1237</v>
      </c>
      <c r="F42" s="54">
        <v>46178</v>
      </c>
      <c r="G42" s="19" t="s">
        <v>41</v>
      </c>
      <c r="H42" s="49"/>
      <c r="I42" s="196" t="s">
        <v>1176</v>
      </c>
      <c r="J42" s="142" t="s">
        <v>1143</v>
      </c>
      <c r="K42" s="20">
        <v>46203</v>
      </c>
      <c r="L42" s="21" t="str">
        <f>VLOOKUP(K42,'[6]Exchange Rate'!$A$3:$D$22,3,FALSE)</f>
        <v>4026</v>
      </c>
      <c r="M42" s="20" t="str">
        <f t="shared" si="3"/>
        <v>Tuesday</v>
      </c>
      <c r="N42" s="26">
        <v>0</v>
      </c>
      <c r="O42" s="233">
        <v>2123.44</v>
      </c>
      <c r="P42" s="233">
        <v>0</v>
      </c>
      <c r="Q42" s="22">
        <v>0</v>
      </c>
      <c r="R42" s="182">
        <v>0</v>
      </c>
      <c r="S42" s="182">
        <v>2123.44</v>
      </c>
      <c r="T42" s="182">
        <f t="shared" si="1"/>
        <v>0</v>
      </c>
      <c r="U42" s="182">
        <v>174</v>
      </c>
      <c r="V42" s="24">
        <f t="shared" si="2"/>
        <v>174</v>
      </c>
      <c r="W42" s="293" t="s">
        <v>1132</v>
      </c>
      <c r="X42" s="293"/>
    </row>
    <row r="43" spans="1:24" s="12" customFormat="1" ht="18" customHeight="1">
      <c r="A43" s="14"/>
      <c r="B43" s="59">
        <v>4</v>
      </c>
      <c r="C43" s="16" t="str">
        <f>INDEX(PORT!$B$2:$B$20,MATCH('06'!B43,PORT!$A$2:$A$20))</f>
        <v>PNH04</v>
      </c>
      <c r="D43" s="10" t="str">
        <f>INDEX(PORT!$C$2:$C$20,MATCH('06'!B43,PORT!$A$2:$A$20))</f>
        <v>PNH PORT</v>
      </c>
      <c r="E43" s="296" t="s">
        <v>1238</v>
      </c>
      <c r="F43" s="54">
        <v>46185</v>
      </c>
      <c r="G43" s="19" t="s">
        <v>41</v>
      </c>
      <c r="H43" s="49"/>
      <c r="I43" s="196" t="s">
        <v>1178</v>
      </c>
      <c r="J43" s="142" t="s">
        <v>1144</v>
      </c>
      <c r="K43" s="20">
        <v>46203</v>
      </c>
      <c r="L43" s="21" t="str">
        <f>VLOOKUP(K43,'[6]Exchange Rate'!$A$3:$D$22,3,FALSE)</f>
        <v>4026</v>
      </c>
      <c r="M43" s="20" t="str">
        <f t="shared" si="3"/>
        <v>Tuesday</v>
      </c>
      <c r="N43" s="26">
        <v>0</v>
      </c>
      <c r="O43" s="233">
        <v>1618.96</v>
      </c>
      <c r="P43" s="233">
        <v>0</v>
      </c>
      <c r="Q43" s="22">
        <v>0</v>
      </c>
      <c r="R43" s="182">
        <v>0</v>
      </c>
      <c r="S43" s="182">
        <v>1618.96</v>
      </c>
      <c r="T43" s="182">
        <f t="shared" si="1"/>
        <v>0</v>
      </c>
      <c r="U43" s="182">
        <v>174</v>
      </c>
      <c r="V43" s="24">
        <f t="shared" si="2"/>
        <v>174</v>
      </c>
      <c r="W43" s="60" t="s">
        <v>1131</v>
      </c>
      <c r="X43" s="294"/>
    </row>
    <row r="44" spans="1:24" s="12" customFormat="1" ht="18" customHeight="1">
      <c r="A44" s="14"/>
      <c r="B44" s="15">
        <v>4</v>
      </c>
      <c r="C44" s="16" t="str">
        <f>INDEX(PORT!$B$2:$B$20,MATCH('06'!B44,PORT!$A$2:$A$20))</f>
        <v>PNH04</v>
      </c>
      <c r="D44" s="10" t="str">
        <f>INDEX(PORT!$C$2:$C$20,MATCH('06'!B44,PORT!$A$2:$A$20))</f>
        <v>PNH PORT</v>
      </c>
      <c r="E44" s="216" t="s">
        <v>1239</v>
      </c>
      <c r="F44" s="18">
        <v>46186</v>
      </c>
      <c r="G44" s="19" t="s">
        <v>41</v>
      </c>
      <c r="H44" s="49"/>
      <c r="I44" s="196" t="s">
        <v>1180</v>
      </c>
      <c r="J44" s="142" t="s">
        <v>1145</v>
      </c>
      <c r="K44" s="194">
        <v>46203</v>
      </c>
      <c r="L44" s="21" t="str">
        <f>VLOOKUP(K44,'[6]Exchange Rate'!$A$3:$D$22,3,FALSE)</f>
        <v>4026</v>
      </c>
      <c r="M44" s="20" t="str">
        <f t="shared" si="3"/>
        <v>Tuesday</v>
      </c>
      <c r="N44" s="26">
        <v>0</v>
      </c>
      <c r="O44" s="233">
        <v>1648.55</v>
      </c>
      <c r="P44" s="233">
        <v>0</v>
      </c>
      <c r="Q44" s="22">
        <v>0</v>
      </c>
      <c r="R44" s="182">
        <v>0</v>
      </c>
      <c r="S44" s="182">
        <v>1648.55</v>
      </c>
      <c r="T44" s="182">
        <f t="shared" si="1"/>
        <v>0</v>
      </c>
      <c r="U44" s="182">
        <v>174</v>
      </c>
      <c r="V44" s="24">
        <f t="shared" si="2"/>
        <v>174</v>
      </c>
      <c r="W44" s="60" t="s">
        <v>1133</v>
      </c>
      <c r="X44" s="294"/>
    </row>
    <row r="45" spans="1:24" s="12" customFormat="1" ht="18" customHeight="1">
      <c r="A45" s="14"/>
      <c r="B45" s="15">
        <v>11</v>
      </c>
      <c r="C45" s="16" t="str">
        <f>INDEX(PORT!$B$2:$B$20,MATCH('06'!B45,PORT!$A$2:$A$20))</f>
        <v>SHV11</v>
      </c>
      <c r="D45" s="10" t="str">
        <f>INDEX(PORT!$C$2:$C$20,MATCH('06'!B45,PORT!$A$2:$A$20))</f>
        <v>SHV PORT</v>
      </c>
      <c r="E45" s="216" t="s">
        <v>1240</v>
      </c>
      <c r="F45" s="18">
        <v>46191</v>
      </c>
      <c r="G45" s="19" t="s">
        <v>41</v>
      </c>
      <c r="H45" s="49"/>
      <c r="I45" s="196" t="s">
        <v>1182</v>
      </c>
      <c r="J45" s="142" t="s">
        <v>1146</v>
      </c>
      <c r="K45" s="194">
        <v>46203</v>
      </c>
      <c r="L45" s="21" t="str">
        <f>VLOOKUP(K45,'[6]Exchange Rate'!$A$3:$D$22,3,FALSE)</f>
        <v>4026</v>
      </c>
      <c r="M45" s="20" t="str">
        <f t="shared" si="3"/>
        <v>Tuesday</v>
      </c>
      <c r="N45" s="26">
        <v>0</v>
      </c>
      <c r="O45" s="233">
        <v>452.93</v>
      </c>
      <c r="P45" s="233">
        <v>0</v>
      </c>
      <c r="Q45" s="22">
        <v>0</v>
      </c>
      <c r="R45" s="182">
        <v>0</v>
      </c>
      <c r="S45" s="182">
        <v>452.93</v>
      </c>
      <c r="T45" s="182">
        <f t="shared" si="1"/>
        <v>0</v>
      </c>
      <c r="U45" s="182">
        <v>120</v>
      </c>
      <c r="V45" s="24">
        <f t="shared" si="2"/>
        <v>120.00000000000006</v>
      </c>
      <c r="W45" s="60" t="s">
        <v>1134</v>
      </c>
      <c r="X45" s="294"/>
    </row>
    <row r="46" spans="1:24" s="12" customFormat="1" ht="18" customHeight="1">
      <c r="A46" s="14"/>
      <c r="B46" s="15">
        <v>11</v>
      </c>
      <c r="C46" s="16" t="str">
        <f>INDEX(PORT!$B$2:$B$20,MATCH('06'!B46,PORT!$A$2:$A$20))</f>
        <v>SHV11</v>
      </c>
      <c r="D46" s="10" t="str">
        <f>INDEX(PORT!$C$2:$C$20,MATCH('06'!B46,PORT!$A$2:$A$20))</f>
        <v>SHV PORT</v>
      </c>
      <c r="E46" s="216" t="s">
        <v>1242</v>
      </c>
      <c r="F46" s="18">
        <v>46191</v>
      </c>
      <c r="G46" s="19" t="s">
        <v>41</v>
      </c>
      <c r="H46" s="49"/>
      <c r="I46" s="196" t="s">
        <v>1183</v>
      </c>
      <c r="J46" s="142" t="s">
        <v>1147</v>
      </c>
      <c r="K46" s="194">
        <v>46203</v>
      </c>
      <c r="L46" s="21" t="str">
        <f>VLOOKUP(K46,'[6]Exchange Rate'!$A$3:$D$22,3,FALSE)</f>
        <v>4026</v>
      </c>
      <c r="M46" s="20" t="str">
        <f t="shared" si="3"/>
        <v>Tuesday</v>
      </c>
      <c r="N46" s="26">
        <v>0</v>
      </c>
      <c r="O46" s="233">
        <v>529.86</v>
      </c>
      <c r="P46" s="233">
        <v>0</v>
      </c>
      <c r="Q46" s="22">
        <v>0</v>
      </c>
      <c r="R46" s="182">
        <v>0</v>
      </c>
      <c r="S46" s="182">
        <v>529.86</v>
      </c>
      <c r="T46" s="182">
        <f t="shared" si="1"/>
        <v>0</v>
      </c>
      <c r="U46" s="182">
        <v>174</v>
      </c>
      <c r="V46" s="24">
        <f t="shared" si="2"/>
        <v>174</v>
      </c>
      <c r="W46" s="60" t="s">
        <v>1135</v>
      </c>
      <c r="X46" s="294"/>
    </row>
    <row r="47" spans="1:24" s="12" customFormat="1" ht="18" customHeight="1">
      <c r="A47" s="14"/>
      <c r="B47" s="15">
        <v>4</v>
      </c>
      <c r="C47" s="16" t="str">
        <f>INDEX(PORT!$B$2:$B$20,MATCH('06'!B47,PORT!$A$2:$A$20))</f>
        <v>PNH04</v>
      </c>
      <c r="D47" s="10" t="str">
        <f>INDEX(PORT!$C$2:$C$20,MATCH('06'!B47,PORT!$A$2:$A$20))</f>
        <v>PNH PORT</v>
      </c>
      <c r="E47" s="216" t="s">
        <v>1241</v>
      </c>
      <c r="F47" s="18">
        <v>46192</v>
      </c>
      <c r="G47" s="19" t="s">
        <v>41</v>
      </c>
      <c r="H47" s="49"/>
      <c r="I47" s="196" t="s">
        <v>1184</v>
      </c>
      <c r="J47" s="142" t="s">
        <v>1148</v>
      </c>
      <c r="K47" s="194">
        <v>46203</v>
      </c>
      <c r="L47" s="21" t="str">
        <f>VLOOKUP(K47,'[6]Exchange Rate'!$A$3:$D$22,3,FALSE)</f>
        <v>4026</v>
      </c>
      <c r="M47" s="20" t="str">
        <f t="shared" si="3"/>
        <v>Tuesday</v>
      </c>
      <c r="N47" s="26">
        <v>0</v>
      </c>
      <c r="O47" s="233">
        <v>1386.77</v>
      </c>
      <c r="P47" s="233">
        <v>0</v>
      </c>
      <c r="Q47" s="22">
        <v>0</v>
      </c>
      <c r="R47" s="182">
        <v>0</v>
      </c>
      <c r="S47" s="182">
        <v>1386.77</v>
      </c>
      <c r="T47" s="182">
        <f t="shared" si="1"/>
        <v>0</v>
      </c>
      <c r="U47" s="182">
        <v>120</v>
      </c>
      <c r="V47" s="24">
        <f t="shared" si="2"/>
        <v>120</v>
      </c>
      <c r="W47" s="60" t="s">
        <v>1136</v>
      </c>
      <c r="X47" s="294"/>
    </row>
    <row r="48" spans="1:24" s="201" customFormat="1" ht="18" customHeight="1">
      <c r="A48" s="14"/>
      <c r="B48" s="15">
        <v>4</v>
      </c>
      <c r="C48" s="16" t="str">
        <f>INDEX(PORT!$B$2:$B$20,MATCH('06'!B48,PORT!$A$2:$A$20))</f>
        <v>PNH04</v>
      </c>
      <c r="D48" s="10" t="str">
        <f>INDEX(PORT!$C$2:$C$20,MATCH('06'!B48,PORT!$A$2:$A$20))</f>
        <v>PNH PORT</v>
      </c>
      <c r="E48" s="216" t="s">
        <v>1243</v>
      </c>
      <c r="F48" s="18">
        <v>46193</v>
      </c>
      <c r="G48" s="19" t="s">
        <v>41</v>
      </c>
      <c r="H48" s="49"/>
      <c r="I48" s="196" t="s">
        <v>1185</v>
      </c>
      <c r="J48" s="142" t="s">
        <v>1149</v>
      </c>
      <c r="K48" s="194">
        <v>46203</v>
      </c>
      <c r="L48" s="21" t="str">
        <f>VLOOKUP(K48,'[6]Exchange Rate'!$A$3:$D$22,3,FALSE)</f>
        <v>4026</v>
      </c>
      <c r="M48" s="20" t="str">
        <f t="shared" si="3"/>
        <v>Tuesday</v>
      </c>
      <c r="N48" s="26">
        <v>0</v>
      </c>
      <c r="O48" s="233">
        <v>1719.08</v>
      </c>
      <c r="P48" s="233">
        <v>0</v>
      </c>
      <c r="Q48" s="22">
        <v>0</v>
      </c>
      <c r="R48" s="182">
        <v>0</v>
      </c>
      <c r="S48" s="182">
        <v>1719.08</v>
      </c>
      <c r="T48" s="182">
        <f t="shared" si="1"/>
        <v>0</v>
      </c>
      <c r="U48" s="182">
        <v>174</v>
      </c>
      <c r="V48" s="24">
        <f t="shared" si="2"/>
        <v>174</v>
      </c>
      <c r="W48" s="60" t="s">
        <v>1154</v>
      </c>
      <c r="X48" s="294"/>
    </row>
    <row r="49" spans="1:23" s="201" customFormat="1" ht="18" customHeight="1">
      <c r="A49" s="14" t="s">
        <v>207</v>
      </c>
      <c r="B49" s="59">
        <v>1</v>
      </c>
      <c r="C49" s="16" t="str">
        <f>INDEX(PORT!$B$2:$B$20,MATCH('06'!B49,PORT!$A$2:$A$20))</f>
        <v>PNH01</v>
      </c>
      <c r="D49" s="10" t="str">
        <f>INDEX(PORT!$C$2:$C$20,MATCH('06'!B49,PORT!$A$2:$A$20))</f>
        <v>KTI AIR PORT</v>
      </c>
      <c r="E49" s="60" t="s">
        <v>1159</v>
      </c>
      <c r="F49" s="54">
        <v>46202</v>
      </c>
      <c r="G49" s="19" t="s">
        <v>351</v>
      </c>
      <c r="H49" s="49" t="s">
        <v>1175</v>
      </c>
      <c r="I49" s="196" t="s">
        <v>1186</v>
      </c>
      <c r="J49" s="142" t="s">
        <v>1193</v>
      </c>
      <c r="K49" s="20">
        <v>46203</v>
      </c>
      <c r="L49" s="21" t="str">
        <f>VLOOKUP(K49,'[6]Exchange Rate'!$A$3:$D$22,3,FALSE)</f>
        <v>4026</v>
      </c>
      <c r="M49" s="20" t="str">
        <f t="shared" si="3"/>
        <v>Tuesday</v>
      </c>
      <c r="N49" s="26">
        <v>274.29000000000002</v>
      </c>
      <c r="O49" s="233">
        <v>0</v>
      </c>
      <c r="P49" s="233">
        <v>0</v>
      </c>
      <c r="Q49" s="22">
        <v>50</v>
      </c>
      <c r="R49" s="182">
        <v>185</v>
      </c>
      <c r="S49" s="182">
        <v>104.29</v>
      </c>
      <c r="T49" s="182">
        <f t="shared" si="1"/>
        <v>18.5</v>
      </c>
      <c r="U49" s="182">
        <v>225.75</v>
      </c>
      <c r="V49" s="24">
        <f t="shared" si="2"/>
        <v>190.74999999999994</v>
      </c>
      <c r="W49" s="208"/>
    </row>
    <row r="50" spans="1:23" s="201" customFormat="1" ht="18" customHeight="1">
      <c r="A50" s="14" t="s">
        <v>207</v>
      </c>
      <c r="B50" s="59">
        <v>1</v>
      </c>
      <c r="C50" s="16" t="str">
        <f>INDEX(PORT!$B$2:$B$20,MATCH('06'!B50,PORT!$A$2:$A$20))</f>
        <v>PNH01</v>
      </c>
      <c r="D50" s="10" t="str">
        <f>INDEX(PORT!$C$2:$C$20,MATCH('06'!B50,PORT!$A$2:$A$20))</f>
        <v>KTI AIR PORT</v>
      </c>
      <c r="E50" s="60" t="s">
        <v>1160</v>
      </c>
      <c r="F50" s="54">
        <v>46202</v>
      </c>
      <c r="G50" s="19" t="s">
        <v>351</v>
      </c>
      <c r="H50" s="49" t="s">
        <v>1177</v>
      </c>
      <c r="I50" s="196" t="s">
        <v>1187</v>
      </c>
      <c r="J50" s="142" t="s">
        <v>1194</v>
      </c>
      <c r="K50" s="20">
        <v>46203</v>
      </c>
      <c r="L50" s="21" t="str">
        <f>VLOOKUP(K50,'[6]Exchange Rate'!$A$3:$D$22,3,FALSE)</f>
        <v>4026</v>
      </c>
      <c r="M50" s="20" t="str">
        <f t="shared" si="3"/>
        <v>Tuesday</v>
      </c>
      <c r="N50" s="26">
        <v>353.88</v>
      </c>
      <c r="O50" s="233">
        <v>0</v>
      </c>
      <c r="P50" s="233">
        <v>0</v>
      </c>
      <c r="Q50" s="22">
        <v>50</v>
      </c>
      <c r="R50" s="182">
        <v>185</v>
      </c>
      <c r="S50" s="182">
        <v>168.88</v>
      </c>
      <c r="T50" s="182">
        <f t="shared" si="1"/>
        <v>18.5</v>
      </c>
      <c r="U50" s="182">
        <v>272</v>
      </c>
      <c r="V50" s="24">
        <f t="shared" si="2"/>
        <v>222</v>
      </c>
      <c r="W50" s="60"/>
    </row>
    <row r="51" spans="1:23" s="50" customFormat="1" ht="18" customHeight="1">
      <c r="A51" s="14" t="s">
        <v>207</v>
      </c>
      <c r="B51" s="59">
        <v>1</v>
      </c>
      <c r="C51" s="16" t="str">
        <f>INDEX(PORT!$B$2:$B$20,MATCH('06'!B51,PORT!$A$2:$A$20))</f>
        <v>PNH01</v>
      </c>
      <c r="D51" s="10" t="str">
        <f>INDEX(PORT!$C$2:$C$20,MATCH('06'!B51,PORT!$A$2:$A$20))</f>
        <v>KTI AIR PORT</v>
      </c>
      <c r="E51" s="60" t="s">
        <v>1162</v>
      </c>
      <c r="F51" s="54">
        <v>46203</v>
      </c>
      <c r="G51" s="19" t="s">
        <v>4</v>
      </c>
      <c r="H51" s="49" t="s">
        <v>1179</v>
      </c>
      <c r="I51" s="196" t="s">
        <v>1188</v>
      </c>
      <c r="J51" s="142" t="s">
        <v>1198</v>
      </c>
      <c r="K51" s="20">
        <v>46203</v>
      </c>
      <c r="L51" s="21" t="str">
        <f>VLOOKUP(K51,'[6]Exchange Rate'!$A$3:$D$22,3,FALSE)</f>
        <v>4026</v>
      </c>
      <c r="M51" s="20" t="str">
        <f t="shared" si="3"/>
        <v>Tuesday</v>
      </c>
      <c r="N51" s="26">
        <v>176.17</v>
      </c>
      <c r="O51" s="233">
        <v>60.5</v>
      </c>
      <c r="P51" s="233">
        <v>0</v>
      </c>
      <c r="Q51" s="22">
        <v>50</v>
      </c>
      <c r="R51" s="182">
        <v>150</v>
      </c>
      <c r="S51" s="182">
        <v>91.67</v>
      </c>
      <c r="T51" s="182">
        <f t="shared" si="1"/>
        <v>15</v>
      </c>
      <c r="U51" s="182">
        <v>196.75</v>
      </c>
      <c r="V51" s="24">
        <f t="shared" si="2"/>
        <v>151.75000000000006</v>
      </c>
      <c r="W51" s="60"/>
    </row>
    <row r="52" spans="1:23" s="201" customFormat="1" ht="18" customHeight="1">
      <c r="A52" s="14" t="s">
        <v>207</v>
      </c>
      <c r="B52" s="59">
        <v>11</v>
      </c>
      <c r="C52" s="16" t="str">
        <f>INDEX(PORT!$B$2:$B$20,MATCH('06'!B52,PORT!$A$2:$A$20))</f>
        <v>SHV11</v>
      </c>
      <c r="D52" s="10" t="str">
        <f>INDEX(PORT!$C$2:$C$20,MATCH('06'!B52,PORT!$A$2:$A$20))</f>
        <v>SHV PORT</v>
      </c>
      <c r="E52" s="60" t="s">
        <v>1167</v>
      </c>
      <c r="F52" s="54">
        <v>46203</v>
      </c>
      <c r="G52" s="19" t="s">
        <v>10</v>
      </c>
      <c r="H52" s="49" t="s">
        <v>1181</v>
      </c>
      <c r="I52" s="196" t="s">
        <v>1189</v>
      </c>
      <c r="J52" s="142" t="s">
        <v>1203</v>
      </c>
      <c r="K52" s="20">
        <v>46203</v>
      </c>
      <c r="L52" s="21" t="str">
        <f>VLOOKUP(K52,'[6]Exchange Rate'!$A$3:$D$22,3,FALSE)</f>
        <v>4026</v>
      </c>
      <c r="M52" s="20" t="str">
        <f t="shared" si="3"/>
        <v>Tuesday</v>
      </c>
      <c r="N52" s="26">
        <v>140.43</v>
      </c>
      <c r="O52" s="233">
        <v>183.7</v>
      </c>
      <c r="P52" s="233">
        <v>0</v>
      </c>
      <c r="Q52" s="22">
        <v>50</v>
      </c>
      <c r="R52" s="182">
        <v>150</v>
      </c>
      <c r="S52" s="182">
        <v>199.13</v>
      </c>
      <c r="T52" s="182">
        <f t="shared" si="1"/>
        <v>15</v>
      </c>
      <c r="U52" s="182">
        <v>109.5</v>
      </c>
      <c r="V52" s="24">
        <f t="shared" si="2"/>
        <v>84.5</v>
      </c>
      <c r="W52" s="60"/>
    </row>
    <row r="53" spans="1:23" s="50" customFormat="1" ht="18" customHeight="1">
      <c r="A53" s="14"/>
      <c r="B53" s="59">
        <v>11</v>
      </c>
      <c r="C53" s="16" t="str">
        <f>INDEX(PORT!$B$2:$B$20,MATCH('06'!B53,PORT!$A$2:$A$20))</f>
        <v>SHV11</v>
      </c>
      <c r="D53" s="10" t="str">
        <f>INDEX(PORT!$C$2:$C$20,MATCH('06'!B53,PORT!$A$2:$A$20))</f>
        <v>SHV PORT</v>
      </c>
      <c r="E53" s="60" t="s">
        <v>1235</v>
      </c>
      <c r="F53" s="54"/>
      <c r="G53" s="19" t="s">
        <v>4</v>
      </c>
      <c r="H53" s="49"/>
      <c r="I53" s="49" t="s">
        <v>1190</v>
      </c>
      <c r="J53" s="142"/>
      <c r="K53" s="20">
        <v>46203</v>
      </c>
      <c r="L53" s="21" t="str">
        <f>VLOOKUP(K53,'[6]Exchange Rate'!$A$3:$D$22,3,FALSE)</f>
        <v>4026</v>
      </c>
      <c r="M53" s="20" t="str">
        <f t="shared" ref="M53" si="4">TEXT(K53,"dddd")</f>
        <v>Tuesday</v>
      </c>
      <c r="N53" s="26">
        <v>0</v>
      </c>
      <c r="O53" s="233">
        <v>222.72</v>
      </c>
      <c r="P53" s="233">
        <v>0</v>
      </c>
      <c r="Q53" s="22">
        <v>0</v>
      </c>
      <c r="R53" s="182">
        <v>0</v>
      </c>
      <c r="S53" s="182">
        <v>222.72</v>
      </c>
      <c r="T53" s="182">
        <f t="shared" ref="T53" si="5">ROUND(R53*10%,2)</f>
        <v>0</v>
      </c>
      <c r="U53" s="182">
        <v>0</v>
      </c>
      <c r="V53" s="24">
        <f t="shared" ref="V53" si="6">(R53+S53+U53)-(N53+O53+Q53+P53)</f>
        <v>0</v>
      </c>
      <c r="W53" s="60"/>
    </row>
    <row r="54" spans="1:23" s="50" customFormat="1" ht="18" customHeight="1">
      <c r="A54" s="14"/>
      <c r="B54" s="59">
        <v>11</v>
      </c>
      <c r="C54" s="16" t="str">
        <f>INDEX(PORT!$B$2:$B$20,MATCH('06'!B54,PORT!$A$2:$A$20))</f>
        <v>SHV11</v>
      </c>
      <c r="D54" s="10" t="str">
        <f>INDEX(PORT!$C$2:$C$20,MATCH('06'!B54,PORT!$A$2:$A$20))</f>
        <v>SHV PORT</v>
      </c>
      <c r="E54" s="60" t="s">
        <v>1204</v>
      </c>
      <c r="F54" s="54"/>
      <c r="G54" s="19" t="s">
        <v>4</v>
      </c>
      <c r="H54" s="49"/>
      <c r="I54" s="49" t="s">
        <v>1205</v>
      </c>
      <c r="J54" s="142"/>
      <c r="K54" s="20">
        <v>46203</v>
      </c>
      <c r="L54" s="21" t="str">
        <f>VLOOKUP(K54,'[6]Exchange Rate'!$A$3:$D$22,3,FALSE)</f>
        <v>4026</v>
      </c>
      <c r="M54" s="20" t="str">
        <f t="shared" si="3"/>
        <v>Tuesday</v>
      </c>
      <c r="N54" s="26">
        <v>0</v>
      </c>
      <c r="O54" s="233">
        <v>602.36</v>
      </c>
      <c r="P54" s="233">
        <v>0</v>
      </c>
      <c r="Q54" s="22">
        <v>0</v>
      </c>
      <c r="R54" s="182">
        <v>0</v>
      </c>
      <c r="S54" s="182">
        <v>602.36</v>
      </c>
      <c r="T54" s="182">
        <f t="shared" si="1"/>
        <v>0</v>
      </c>
      <c r="U54" s="182">
        <v>0</v>
      </c>
      <c r="V54" s="24">
        <f t="shared" si="2"/>
        <v>0</v>
      </c>
      <c r="W54" s="60"/>
    </row>
    <row r="55" spans="1:23" s="201" customFormat="1" ht="18" customHeight="1">
      <c r="A55" s="14"/>
      <c r="B55" s="59">
        <v>19</v>
      </c>
      <c r="C55" s="16" t="str">
        <f>INDEX(PORT!$B$2:$B$20,MATCH('06'!B55,PORT!$A$2:$A$20))</f>
        <v>PNH19</v>
      </c>
      <c r="D55" s="10" t="str">
        <f>INDEX(PORT!$C$2:$C$20,MATCH('06'!B55,PORT!$A$2:$A$20))</f>
        <v>TEC SRUN DRYPORT</v>
      </c>
      <c r="E55" s="60" t="s">
        <v>1234</v>
      </c>
      <c r="F55" s="54"/>
      <c r="G55" s="19" t="s">
        <v>4</v>
      </c>
      <c r="H55" s="49"/>
      <c r="I55" s="49" t="s">
        <v>1206</v>
      </c>
      <c r="J55" s="142"/>
      <c r="K55" s="20">
        <v>46203</v>
      </c>
      <c r="L55" s="21" t="str">
        <f>VLOOKUP(K55,'[6]Exchange Rate'!$A$3:$D$22,3,FALSE)</f>
        <v>4026</v>
      </c>
      <c r="M55" s="20" t="str">
        <f t="shared" si="3"/>
        <v>Tuesday</v>
      </c>
      <c r="N55" s="26">
        <v>0</v>
      </c>
      <c r="O55" s="233">
        <v>285.60000000000002</v>
      </c>
      <c r="P55" s="233">
        <v>0</v>
      </c>
      <c r="Q55" s="22">
        <v>0</v>
      </c>
      <c r="R55" s="182">
        <v>0</v>
      </c>
      <c r="S55" s="182">
        <v>285.60000000000002</v>
      </c>
      <c r="T55" s="182">
        <f t="shared" si="1"/>
        <v>0</v>
      </c>
      <c r="U55" s="182">
        <v>0</v>
      </c>
      <c r="V55" s="24">
        <f t="shared" si="2"/>
        <v>0</v>
      </c>
      <c r="W55" s="60"/>
    </row>
    <row r="56" spans="1:23" s="50" customFormat="1" ht="18" customHeight="1">
      <c r="A56" s="14"/>
      <c r="B56" s="59">
        <v>19</v>
      </c>
      <c r="C56" s="16" t="str">
        <f>INDEX(PORT!$B$2:$B$20,MATCH('06'!B56,PORT!$A$2:$A$20))</f>
        <v>PNH19</v>
      </c>
      <c r="D56" s="10" t="str">
        <f>INDEX(PORT!$C$2:$C$20,MATCH('06'!B56,PORT!$A$2:$A$20))</f>
        <v>TEC SRUN DRYPORT</v>
      </c>
      <c r="E56" s="60"/>
      <c r="F56" s="144"/>
      <c r="G56" s="19" t="s">
        <v>10</v>
      </c>
      <c r="H56" s="140"/>
      <c r="I56" s="49" t="s">
        <v>1207</v>
      </c>
      <c r="J56" s="146"/>
      <c r="K56" s="20">
        <v>46203</v>
      </c>
      <c r="L56" s="21" t="str">
        <f>VLOOKUP(K56,'[6]Exchange Rate'!$A$3:$D$22,3,FALSE)</f>
        <v>4026</v>
      </c>
      <c r="M56" s="20" t="str">
        <f t="shared" si="3"/>
        <v>Tuesday</v>
      </c>
      <c r="N56" s="148">
        <v>0</v>
      </c>
      <c r="O56" s="233">
        <v>198.56</v>
      </c>
      <c r="P56" s="233">
        <v>0</v>
      </c>
      <c r="Q56" s="22">
        <v>0</v>
      </c>
      <c r="R56" s="182">
        <v>0</v>
      </c>
      <c r="S56" s="182">
        <v>198.56</v>
      </c>
      <c r="T56" s="182">
        <f t="shared" si="1"/>
        <v>0</v>
      </c>
      <c r="U56" s="182">
        <v>0</v>
      </c>
      <c r="V56" s="24">
        <f t="shared" si="2"/>
        <v>0</v>
      </c>
      <c r="W56" s="292"/>
    </row>
    <row r="57" spans="1:23" s="50" customFormat="1" ht="18" customHeight="1">
      <c r="A57" s="14"/>
      <c r="B57" s="143">
        <v>11</v>
      </c>
      <c r="C57" s="16" t="str">
        <f>INDEX(PORT!$B$2:$B$20,MATCH('06'!B57,PORT!$A$2:$A$20))</f>
        <v>SHV11</v>
      </c>
      <c r="D57" s="10" t="str">
        <f>INDEX(PORT!$C$2:$C$20,MATCH('06'!B57,PORT!$A$2:$A$20))</f>
        <v>SHV PORT</v>
      </c>
      <c r="E57" s="60"/>
      <c r="F57" s="144"/>
      <c r="G57" s="19" t="s">
        <v>10</v>
      </c>
      <c r="H57" s="140"/>
      <c r="I57" s="49" t="s">
        <v>1208</v>
      </c>
      <c r="J57" s="146"/>
      <c r="K57" s="20">
        <v>46203</v>
      </c>
      <c r="L57" s="21" t="str">
        <f>VLOOKUP(K57,'[6]Exchange Rate'!$A$3:$D$22,3,FALSE)</f>
        <v>4026</v>
      </c>
      <c r="M57" s="20" t="str">
        <f t="shared" si="3"/>
        <v>Tuesday</v>
      </c>
      <c r="N57" s="148">
        <v>0</v>
      </c>
      <c r="O57" s="233">
        <v>272.25</v>
      </c>
      <c r="P57" s="233">
        <v>0</v>
      </c>
      <c r="Q57" s="22">
        <v>0</v>
      </c>
      <c r="R57" s="182">
        <v>0</v>
      </c>
      <c r="S57" s="182">
        <v>272.25</v>
      </c>
      <c r="T57" s="182">
        <f t="shared" si="1"/>
        <v>0</v>
      </c>
      <c r="U57" s="182">
        <v>0</v>
      </c>
      <c r="V57" s="24">
        <f t="shared" si="2"/>
        <v>0</v>
      </c>
      <c r="W57" s="267"/>
    </row>
    <row r="58" spans="1:23" s="201" customFormat="1" ht="18" customHeight="1">
      <c r="A58" s="14" t="s">
        <v>207</v>
      </c>
      <c r="B58" s="59">
        <v>11</v>
      </c>
      <c r="C58" s="16" t="str">
        <f>INDEX(PORT!$B$2:$B$20,MATCH('06'!B58,PORT!$A$2:$A$20))</f>
        <v>SHV11</v>
      </c>
      <c r="D58" s="10" t="str">
        <f>INDEX(PORT!$C$2:$C$20,MATCH('06'!B58,PORT!$A$2:$A$20))</f>
        <v>SHV PORT</v>
      </c>
      <c r="E58" s="60" t="s">
        <v>1210</v>
      </c>
      <c r="F58" s="54">
        <v>46203</v>
      </c>
      <c r="G58" s="19" t="s">
        <v>351</v>
      </c>
      <c r="H58" s="49" t="s">
        <v>1211</v>
      </c>
      <c r="I58" s="49" t="s">
        <v>1212</v>
      </c>
      <c r="J58" s="146" t="s">
        <v>1213</v>
      </c>
      <c r="K58" s="20">
        <v>46203</v>
      </c>
      <c r="L58" s="21" t="str">
        <f>VLOOKUP(K58,'[6]Exchange Rate'!$A$3:$D$22,3,FALSE)</f>
        <v>4026</v>
      </c>
      <c r="M58" s="20" t="str">
        <f t="shared" si="3"/>
        <v>Tuesday</v>
      </c>
      <c r="N58" s="26">
        <v>450.45</v>
      </c>
      <c r="O58" s="233">
        <v>401</v>
      </c>
      <c r="P58" s="233">
        <v>0</v>
      </c>
      <c r="Q58" s="22">
        <v>50</v>
      </c>
      <c r="R58" s="182">
        <v>150</v>
      </c>
      <c r="S58" s="182">
        <v>510.45</v>
      </c>
      <c r="T58" s="182">
        <f t="shared" si="1"/>
        <v>15</v>
      </c>
      <c r="U58" s="182">
        <v>592.45000000000005</v>
      </c>
      <c r="V58" s="24">
        <f t="shared" si="2"/>
        <v>351.45000000000005</v>
      </c>
      <c r="W58" s="60"/>
    </row>
    <row r="59" spans="1:23" s="201" customFormat="1" ht="18" customHeight="1">
      <c r="A59" s="14" t="s">
        <v>207</v>
      </c>
      <c r="B59" s="59">
        <v>11</v>
      </c>
      <c r="C59" s="16" t="str">
        <f>INDEX(PORT!$B$2:$B$20,MATCH('06'!B59,PORT!$A$2:$A$20))</f>
        <v>SHV11</v>
      </c>
      <c r="D59" s="10" t="str">
        <f>INDEX(PORT!$C$2:$C$20,MATCH('06'!B59,PORT!$A$2:$A$20))</f>
        <v>SHV PORT</v>
      </c>
      <c r="E59" s="60" t="s">
        <v>1227</v>
      </c>
      <c r="F59" s="54">
        <v>46185</v>
      </c>
      <c r="G59" s="19" t="s">
        <v>351</v>
      </c>
      <c r="H59" s="49" t="s">
        <v>1214</v>
      </c>
      <c r="I59" s="49" t="s">
        <v>1215</v>
      </c>
      <c r="J59" s="146" t="s">
        <v>1216</v>
      </c>
      <c r="K59" s="20">
        <v>46203</v>
      </c>
      <c r="L59" s="21" t="str">
        <f>VLOOKUP(K59,'[6]Exchange Rate'!$A$3:$D$22,3,FALSE)</f>
        <v>4026</v>
      </c>
      <c r="M59" s="20" t="str">
        <f>TEXT(K59,"dddd")</f>
        <v>Tuesday</v>
      </c>
      <c r="N59" s="26">
        <v>451.45</v>
      </c>
      <c r="O59" s="233">
        <v>0</v>
      </c>
      <c r="P59" s="233">
        <v>0</v>
      </c>
      <c r="Q59" s="22">
        <v>50</v>
      </c>
      <c r="R59" s="182">
        <v>245</v>
      </c>
      <c r="S59" s="182">
        <v>39.950000000000003</v>
      </c>
      <c r="T59" s="182">
        <f t="shared" si="1"/>
        <v>24.5</v>
      </c>
      <c r="U59" s="182">
        <v>499.5</v>
      </c>
      <c r="V59" s="24">
        <f t="shared" si="2"/>
        <v>283.00000000000006</v>
      </c>
      <c r="W59" s="60"/>
    </row>
    <row r="60" spans="1:23" s="201" customFormat="1" ht="18" customHeight="1">
      <c r="A60" s="14" t="s">
        <v>207</v>
      </c>
      <c r="B60" s="59">
        <v>23</v>
      </c>
      <c r="C60" s="16" t="str">
        <f>INDEX(PORT!$B$2:$B$20,MATCH('06'!B60,PORT!$A$2:$A$20))</f>
        <v>PNH23</v>
      </c>
      <c r="D60" s="10" t="str">
        <f>INDEX(PORT!$C$2:$C$20,MATCH('06'!B60,PORT!$A$2:$A$20))</f>
        <v>UNION DRY PORT</v>
      </c>
      <c r="E60" s="60" t="s">
        <v>1228</v>
      </c>
      <c r="F60" s="54">
        <v>46185</v>
      </c>
      <c r="G60" s="19" t="s">
        <v>351</v>
      </c>
      <c r="H60" s="49" t="s">
        <v>1217</v>
      </c>
      <c r="I60" s="49" t="s">
        <v>1218</v>
      </c>
      <c r="J60" s="146" t="s">
        <v>1219</v>
      </c>
      <c r="K60" s="20">
        <v>46203</v>
      </c>
      <c r="L60" s="21" t="str">
        <f>VLOOKUP(K60,'[6]Exchange Rate'!$A$3:$D$22,3,FALSE)</f>
        <v>4026</v>
      </c>
      <c r="M60" s="20" t="str">
        <f>TEXT(K60,"dddd")</f>
        <v>Tuesday</v>
      </c>
      <c r="N60" s="26">
        <v>345.35</v>
      </c>
      <c r="O60" s="233">
        <v>774.62</v>
      </c>
      <c r="P60" s="233">
        <v>0</v>
      </c>
      <c r="Q60" s="22">
        <v>50</v>
      </c>
      <c r="R60" s="182">
        <v>150</v>
      </c>
      <c r="S60" s="182">
        <v>949.97</v>
      </c>
      <c r="T60" s="182">
        <f t="shared" si="1"/>
        <v>15</v>
      </c>
      <c r="U60" s="182">
        <v>227</v>
      </c>
      <c r="V60" s="24">
        <f t="shared" si="2"/>
        <v>157</v>
      </c>
      <c r="W60" s="60"/>
    </row>
    <row r="61" spans="1:23" s="201" customFormat="1" ht="18" customHeight="1">
      <c r="A61" s="14" t="s">
        <v>207</v>
      </c>
      <c r="B61" s="59">
        <v>11</v>
      </c>
      <c r="C61" s="16" t="str">
        <f>INDEX(PORT!$B$2:$B$20,MATCH('06'!B61,PORT!$A$2:$A$20))</f>
        <v>SHV11</v>
      </c>
      <c r="D61" s="10" t="str">
        <f>INDEX(PORT!$C$2:$C$20,MATCH('06'!B61,PORT!$A$2:$A$20))</f>
        <v>SHV PORT</v>
      </c>
      <c r="E61" s="60" t="s">
        <v>1229</v>
      </c>
      <c r="F61" s="54">
        <v>46192</v>
      </c>
      <c r="G61" s="19" t="s">
        <v>351</v>
      </c>
      <c r="H61" s="49" t="s">
        <v>1220</v>
      </c>
      <c r="I61" s="49" t="s">
        <v>1221</v>
      </c>
      <c r="J61" s="146" t="s">
        <v>1222</v>
      </c>
      <c r="K61" s="20">
        <v>46203</v>
      </c>
      <c r="L61" s="21" t="str">
        <f>VLOOKUP(K61,'[6]Exchange Rate'!$A$3:$D$22,3,FALSE)</f>
        <v>4026</v>
      </c>
      <c r="M61" s="20" t="str">
        <f>TEXT(K61,"dddd")</f>
        <v>Tuesday</v>
      </c>
      <c r="N61" s="26">
        <v>899.28</v>
      </c>
      <c r="O61" s="233">
        <v>0</v>
      </c>
      <c r="P61" s="233">
        <v>0</v>
      </c>
      <c r="Q61" s="22">
        <v>50</v>
      </c>
      <c r="R61" s="182">
        <v>245</v>
      </c>
      <c r="S61" s="182">
        <v>107.28</v>
      </c>
      <c r="T61" s="182">
        <f t="shared" si="1"/>
        <v>24.5</v>
      </c>
      <c r="U61" s="182">
        <v>1157.5</v>
      </c>
      <c r="V61" s="24">
        <f t="shared" si="2"/>
        <v>560.5</v>
      </c>
      <c r="W61" s="60"/>
    </row>
    <row r="62" spans="1:23" s="201" customFormat="1" ht="18" customHeight="1">
      <c r="A62" s="14" t="s">
        <v>207</v>
      </c>
      <c r="B62" s="59">
        <v>1</v>
      </c>
      <c r="C62" s="16" t="str">
        <f>INDEX(PORT!$B$2:$B$20,MATCH('06'!B62,PORT!$A$2:$A$20))</f>
        <v>PNH01</v>
      </c>
      <c r="D62" s="10" t="str">
        <f>INDEX(PORT!$C$2:$C$20,MATCH('06'!B62,PORT!$A$2:$A$20))</f>
        <v>KTI AIR PORT</v>
      </c>
      <c r="E62" s="60" t="s">
        <v>1230</v>
      </c>
      <c r="F62" s="54">
        <v>46196</v>
      </c>
      <c r="G62" s="19" t="s">
        <v>351</v>
      </c>
      <c r="H62" s="49" t="s">
        <v>1223</v>
      </c>
      <c r="I62" s="49" t="s">
        <v>1224</v>
      </c>
      <c r="J62" s="146" t="s">
        <v>1225</v>
      </c>
      <c r="K62" s="20">
        <v>46203</v>
      </c>
      <c r="L62" s="21" t="str">
        <f>VLOOKUP(K62,'[6]Exchange Rate'!$A$3:$D$22,3,FALSE)</f>
        <v>4026</v>
      </c>
      <c r="M62" s="20" t="str">
        <f>TEXT(K62,"dddd")</f>
        <v>Tuesday</v>
      </c>
      <c r="N62" s="26">
        <v>167.28</v>
      </c>
      <c r="O62" s="233">
        <v>0</v>
      </c>
      <c r="P62" s="233">
        <v>0</v>
      </c>
      <c r="Q62" s="22">
        <v>50</v>
      </c>
      <c r="R62" s="182">
        <v>150</v>
      </c>
      <c r="S62" s="182">
        <v>47.28</v>
      </c>
      <c r="T62" s="182">
        <f t="shared" si="1"/>
        <v>15</v>
      </c>
      <c r="U62" s="182">
        <v>180</v>
      </c>
      <c r="V62" s="24">
        <f t="shared" si="2"/>
        <v>159.99999999999997</v>
      </c>
      <c r="W62" s="60"/>
    </row>
    <row r="63" spans="1:23" s="201" customFormat="1" ht="18" customHeight="1">
      <c r="A63" s="14" t="s">
        <v>207</v>
      </c>
      <c r="B63" s="59">
        <v>1</v>
      </c>
      <c r="C63" s="16" t="str">
        <f>INDEX(PORT!$B$2:$B$20,MATCH('06'!B63,PORT!$A$2:$A$20))</f>
        <v>PNH01</v>
      </c>
      <c r="D63" s="10" t="str">
        <f>INDEX(PORT!$C$2:$C$20,MATCH('06'!B63,PORT!$A$2:$A$20))</f>
        <v>KTI AIR PORT</v>
      </c>
      <c r="E63" s="60" t="s">
        <v>1231</v>
      </c>
      <c r="F63" s="54">
        <v>46199</v>
      </c>
      <c r="G63" s="19" t="s">
        <v>351</v>
      </c>
      <c r="H63" s="49" t="s">
        <v>1232</v>
      </c>
      <c r="I63" s="49" t="s">
        <v>1236</v>
      </c>
      <c r="J63" s="146" t="s">
        <v>1226</v>
      </c>
      <c r="K63" s="20">
        <v>46203</v>
      </c>
      <c r="L63" s="21" t="str">
        <f>VLOOKUP(K63,'[6]Exchange Rate'!$A$3:$D$22,3,FALSE)</f>
        <v>4026</v>
      </c>
      <c r="M63" s="20" t="str">
        <f>TEXT(K63,"dddd")</f>
        <v>Tuesday</v>
      </c>
      <c r="N63" s="26">
        <v>244.19</v>
      </c>
      <c r="O63" s="233">
        <v>0</v>
      </c>
      <c r="P63" s="233">
        <v>0</v>
      </c>
      <c r="Q63" s="22">
        <v>50</v>
      </c>
      <c r="R63" s="182">
        <v>165</v>
      </c>
      <c r="S63" s="182">
        <v>74.19</v>
      </c>
      <c r="T63" s="182">
        <f t="shared" si="1"/>
        <v>16.5</v>
      </c>
      <c r="U63" s="182">
        <v>175.75</v>
      </c>
      <c r="V63" s="24">
        <f t="shared" si="2"/>
        <v>120.75</v>
      </c>
      <c r="W63" s="60"/>
    </row>
    <row r="64" spans="1:23" s="201" customFormat="1" ht="15.75">
      <c r="A64" s="14"/>
      <c r="B64" s="15"/>
      <c r="C64" s="16"/>
      <c r="D64" s="10"/>
      <c r="E64" s="60"/>
      <c r="F64" s="18"/>
      <c r="G64" s="19" t="s">
        <v>41</v>
      </c>
      <c r="H64" s="49"/>
      <c r="I64" s="196"/>
      <c r="J64" s="142" t="s">
        <v>1150</v>
      </c>
      <c r="K64" s="194">
        <v>46203</v>
      </c>
      <c r="L64" s="21" t="str">
        <f>VLOOKUP(K64,'[6]Exchange Rate'!$A$3:$D$22,3,FALSE)</f>
        <v>4026</v>
      </c>
      <c r="M64" s="20" t="str">
        <f t="shared" ref="M64" si="7">TEXT(K64,"dddd")</f>
        <v>Tuesday</v>
      </c>
      <c r="N64" s="26">
        <v>0</v>
      </c>
      <c r="O64" s="233">
        <v>0</v>
      </c>
      <c r="P64" s="26">
        <v>920</v>
      </c>
      <c r="Q64" s="22">
        <v>0</v>
      </c>
      <c r="R64" s="182">
        <v>0</v>
      </c>
      <c r="S64" s="182">
        <v>0</v>
      </c>
      <c r="T64" s="182">
        <f t="shared" ref="T64" si="8">ROUND(R64*10%,2)</f>
        <v>0</v>
      </c>
      <c r="U64" s="182">
        <v>1240</v>
      </c>
      <c r="V64" s="24">
        <f t="shared" ref="V64" si="9">(R64+S64+U64)-(N64+O64+Q64+P64)</f>
        <v>320</v>
      </c>
      <c r="W64" s="19" t="s">
        <v>1151</v>
      </c>
    </row>
    <row r="65" spans="1:23" s="201" customFormat="1" ht="15.75">
      <c r="A65" s="14"/>
      <c r="B65" s="15"/>
      <c r="C65" s="16"/>
      <c r="D65" s="10"/>
      <c r="E65" s="60"/>
      <c r="F65" s="18"/>
      <c r="G65" s="19" t="s">
        <v>41</v>
      </c>
      <c r="H65" s="49"/>
      <c r="I65" s="196"/>
      <c r="J65" s="142" t="s">
        <v>1371</v>
      </c>
      <c r="K65" s="194">
        <v>46203</v>
      </c>
      <c r="L65" s="21" t="str">
        <f>VLOOKUP(K65,'[6]Exchange Rate'!$A$3:$D$22,3,FALSE)</f>
        <v>4026</v>
      </c>
      <c r="M65" s="20" t="str">
        <f t="shared" si="3"/>
        <v>Tuesday</v>
      </c>
      <c r="N65" s="26">
        <v>0</v>
      </c>
      <c r="O65" s="233">
        <v>0</v>
      </c>
      <c r="P65" s="26">
        <v>1492.75</v>
      </c>
      <c r="Q65" s="22">
        <v>0</v>
      </c>
      <c r="R65" s="182">
        <v>0</v>
      </c>
      <c r="S65" s="182">
        <v>0</v>
      </c>
      <c r="T65" s="182">
        <f t="shared" si="1"/>
        <v>0</v>
      </c>
      <c r="U65" s="182">
        <v>1652.75</v>
      </c>
      <c r="V65" s="24">
        <f t="shared" si="2"/>
        <v>160</v>
      </c>
      <c r="W65" s="19" t="s">
        <v>1372</v>
      </c>
    </row>
    <row r="66" spans="1:23" ht="15.75">
      <c r="A66" s="14"/>
      <c r="B66" s="15"/>
      <c r="C66" s="10"/>
      <c r="D66" s="65"/>
      <c r="E66" s="66" t="s">
        <v>9</v>
      </c>
      <c r="F66" s="66"/>
      <c r="G66" s="67"/>
      <c r="H66" s="68"/>
      <c r="I66" s="31"/>
      <c r="J66" s="63"/>
      <c r="K66" s="34"/>
      <c r="L66" s="32"/>
      <c r="M66" s="20"/>
      <c r="N66" s="26"/>
      <c r="O66" s="26"/>
      <c r="P66" s="26"/>
      <c r="Q66" s="35"/>
      <c r="R66" s="39"/>
      <c r="S66" s="39"/>
      <c r="T66" s="36"/>
      <c r="U66" s="39"/>
      <c r="V66" s="24"/>
      <c r="W66" s="31"/>
    </row>
    <row r="67" spans="1:23">
      <c r="A67" s="14"/>
      <c r="B67" s="15"/>
      <c r="C67" s="10"/>
      <c r="D67" s="10"/>
      <c r="E67" s="18" t="s">
        <v>349</v>
      </c>
      <c r="F67" s="18"/>
      <c r="G67" s="19"/>
      <c r="H67" s="61"/>
      <c r="I67" s="19"/>
      <c r="J67" s="62"/>
      <c r="K67" s="62"/>
      <c r="L67" s="21"/>
      <c r="M67" s="52"/>
      <c r="O67" s="52"/>
      <c r="P67" s="52"/>
      <c r="Q67" s="26"/>
      <c r="R67" s="42"/>
      <c r="S67" s="42"/>
      <c r="T67" s="42"/>
      <c r="U67" s="42"/>
      <c r="V67" s="24"/>
      <c r="W67" s="19"/>
    </row>
    <row r="68" spans="1:23">
      <c r="A68" s="14"/>
      <c r="B68" s="15"/>
      <c r="C68" s="10"/>
      <c r="D68" s="51"/>
      <c r="E68" s="18" t="s">
        <v>7</v>
      </c>
      <c r="F68" s="18"/>
      <c r="G68" s="19"/>
      <c r="H68" s="61"/>
      <c r="I68" s="19"/>
      <c r="J68" s="62"/>
      <c r="K68" s="62"/>
      <c r="L68" s="69"/>
      <c r="M68" s="52"/>
      <c r="N68" s="52"/>
      <c r="O68" s="52"/>
      <c r="P68" s="52"/>
      <c r="Q68" s="26"/>
      <c r="R68" s="42"/>
      <c r="S68" s="42"/>
      <c r="T68" s="42"/>
      <c r="U68" s="42"/>
      <c r="V68" s="24"/>
      <c r="W68" s="19"/>
    </row>
    <row r="69" spans="1:23">
      <c r="A69" s="70"/>
      <c r="B69" s="70"/>
      <c r="C69" s="81"/>
      <c r="D69" s="82"/>
      <c r="E69" s="83"/>
      <c r="F69" s="84"/>
      <c r="G69" s="85"/>
      <c r="H69" s="75"/>
      <c r="I69" s="74"/>
      <c r="J69" s="76"/>
      <c r="K69" s="76"/>
      <c r="L69" s="77"/>
      <c r="M69" s="86"/>
      <c r="N69" s="133"/>
      <c r="O69" s="78"/>
      <c r="P69" s="78"/>
      <c r="Q69" s="78"/>
      <c r="R69" s="79"/>
      <c r="S69" s="79"/>
      <c r="T69" s="79"/>
      <c r="U69" s="79"/>
      <c r="V69" s="80"/>
      <c r="W69" s="74"/>
    </row>
    <row r="70" spans="1:23" ht="15.75">
      <c r="A70" s="88"/>
      <c r="B70" s="89">
        <f>SUBTOTAL(3,B3:B69)</f>
        <v>59</v>
      </c>
      <c r="C70" s="88"/>
      <c r="D70" s="90"/>
      <c r="E70" s="342" t="s">
        <v>3</v>
      </c>
      <c r="F70" s="343"/>
      <c r="G70" s="344"/>
      <c r="H70" s="91">
        <f>SUBTOTAL(3,H3:H69)</f>
        <v>49</v>
      </c>
      <c r="I70" s="91">
        <f>SUBTOTAL(3,I3:I69)</f>
        <v>61</v>
      </c>
      <c r="J70" s="91">
        <f>SUBTOTAL(3,J3:J69)</f>
        <v>58</v>
      </c>
      <c r="K70" s="92"/>
      <c r="L70" s="89"/>
      <c r="M70" s="89"/>
      <c r="N70" s="93">
        <f>SUM(N3:N68)</f>
        <v>15208.840000000002</v>
      </c>
      <c r="O70" s="136">
        <f>SUBTOTAL(9,O3:O65)</f>
        <v>17167.150000000001</v>
      </c>
      <c r="P70" s="136">
        <f>SUBTOTAL(9,P3:P65)</f>
        <v>4167.75</v>
      </c>
      <c r="Q70" s="91">
        <f>SUBTOTAL(9,Q3:Q66)</f>
        <v>2200</v>
      </c>
      <c r="R70" s="91">
        <f>SUBTOTAL(9,R3:R65)</f>
        <v>8731.0499999999993</v>
      </c>
      <c r="S70" s="7">
        <f>SUBTOTAL(9,S3:S65)</f>
        <v>19554.93</v>
      </c>
      <c r="T70" s="7">
        <f>SUBTOTAL(9,T3:T65)</f>
        <v>873.09999999999991</v>
      </c>
      <c r="U70" s="7">
        <f>SUBTOTAL(9,U3:U65)</f>
        <v>23982.100000000002</v>
      </c>
      <c r="V70" s="7">
        <f>SUBTOTAL(9,V3:V68)</f>
        <v>13524.34</v>
      </c>
      <c r="W70" s="89"/>
    </row>
    <row r="71" spans="1:23" ht="23.1" customHeight="1">
      <c r="B71" s="95"/>
      <c r="C71" s="96"/>
      <c r="D71" s="97"/>
      <c r="E71" s="98"/>
      <c r="F71" s="291"/>
      <c r="G71" s="8"/>
      <c r="H71" s="11"/>
      <c r="I71" s="99"/>
      <c r="J71" s="100"/>
      <c r="K71" s="100"/>
      <c r="M71" s="101" t="s">
        <v>207</v>
      </c>
      <c r="N71" s="102">
        <f>SUMIFS($N$3:$N$68,$A$3:$A$68,$M$71)-O72</f>
        <v>15208.840000000002</v>
      </c>
      <c r="O71" s="103"/>
      <c r="P71" s="103"/>
      <c r="Q71" s="104"/>
      <c r="R71" s="105"/>
      <c r="S71" s="106"/>
      <c r="T71" s="107"/>
      <c r="U71" s="107"/>
      <c r="V71" s="108"/>
      <c r="W71" s="264"/>
    </row>
    <row r="72" spans="1:23" ht="23.1" customHeight="1">
      <c r="B72" s="95"/>
      <c r="C72" s="110"/>
      <c r="D72" s="111"/>
      <c r="E72" s="98"/>
      <c r="F72" s="291"/>
      <c r="G72" s="8"/>
      <c r="H72" s="11"/>
      <c r="I72" s="99"/>
      <c r="J72" s="100"/>
      <c r="K72" s="100"/>
      <c r="M72" s="112" t="s">
        <v>208</v>
      </c>
      <c r="N72" s="113">
        <f>SUMIFS($N$3:$N$67,$A$3:$A$67,$M$72)</f>
        <v>0</v>
      </c>
      <c r="O72" s="279"/>
      <c r="P72" s="279"/>
      <c r="Q72" s="280"/>
      <c r="R72" s="280"/>
      <c r="S72" s="181"/>
      <c r="T72" s="115"/>
      <c r="U72" s="115"/>
      <c r="V72" s="116"/>
    </row>
    <row r="73" spans="1:23">
      <c r="B73" s="95"/>
      <c r="C73" s="117"/>
      <c r="D73" s="118"/>
      <c r="E73" s="98"/>
      <c r="F73" s="291"/>
      <c r="G73" s="8"/>
      <c r="H73" s="11"/>
      <c r="I73" s="99"/>
      <c r="J73" s="100"/>
      <c r="K73" s="100"/>
      <c r="O73" s="254"/>
      <c r="P73" s="254"/>
      <c r="S73" s="115"/>
      <c r="T73" s="115"/>
      <c r="U73" s="115"/>
      <c r="V73" s="116"/>
    </row>
    <row r="74" spans="1:23" ht="15" customHeight="1">
      <c r="N74" s="104"/>
      <c r="R74" s="104"/>
    </row>
    <row r="75" spans="1:23" ht="15" customHeight="1">
      <c r="R75" s="104"/>
    </row>
    <row r="76" spans="1:23" ht="15" customHeight="1">
      <c r="N76" s="239"/>
      <c r="O76" s="240"/>
      <c r="P76" s="240"/>
    </row>
    <row r="78" spans="1:23" ht="15" customHeight="1">
      <c r="N78" s="282"/>
      <c r="O78" s="240"/>
      <c r="P78" s="240"/>
    </row>
    <row r="79" spans="1:23" ht="15" customHeight="1">
      <c r="N79" s="283"/>
      <c r="O79" s="240"/>
      <c r="P79" s="240"/>
    </row>
    <row r="80" spans="1:23" ht="15" customHeight="1">
      <c r="K80" s="297" t="s">
        <v>1244</v>
      </c>
      <c r="L80" s="298"/>
      <c r="M80" s="299">
        <v>6003.13</v>
      </c>
      <c r="N80" s="284"/>
      <c r="S80" s="104"/>
    </row>
    <row r="81" spans="6:19" ht="15" customHeight="1">
      <c r="K81" s="297" t="s">
        <v>1245</v>
      </c>
      <c r="L81" s="298"/>
      <c r="M81" s="299">
        <v>6000</v>
      </c>
      <c r="N81" s="9" t="s">
        <v>1317</v>
      </c>
    </row>
    <row r="82" spans="6:19" ht="15" customHeight="1">
      <c r="K82" s="297" t="s">
        <v>1316</v>
      </c>
      <c r="L82" s="298"/>
      <c r="M82" s="299">
        <v>9205.7099999999991</v>
      </c>
    </row>
    <row r="83" spans="6:19" ht="15" customHeight="1">
      <c r="K83" s="300" t="s">
        <v>3</v>
      </c>
      <c r="L83" s="89"/>
      <c r="M83" s="301">
        <f>SUM(M80:M82)</f>
        <v>21208.84</v>
      </c>
      <c r="S83" s="104"/>
    </row>
    <row r="84" spans="6:19" ht="15" customHeight="1">
      <c r="K84" s="302" t="s">
        <v>1246</v>
      </c>
      <c r="L84" s="89"/>
      <c r="M84" s="301">
        <f>N70-M83</f>
        <v>-5999.9999999999982</v>
      </c>
    </row>
    <row r="93" spans="6:19" ht="15" customHeight="1">
      <c r="F93" s="8" t="s">
        <v>440</v>
      </c>
    </row>
  </sheetData>
  <autoFilter ref="A2:W68">
    <sortState ref="A3:V71">
      <sortCondition ref="I3"/>
    </sortState>
  </autoFilter>
  <mergeCells count="1">
    <mergeCell ref="E70:G70"/>
  </mergeCells>
  <phoneticPr fontId="23" type="noConversion"/>
  <conditionalFormatting sqref="A53 W53 E53 H53:I53 L53:M53 I54:I63">
    <cfRule type="expression" dxfId="733" priority="81">
      <formula>$A53="PAID"</formula>
    </cfRule>
  </conditionalFormatting>
  <conditionalFormatting sqref="A3:B52 H3:I52 L3:M52 X3:XFD52 O4:O34 E37:E51 F45:G51 J46:J51 K50:M52 W51 N51:O52 E52:G52 W54:W56 K54:O57 L54:M61 A54:B63 E54:H63 J58:M63 W58:W63 L63:O63 A66:O68 X54:XFD55 Y56:XFD56 X57:XFD63">
    <cfRule type="expression" dxfId="732" priority="290">
      <formula>$E3="STORAGE"</formula>
    </cfRule>
    <cfRule type="expression" dxfId="731" priority="291">
      <formula>$E3="LOLO"</formula>
    </cfRule>
    <cfRule type="expression" dxfId="730" priority="292">
      <formula>$E3="THC"</formula>
    </cfRule>
  </conditionalFormatting>
  <conditionalFormatting sqref="A53:B53 W53:XFD53">
    <cfRule type="expression" dxfId="729" priority="77">
      <formula>$E53="STORAGE"</formula>
    </cfRule>
    <cfRule type="expression" dxfId="728" priority="78">
      <formula>$E53="LOLO"</formula>
    </cfRule>
    <cfRule type="expression" dxfId="727" priority="79">
      <formula>$E53="THC"</formula>
    </cfRule>
  </conditionalFormatting>
  <conditionalFormatting sqref="A64:B65 E64:P65 W64:XFD65">
    <cfRule type="expression" dxfId="726" priority="11">
      <formula>$E64="STORAGE"</formula>
    </cfRule>
    <cfRule type="expression" dxfId="725" priority="12">
      <formula>$E64="LOLO"</formula>
    </cfRule>
    <cfRule type="expression" dxfId="724" priority="13">
      <formula>$E64="THC"</formula>
    </cfRule>
  </conditionalFormatting>
  <conditionalFormatting sqref="A3:W63">
    <cfRule type="expression" dxfId="723" priority="296">
      <formula>$A3="PAID"</formula>
    </cfRule>
  </conditionalFormatting>
  <conditionalFormatting sqref="A64:W65">
    <cfRule type="expression" dxfId="722" priority="15">
      <formula>$A64="PAID"</formula>
    </cfRule>
  </conditionalFormatting>
  <conditionalFormatting sqref="B3">
    <cfRule type="expression" dxfId="721" priority="293">
      <formula>$A3="PAID"</formula>
    </cfRule>
    <cfRule type="expression" dxfId="720" priority="294">
      <formula>$D3=$O$2</formula>
    </cfRule>
  </conditionalFormatting>
  <conditionalFormatting sqref="B4:B21 G44:G50 B44:B63 N51:O51 G52 N52 N53:O54 N55 G55:G63 N56:O57 N58:N63 G11:G13 N4:N20 N44:N50 G17 E20:G21 K20:K21">
    <cfRule type="expression" dxfId="719" priority="295">
      <formula>$C4=$N$2</formula>
    </cfRule>
  </conditionalFormatting>
  <conditionalFormatting sqref="B35:B44 F37:G44">
    <cfRule type="expression" dxfId="718" priority="409">
      <formula>$A35="PAID"</formula>
    </cfRule>
  </conditionalFormatting>
  <conditionalFormatting sqref="B58:B65 E62:G65">
    <cfRule type="expression" dxfId="717" priority="10">
      <formula>$D58=$O$2</formula>
    </cfRule>
  </conditionalFormatting>
  <conditionalFormatting sqref="B64:B65 G64:G65 N64:N65 P64:P65">
    <cfRule type="expression" dxfId="716" priority="14">
      <formula>$C64=$N$2</formula>
    </cfRule>
  </conditionalFormatting>
  <conditionalFormatting sqref="C3:D63">
    <cfRule type="expression" dxfId="715" priority="392">
      <formula>$E3="STORAGE"</formula>
    </cfRule>
    <cfRule type="expression" dxfId="714" priority="393">
      <formula>$E3="LOLO"</formula>
    </cfRule>
    <cfRule type="expression" dxfId="713" priority="394">
      <formula>$E3="THC"</formula>
    </cfRule>
    <cfRule type="expression" dxfId="712" priority="395">
      <formula>$A3="PAID"</formula>
    </cfRule>
    <cfRule type="expression" dxfId="711" priority="396">
      <formula>$D3=$O$2</formula>
    </cfRule>
  </conditionalFormatting>
  <conditionalFormatting sqref="C64:D65">
    <cfRule type="expression" dxfId="710" priority="16">
      <formula>$E64="STORAGE"</formula>
    </cfRule>
    <cfRule type="expression" dxfId="709" priority="17">
      <formula>$E64="LOLO"</formula>
    </cfRule>
    <cfRule type="expression" dxfId="708" priority="18">
      <formula>$E64="THC"</formula>
    </cfRule>
    <cfRule type="expression" dxfId="707" priority="19">
      <formula>$A64="PAID"</formula>
    </cfRule>
    <cfRule type="expression" dxfId="706" priority="20">
      <formula>$D64=$O$2</formula>
    </cfRule>
  </conditionalFormatting>
  <conditionalFormatting sqref="E3">
    <cfRule type="duplicateValues" dxfId="705" priority="277"/>
    <cfRule type="duplicateValues" dxfId="704" priority="278"/>
  </conditionalFormatting>
  <conditionalFormatting sqref="E4:E9">
    <cfRule type="duplicateValues" dxfId="703" priority="279"/>
  </conditionalFormatting>
  <conditionalFormatting sqref="E6 E8">
    <cfRule type="duplicateValues" dxfId="702" priority="274"/>
  </conditionalFormatting>
  <conditionalFormatting sqref="E7">
    <cfRule type="duplicateValues" dxfId="701" priority="270"/>
    <cfRule type="duplicateValues" dxfId="700" priority="271"/>
    <cfRule type="duplicateValues" dxfId="699" priority="272"/>
  </conditionalFormatting>
  <conditionalFormatting sqref="E8 E6">
    <cfRule type="duplicateValues" dxfId="698" priority="273"/>
    <cfRule type="duplicateValues" dxfId="697" priority="275"/>
  </conditionalFormatting>
  <conditionalFormatting sqref="E10:E11">
    <cfRule type="duplicateValues" dxfId="696" priority="286"/>
    <cfRule type="duplicateValues" dxfId="695" priority="287"/>
  </conditionalFormatting>
  <conditionalFormatting sqref="E10:E15">
    <cfRule type="duplicateValues" dxfId="694" priority="3594"/>
  </conditionalFormatting>
  <conditionalFormatting sqref="E14">
    <cfRule type="duplicateValues" dxfId="693" priority="288"/>
  </conditionalFormatting>
  <conditionalFormatting sqref="E15">
    <cfRule type="duplicateValues" dxfId="692" priority="285"/>
  </conditionalFormatting>
  <conditionalFormatting sqref="E16:E19">
    <cfRule type="duplicateValues" dxfId="691" priority="420"/>
  </conditionalFormatting>
  <conditionalFormatting sqref="E16:E25 E35:E52 E54:E63 E65">
    <cfRule type="duplicateValues" dxfId="690" priority="3889"/>
  </conditionalFormatting>
  <conditionalFormatting sqref="E20:E21">
    <cfRule type="duplicateValues" dxfId="689" priority="421"/>
  </conditionalFormatting>
  <conditionalFormatting sqref="E22:E25 E1:E2 E35:E52 E54:E63 E65:E1048576">
    <cfRule type="duplicateValues" dxfId="688" priority="426"/>
  </conditionalFormatting>
  <conditionalFormatting sqref="E26:E34">
    <cfRule type="duplicateValues" dxfId="687" priority="345"/>
    <cfRule type="duplicateValues" dxfId="686" priority="347"/>
  </conditionalFormatting>
  <conditionalFormatting sqref="E42:E43 W4:W41">
    <cfRule type="expression" dxfId="685" priority="197">
      <formula>$D4=$O$2</formula>
    </cfRule>
  </conditionalFormatting>
  <conditionalFormatting sqref="E42:E43">
    <cfRule type="expression" dxfId="684" priority="194">
      <formula>$E42="STORAGE"</formula>
    </cfRule>
    <cfRule type="expression" dxfId="683" priority="195">
      <formula>$E42="LOLO"</formula>
    </cfRule>
    <cfRule type="expression" dxfId="682" priority="196">
      <formula>$E42="THC"</formula>
    </cfRule>
  </conditionalFormatting>
  <conditionalFormatting sqref="E45">
    <cfRule type="expression" dxfId="681" priority="3795">
      <formula>$E45="STORAGE"</formula>
    </cfRule>
    <cfRule type="expression" dxfId="680" priority="3796">
      <formula>$E45="LOLO"</formula>
    </cfRule>
    <cfRule type="expression" dxfId="679" priority="3797">
      <formula>$E45="THC"</formula>
    </cfRule>
    <cfRule type="duplicateValues" dxfId="678" priority="3798"/>
    <cfRule type="duplicateValues" dxfId="677" priority="3799"/>
    <cfRule type="expression" dxfId="676" priority="3800">
      <formula>$D45=$O$2</formula>
    </cfRule>
  </conditionalFormatting>
  <conditionalFormatting sqref="E48">
    <cfRule type="duplicateValues" dxfId="675" priority="58"/>
    <cfRule type="expression" dxfId="674" priority="59">
      <formula>$E48="STORAGE"</formula>
    </cfRule>
    <cfRule type="expression" dxfId="673" priority="60">
      <formula>$E48="LOLO"</formula>
    </cfRule>
    <cfRule type="expression" dxfId="672" priority="61">
      <formula>$E48="THC"</formula>
    </cfRule>
    <cfRule type="duplicateValues" dxfId="671" priority="62"/>
  </conditionalFormatting>
  <conditionalFormatting sqref="E53">
    <cfRule type="duplicateValues" dxfId="670" priority="88"/>
    <cfRule type="duplicateValues" dxfId="669" priority="89"/>
  </conditionalFormatting>
  <conditionalFormatting sqref="E64">
    <cfRule type="duplicateValues" dxfId="668" priority="22"/>
    <cfRule type="duplicateValues" dxfId="667" priority="26"/>
  </conditionalFormatting>
  <conditionalFormatting sqref="E3:G3 J55 K22:K39 K40:M40 J41:K49 N22:N25 N26:O50 E22:G49 W49:W55 K52 K55:K63 W57:W63 M66:P66 H3:I53 I54:I63 E50:E61 L3:M63 W43:X48 O4:O25 B22:B50 F50:G50 K50 J50:J51 B52 F52:G52 N52:O52 H54:H55 B55 F55:G55 N55:O55 G56:G57 F58:G61 J58:J61 N58:O61 J62:O63 B66:L68 Q66:W68">
    <cfRule type="expression" dxfId="666" priority="276">
      <formula>$D3=$O$2</formula>
    </cfRule>
  </conditionalFormatting>
  <conditionalFormatting sqref="E3:G15 J3:K15 J52 J54:J57">
    <cfRule type="expression" dxfId="665" priority="267">
      <formula>$E3="STORAGE"</formula>
    </cfRule>
    <cfRule type="expression" dxfId="664" priority="268">
      <formula>$E3="LOLO"</formula>
    </cfRule>
    <cfRule type="expression" dxfId="663" priority="269">
      <formula>$E3="THC"</formula>
    </cfRule>
  </conditionalFormatting>
  <conditionalFormatting sqref="E16:G36">
    <cfRule type="expression" dxfId="662" priority="340">
      <formula>$A16="PAID"</formula>
    </cfRule>
    <cfRule type="expression" dxfId="661" priority="341">
      <formula>$E16="STORAGE"</formula>
    </cfRule>
    <cfRule type="expression" dxfId="660" priority="342">
      <formula>$E16="LOLO"</formula>
    </cfRule>
    <cfRule type="expression" dxfId="659" priority="343">
      <formula>$E16="THC"</formula>
    </cfRule>
  </conditionalFormatting>
  <conditionalFormatting sqref="E53:O53">
    <cfRule type="expression" dxfId="658" priority="73">
      <formula>$E53="STORAGE"</formula>
    </cfRule>
    <cfRule type="expression" dxfId="657" priority="74">
      <formula>$E53="LOLO"</formula>
    </cfRule>
    <cfRule type="expression" dxfId="656" priority="75">
      <formula>$E53="THC"</formula>
    </cfRule>
  </conditionalFormatting>
  <conditionalFormatting sqref="F37:G44 Q66:XFD68">
    <cfRule type="expression" dxfId="655" priority="413">
      <formula>$E37="STORAGE"</formula>
    </cfRule>
    <cfRule type="expression" dxfId="654" priority="414">
      <formula>$E37="LOLO"</formula>
    </cfRule>
    <cfRule type="expression" dxfId="653" priority="415">
      <formula>$E37="THC"</formula>
    </cfRule>
  </conditionalFormatting>
  <conditionalFormatting sqref="H53">
    <cfRule type="duplicateValues" dxfId="652" priority="90"/>
    <cfRule type="duplicateValues" dxfId="651" priority="91"/>
    <cfRule type="duplicateValues" dxfId="650" priority="92"/>
  </conditionalFormatting>
  <conditionalFormatting sqref="H54:H55 H3:H52">
    <cfRule type="duplicateValues" dxfId="649" priority="3490"/>
    <cfRule type="duplicateValues" dxfId="648" priority="3491"/>
    <cfRule type="duplicateValues" dxfId="647" priority="3492"/>
  </conditionalFormatting>
  <conditionalFormatting sqref="H58:H63 H65">
    <cfRule type="duplicateValues" dxfId="646" priority="3894"/>
    <cfRule type="duplicateValues" dxfId="645" priority="3895"/>
    <cfRule type="duplicateValues" dxfId="644" priority="3896"/>
    <cfRule type="expression" dxfId="643" priority="3897">
      <formula>$D58=$O$2</formula>
    </cfRule>
  </conditionalFormatting>
  <conditionalFormatting sqref="H64">
    <cfRule type="duplicateValues" dxfId="642" priority="28"/>
    <cfRule type="duplicateValues" dxfId="641" priority="29"/>
    <cfRule type="duplicateValues" dxfId="640" priority="30"/>
    <cfRule type="expression" dxfId="639" priority="31">
      <formula>$D64=$O$2</formula>
    </cfRule>
  </conditionalFormatting>
  <conditionalFormatting sqref="H71:J1048576 H1:J2 H66:J69 J41:J44 J55">
    <cfRule type="duplicateValues" dxfId="638" priority="428"/>
  </conditionalFormatting>
  <conditionalFormatting sqref="I53:I63">
    <cfRule type="duplicateValues" dxfId="637" priority="93"/>
  </conditionalFormatting>
  <conditionalFormatting sqref="I54:I65">
    <cfRule type="expression" dxfId="636" priority="2">
      <formula>$E54="STORAGE"</formula>
    </cfRule>
    <cfRule type="expression" dxfId="635" priority="3">
      <formula>$E54="LOLO"</formula>
    </cfRule>
    <cfRule type="expression" dxfId="634" priority="4">
      <formula>$E54="THC"</formula>
    </cfRule>
  </conditionalFormatting>
  <conditionalFormatting sqref="I64">
    <cfRule type="duplicateValues" dxfId="633" priority="23"/>
    <cfRule type="duplicateValues" dxfId="632" priority="27"/>
  </conditionalFormatting>
  <conditionalFormatting sqref="I64:I65">
    <cfRule type="expression" dxfId="631" priority="1">
      <formula>$D64=$O$2</formula>
    </cfRule>
  </conditionalFormatting>
  <conditionalFormatting sqref="I65 I3:I52">
    <cfRule type="duplicateValues" dxfId="630" priority="3892"/>
  </conditionalFormatting>
  <conditionalFormatting sqref="I65">
    <cfRule type="duplicateValues" dxfId="629" priority="3854"/>
  </conditionalFormatting>
  <conditionalFormatting sqref="I71:I1048576 I1:I2 I66:I69">
    <cfRule type="duplicateValues" dxfId="628" priority="429"/>
  </conditionalFormatting>
  <conditionalFormatting sqref="I71:I1048576">
    <cfRule type="duplicateValues" dxfId="627" priority="424"/>
  </conditionalFormatting>
  <conditionalFormatting sqref="I64:W65">
    <cfRule type="expression" dxfId="626" priority="9">
      <formula>$D64=$O$2</formula>
    </cfRule>
  </conditionalFormatting>
  <conditionalFormatting sqref="J16:J24">
    <cfRule type="expression" dxfId="625" priority="181">
      <formula>$A16="PAID"</formula>
    </cfRule>
    <cfRule type="expression" dxfId="624" priority="182">
      <formula>$E16="STORAGE"</formula>
    </cfRule>
    <cfRule type="expression" dxfId="623" priority="183">
      <formula>$E16="LOLO"</formula>
    </cfRule>
    <cfRule type="expression" dxfId="622" priority="184">
      <formula>$E16="THC"</formula>
    </cfRule>
  </conditionalFormatting>
  <conditionalFormatting sqref="J42">
    <cfRule type="expression" dxfId="621" priority="3675">
      <formula>$C42=$N$2</formula>
    </cfRule>
    <cfRule type="duplicateValues" dxfId="620" priority="3676"/>
  </conditionalFormatting>
  <conditionalFormatting sqref="J45:J51 J58:J63 J65">
    <cfRule type="duplicateValues" dxfId="619" priority="3899"/>
    <cfRule type="duplicateValues" dxfId="618" priority="3900"/>
    <cfRule type="duplicateValues" dxfId="617" priority="3901"/>
  </conditionalFormatting>
  <conditionalFormatting sqref="J45:J51 J58:J63">
    <cfRule type="expression" dxfId="616" priority="3898">
      <formula>$C45=$N$2</formula>
    </cfRule>
  </conditionalFormatting>
  <conditionalFormatting sqref="J53:J57">
    <cfRule type="expression" dxfId="615" priority="72">
      <formula>$A53="PAID"</formula>
    </cfRule>
  </conditionalFormatting>
  <conditionalFormatting sqref="J64">
    <cfRule type="duplicateValues" dxfId="614" priority="33"/>
    <cfRule type="duplicateValues" dxfId="613" priority="34"/>
    <cfRule type="duplicateValues" dxfId="612" priority="35"/>
  </conditionalFormatting>
  <conditionalFormatting sqref="J64:J65">
    <cfRule type="expression" dxfId="611" priority="32">
      <formula>$C64=$N$2</formula>
    </cfRule>
  </conditionalFormatting>
  <conditionalFormatting sqref="J71:J1048576 J1:J2 J66:J69 J41:J44 J55">
    <cfRule type="duplicateValues" dxfId="610" priority="423"/>
  </conditionalFormatting>
  <conditionalFormatting sqref="J3:K15 E3:G15">
    <cfRule type="expression" dxfId="609" priority="266">
      <formula>$A3="PAID"</formula>
    </cfRule>
  </conditionalFormatting>
  <conditionalFormatting sqref="J25:K44">
    <cfRule type="expression" dxfId="608" priority="254">
      <formula>$A25="PAID"</formula>
    </cfRule>
    <cfRule type="expression" dxfId="607" priority="255">
      <formula>$E25="STORAGE"</formula>
    </cfRule>
    <cfRule type="expression" dxfId="606" priority="256">
      <formula>$E25="LOLO"</formula>
    </cfRule>
    <cfRule type="expression" dxfId="605" priority="257">
      <formula>$E25="THC"</formula>
    </cfRule>
  </conditionalFormatting>
  <conditionalFormatting sqref="J45:K45">
    <cfRule type="expression" dxfId="604" priority="397">
      <formula>$E45="STORAGE"</formula>
    </cfRule>
    <cfRule type="expression" dxfId="603" priority="398">
      <formula>$E45="LOLO"</formula>
    </cfRule>
    <cfRule type="expression" dxfId="602" priority="399">
      <formula>$E45="THC"</formula>
    </cfRule>
  </conditionalFormatting>
  <conditionalFormatting sqref="J45:K49 K50">
    <cfRule type="expression" dxfId="601" priority="312">
      <formula>$A45="PAID"</formula>
    </cfRule>
  </conditionalFormatting>
  <conditionalFormatting sqref="J52:K52">
    <cfRule type="expression" dxfId="600" priority="160">
      <formula>$A52="PAID"</formula>
    </cfRule>
  </conditionalFormatting>
  <conditionalFormatting sqref="K3">
    <cfRule type="expression" dxfId="599" priority="262">
      <formula>$D3=$O$2</formula>
    </cfRule>
  </conditionalFormatting>
  <conditionalFormatting sqref="K16:K24">
    <cfRule type="expression" dxfId="598" priority="358">
      <formula>$A16="PAID"</formula>
    </cfRule>
    <cfRule type="expression" dxfId="597" priority="359">
      <formula>$E16="STORAGE"</formula>
    </cfRule>
    <cfRule type="expression" dxfId="596" priority="360">
      <formula>$E16="LOLO"</formula>
    </cfRule>
    <cfRule type="expression" dxfId="595" priority="361">
      <formula>$E16="THC"</formula>
    </cfRule>
  </conditionalFormatting>
  <conditionalFormatting sqref="K46:K49 O35:O49 N45:N49 N50:O50 N58:O61 L62:O62">
    <cfRule type="expression" dxfId="594" priority="336">
      <formula>$E35="STORAGE"</formula>
    </cfRule>
    <cfRule type="expression" dxfId="593" priority="337">
      <formula>$E35="LOLO"</formula>
    </cfRule>
    <cfRule type="expression" dxfId="592" priority="338">
      <formula>$E35="THC"</formula>
    </cfRule>
  </conditionalFormatting>
  <conditionalFormatting sqref="K55:K57">
    <cfRule type="expression" dxfId="591" priority="143">
      <formula>$A55="PAID"</formula>
    </cfRule>
  </conditionalFormatting>
  <conditionalFormatting sqref="L67:L68">
    <cfRule type="expression" dxfId="590" priority="430">
      <formula>#REF!=$M$1</formula>
    </cfRule>
  </conditionalFormatting>
  <conditionalFormatting sqref="L3:M63 L65:M66">
    <cfRule type="expression" dxfId="589" priority="425">
      <formula>$M3=$M$1</formula>
    </cfRule>
  </conditionalFormatting>
  <conditionalFormatting sqref="L64:M64">
    <cfRule type="expression" dxfId="588" priority="21">
      <formula>$M64=$M$1</formula>
    </cfRule>
  </conditionalFormatting>
  <conditionalFormatting sqref="N4:N44">
    <cfRule type="expression" dxfId="587" priority="208">
      <formula>$A4="PAID"</formula>
    </cfRule>
    <cfRule type="expression" dxfId="586" priority="209">
      <formula>$E4="STORAGE"</formula>
    </cfRule>
    <cfRule type="expression" dxfId="585" priority="210">
      <formula>$E4="LOLO"</formula>
    </cfRule>
    <cfRule type="expression" dxfId="584" priority="211">
      <formula>$E4="THC"</formula>
    </cfRule>
  </conditionalFormatting>
  <conditionalFormatting sqref="N3:O3 Q3:W3 Q4:V52 P53:V63 P13:P52">
    <cfRule type="expression" dxfId="583" priority="222">
      <formula>$D3=$O$2</formula>
    </cfRule>
  </conditionalFormatting>
  <conditionalFormatting sqref="N3:O3 Q3:W3 Q4:V52 P53:V63">
    <cfRule type="expression" dxfId="582" priority="213">
      <formula>$A3="PAID"</formula>
    </cfRule>
    <cfRule type="expression" dxfId="581" priority="214">
      <formula>$E3="STORAGE"</formula>
    </cfRule>
    <cfRule type="expression" dxfId="580" priority="215">
      <formula>$E3="LOLO"</formula>
    </cfRule>
    <cfRule type="expression" dxfId="579" priority="216">
      <formula>$E3="THC"</formula>
    </cfRule>
  </conditionalFormatting>
  <conditionalFormatting sqref="P3:P11">
    <cfRule type="expression" dxfId="578" priority="119">
      <formula>$D3=$O$2</formula>
    </cfRule>
  </conditionalFormatting>
  <conditionalFormatting sqref="P3:P52">
    <cfRule type="expression" dxfId="577" priority="37">
      <formula>$A3="PAID"</formula>
    </cfRule>
    <cfRule type="expression" dxfId="576" priority="38">
      <formula>$E3="STORAGE"</formula>
    </cfRule>
    <cfRule type="expression" dxfId="575" priority="39">
      <formula>$E3="LOLO"</formula>
    </cfRule>
    <cfRule type="expression" dxfId="574" priority="40">
      <formula>$E3="THC"</formula>
    </cfRule>
  </conditionalFormatting>
  <conditionalFormatting sqref="P12">
    <cfRule type="expression" dxfId="573" priority="36">
      <formula>$C12=$N$2</formula>
    </cfRule>
  </conditionalFormatting>
  <conditionalFormatting sqref="P66:P68">
    <cfRule type="expression" dxfId="572" priority="128">
      <formula>$E66="STORAGE"</formula>
    </cfRule>
    <cfRule type="expression" dxfId="571" priority="129">
      <formula>$E66="LOLO"</formula>
    </cfRule>
    <cfRule type="expression" dxfId="570" priority="130">
      <formula>$E66="THC"</formula>
    </cfRule>
  </conditionalFormatting>
  <conditionalFormatting sqref="Q64:V65">
    <cfRule type="expression" dxfId="569" priority="5">
      <formula>$A64="PAID"</formula>
    </cfRule>
    <cfRule type="expression" dxfId="568" priority="6">
      <formula>$E64="STORAGE"</formula>
    </cfRule>
    <cfRule type="expression" dxfId="567" priority="7">
      <formula>$E64="LOLO"</formula>
    </cfRule>
    <cfRule type="expression" dxfId="566" priority="8">
      <formula>$E64="THC"</formula>
    </cfRule>
  </conditionalFormatting>
  <conditionalFormatting sqref="W4:W48">
    <cfRule type="expression" dxfId="565" priority="45">
      <formula>$E4="STORAGE"</formula>
    </cfRule>
    <cfRule type="expression" dxfId="564" priority="46">
      <formula>$E4="LOLO"</formula>
    </cfRule>
    <cfRule type="expression" dxfId="563" priority="47">
      <formula>$E4="THC"</formula>
    </cfRule>
  </conditionalFormatting>
  <conditionalFormatting sqref="W43:W48">
    <cfRule type="duplicateValues" dxfId="562" priority="43"/>
    <cfRule type="duplicateValues" dxfId="561" priority="44"/>
  </conditionalFormatting>
  <conditionalFormatting sqref="W49:W50">
    <cfRule type="expression" dxfId="560" priority="3399">
      <formula>$E49="STORAGE"</formula>
    </cfRule>
    <cfRule type="expression" dxfId="559" priority="3400">
      <formula>$E49="LOLO"</formula>
    </cfRule>
    <cfRule type="expression" dxfId="558" priority="3401">
      <formula>$E49="THC"</formula>
    </cfRule>
  </conditionalFormatting>
  <conditionalFormatting sqref="W52">
    <cfRule type="duplicateValues" dxfId="557" priority="168"/>
    <cfRule type="expression" dxfId="556" priority="169">
      <formula>$E52="STORAGE"</formula>
    </cfRule>
    <cfRule type="expression" dxfId="555" priority="170">
      <formula>$E52="LOLO"</formula>
    </cfRule>
    <cfRule type="expression" dxfId="554" priority="171">
      <formula>$E52="THC"</formula>
    </cfRule>
    <cfRule type="duplicateValues" dxfId="553" priority="172"/>
  </conditionalFormatting>
  <conditionalFormatting sqref="W55">
    <cfRule type="duplicateValues" dxfId="552" priority="151"/>
    <cfRule type="duplicateValues" dxfId="551" priority="155"/>
  </conditionalFormatting>
  <conditionalFormatting sqref="W57">
    <cfRule type="expression" dxfId="550" priority="139">
      <formula>$E57="STORAGE"</formula>
    </cfRule>
    <cfRule type="expression" dxfId="549" priority="140">
      <formula>$E57="LOLO"</formula>
    </cfRule>
    <cfRule type="expression" dxfId="548" priority="141">
      <formula>$E57="THC"</formula>
    </cfRule>
    <cfRule type="expression" dxfId="547" priority="142">
      <formula>$A57="PAID"</formula>
    </cfRule>
  </conditionalFormatting>
  <conditionalFormatting sqref="W58:W63 W49:W50 W65">
    <cfRule type="duplicateValues" dxfId="546" priority="3881"/>
    <cfRule type="duplicateValues" dxfId="545" priority="3882"/>
  </conditionalFormatting>
  <conditionalFormatting sqref="W64">
    <cfRule type="duplicateValues" dxfId="544" priority="24"/>
    <cfRule type="duplicateValues" dxfId="543" priority="25"/>
  </conditionalFormatting>
  <conditionalFormatting sqref="W43:X48">
    <cfRule type="expression" dxfId="542" priority="41">
      <formula>$A43="PAID"</formula>
    </cfRule>
  </conditionalFormatting>
  <conditionalFormatting sqref="X43:X48">
    <cfRule type="duplicateValues" dxfId="541" priority="65"/>
    <cfRule type="duplicateValues" dxfId="540" priority="66"/>
  </conditionalFormatting>
  <pageMargins left="0.7" right="0.7" top="0.75" bottom="0.75" header="0.3" footer="0.3"/>
  <pageSetup paperSize="9" scale="66" orientation="portrait" r:id="rId1"/>
  <rowBreaks count="1" manualBreakCount="1">
    <brk id="2" max="21" man="1"/>
  </rowBreaks>
  <colBreaks count="2" manualBreakCount="2">
    <brk id="7" max="82" man="1"/>
    <brk id="14" max="7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"/>
  <sheetViews>
    <sheetView view="pageBreakPreview" zoomScale="70" zoomScaleNormal="70" zoomScaleSheetLayoutView="70" workbookViewId="0">
      <pane xSplit="8" ySplit="2" topLeftCell="K42" activePane="bottomRight" state="frozenSplit"/>
      <selection pane="topRight" activeCell="G1" sqref="G1"/>
      <selection pane="bottomLeft" activeCell="A2" sqref="A2"/>
      <selection pane="bottomRight" activeCell="X52" sqref="X52"/>
    </sheetView>
  </sheetViews>
  <sheetFormatPr defaultColWidth="14" defaultRowHeight="15" customHeight="1"/>
  <cols>
    <col min="1" max="3" width="14" style="9"/>
    <col min="4" max="4" width="23.85546875" style="9" customWidth="1"/>
    <col min="5" max="5" width="30.42578125" style="9" customWidth="1"/>
    <col min="6" max="6" width="16.85546875" style="8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1" width="14" style="9"/>
    <col min="22" max="22" width="15.42578125" style="9" customWidth="1"/>
    <col min="23" max="23" width="46.85546875" style="8" bestFit="1" customWidth="1"/>
    <col min="24" max="16384" width="14" style="9"/>
  </cols>
  <sheetData>
    <row r="1" spans="1:24">
      <c r="A1" s="8"/>
      <c r="C1" s="10"/>
      <c r="D1" s="10"/>
      <c r="E1" s="5" t="s">
        <v>0</v>
      </c>
      <c r="F1" s="290"/>
      <c r="G1" s="6"/>
      <c r="H1" s="11"/>
      <c r="I1" s="12"/>
      <c r="J1" s="13"/>
      <c r="K1" s="13"/>
      <c r="L1" s="11"/>
      <c r="M1" s="11" t="s">
        <v>193</v>
      </c>
      <c r="V1" s="8"/>
    </row>
    <row r="2" spans="1:24" ht="47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37" t="s">
        <v>1233</v>
      </c>
      <c r="Q2" s="123" t="s">
        <v>2</v>
      </c>
      <c r="R2" s="127" t="s">
        <v>17</v>
      </c>
      <c r="S2" s="128" t="s">
        <v>15</v>
      </c>
      <c r="T2" s="128" t="s">
        <v>16</v>
      </c>
      <c r="U2" s="128" t="s">
        <v>12</v>
      </c>
      <c r="V2" s="129" t="s">
        <v>194</v>
      </c>
      <c r="W2" s="123" t="s">
        <v>6</v>
      </c>
    </row>
    <row r="3" spans="1:24" ht="18" customHeight="1">
      <c r="A3" s="14" t="s">
        <v>207</v>
      </c>
      <c r="B3" s="15">
        <v>11</v>
      </c>
      <c r="C3" s="16" t="str">
        <f>INDEX(PORT!$B$2:$B$20,MATCH('07'!B3,PORT!$A$2:$A$20))</f>
        <v>SHV11</v>
      </c>
      <c r="D3" s="10" t="str">
        <f>INDEX(PORT!$C$2:$C$20,MATCH('07'!B3,PORT!$A$2:$A$20))</f>
        <v>SHV PORT</v>
      </c>
      <c r="E3" s="18" t="s">
        <v>1204</v>
      </c>
      <c r="F3" s="18">
        <v>46204</v>
      </c>
      <c r="G3" s="19" t="s">
        <v>4</v>
      </c>
      <c r="H3" s="49" t="s">
        <v>1280</v>
      </c>
      <c r="I3" s="49" t="s">
        <v>1281</v>
      </c>
      <c r="J3" s="142" t="s">
        <v>1262</v>
      </c>
      <c r="K3" s="194">
        <v>46205</v>
      </c>
      <c r="L3" s="21" t="str">
        <f>VLOOKUP(K3,'[7]Exchange Rate'!$A$3:$D$25,3,FALSE)</f>
        <v>4030</v>
      </c>
      <c r="M3" s="20" t="str">
        <f t="shared" ref="M3:M34" si="0">TEXT(K3,"dddd")</f>
        <v>Thursday</v>
      </c>
      <c r="N3" s="26">
        <v>285.52999999999997</v>
      </c>
      <c r="O3" s="233">
        <v>0</v>
      </c>
      <c r="P3" s="233">
        <v>0</v>
      </c>
      <c r="Q3" s="22">
        <v>50</v>
      </c>
      <c r="R3" s="182">
        <v>150</v>
      </c>
      <c r="S3" s="182">
        <v>25.53</v>
      </c>
      <c r="T3" s="182">
        <f t="shared" ref="T3:T34" si="1">ROUND(R3*10%,2)</f>
        <v>15</v>
      </c>
      <c r="U3" s="182">
        <v>347.11</v>
      </c>
      <c r="V3" s="24">
        <f t="shared" ref="V3:V34" si="2">(R3+S3+U3)-(N3+O3+Q3+P3)</f>
        <v>187.11</v>
      </c>
      <c r="W3" s="17"/>
    </row>
    <row r="4" spans="1:24" ht="18" customHeight="1">
      <c r="A4" s="14" t="s">
        <v>207</v>
      </c>
      <c r="B4" s="15">
        <v>1</v>
      </c>
      <c r="C4" s="16" t="str">
        <f>INDEX(PORT!$B$2:$B$20,MATCH('07'!B4,PORT!$A$2:$A$20))</f>
        <v>PNH01</v>
      </c>
      <c r="D4" s="10" t="str">
        <f>INDEX(PORT!$C$2:$C$20,MATCH('07'!B4,PORT!$A$2:$A$20))</f>
        <v>KTI AIR PORT</v>
      </c>
      <c r="E4" s="18" t="s">
        <v>1247</v>
      </c>
      <c r="F4" s="18">
        <v>46205</v>
      </c>
      <c r="G4" s="19" t="s">
        <v>351</v>
      </c>
      <c r="H4" s="49" t="s">
        <v>1282</v>
      </c>
      <c r="I4" s="49" t="s">
        <v>1283</v>
      </c>
      <c r="J4" s="142" t="s">
        <v>1263</v>
      </c>
      <c r="K4" s="194">
        <v>46206</v>
      </c>
      <c r="L4" s="21" t="str">
        <f>VLOOKUP(K4,'[7]Exchange Rate'!$A$3:$D$25,3,FALSE)</f>
        <v>4033</v>
      </c>
      <c r="M4" s="20" t="str">
        <f t="shared" si="0"/>
        <v>Friday</v>
      </c>
      <c r="N4" s="26">
        <v>153.11000000000001</v>
      </c>
      <c r="O4" s="233">
        <v>0</v>
      </c>
      <c r="P4" s="233">
        <v>0</v>
      </c>
      <c r="Q4" s="22">
        <v>50</v>
      </c>
      <c r="R4" s="182">
        <v>140</v>
      </c>
      <c r="S4" s="182">
        <v>33.11</v>
      </c>
      <c r="T4" s="182">
        <f t="shared" si="1"/>
        <v>14</v>
      </c>
      <c r="U4" s="182">
        <v>180</v>
      </c>
      <c r="V4" s="24">
        <f t="shared" si="2"/>
        <v>150</v>
      </c>
      <c r="W4" s="17"/>
    </row>
    <row r="5" spans="1:24" ht="18" customHeight="1">
      <c r="A5" s="14" t="s">
        <v>207</v>
      </c>
      <c r="B5" s="15">
        <v>1</v>
      </c>
      <c r="C5" s="16" t="str">
        <f>INDEX(PORT!$B$2:$B$20,MATCH('07'!B5,PORT!$A$2:$A$20))</f>
        <v>PNH01</v>
      </c>
      <c r="D5" s="10" t="str">
        <f>INDEX(PORT!$C$2:$C$20,MATCH('07'!B5,PORT!$A$2:$A$20))</f>
        <v>KTI AIR PORT</v>
      </c>
      <c r="E5" s="18" t="s">
        <v>1248</v>
      </c>
      <c r="F5" s="18">
        <v>46205</v>
      </c>
      <c r="G5" s="19" t="s">
        <v>351</v>
      </c>
      <c r="H5" s="49" t="s">
        <v>1284</v>
      </c>
      <c r="I5" s="49" t="s">
        <v>1285</v>
      </c>
      <c r="J5" s="142" t="s">
        <v>1264</v>
      </c>
      <c r="K5" s="194">
        <v>46206</v>
      </c>
      <c r="L5" s="21" t="str">
        <f>VLOOKUP(K5,'[7]Exchange Rate'!$A$3:$D$25,3,FALSE)</f>
        <v>4033</v>
      </c>
      <c r="M5" s="20" t="str">
        <f t="shared" si="0"/>
        <v>Friday</v>
      </c>
      <c r="N5" s="26">
        <v>155.13</v>
      </c>
      <c r="O5" s="233">
        <v>0</v>
      </c>
      <c r="P5" s="233">
        <v>0</v>
      </c>
      <c r="Q5" s="22">
        <v>50</v>
      </c>
      <c r="R5" s="182">
        <v>150</v>
      </c>
      <c r="S5" s="182">
        <v>35.130000000000003</v>
      </c>
      <c r="T5" s="182">
        <f t="shared" si="1"/>
        <v>15</v>
      </c>
      <c r="U5" s="182">
        <v>180</v>
      </c>
      <c r="V5" s="24">
        <f t="shared" si="2"/>
        <v>160</v>
      </c>
      <c r="W5" s="17"/>
    </row>
    <row r="6" spans="1:24" ht="18" customHeight="1">
      <c r="A6" s="14" t="s">
        <v>207</v>
      </c>
      <c r="B6" s="15">
        <v>1</v>
      </c>
      <c r="C6" s="16" t="str">
        <f>INDEX(PORT!$B$2:$B$20,MATCH('07'!B6,PORT!$A$2:$A$20))</f>
        <v>PNH01</v>
      </c>
      <c r="D6" s="10" t="str">
        <f>INDEX(PORT!$C$2:$C$20,MATCH('07'!B6,PORT!$A$2:$A$20))</f>
        <v>KTI AIR PORT</v>
      </c>
      <c r="E6" s="18" t="s">
        <v>1249</v>
      </c>
      <c r="F6" s="18">
        <v>46205</v>
      </c>
      <c r="G6" s="19" t="s">
        <v>4</v>
      </c>
      <c r="H6" s="49" t="s">
        <v>1286</v>
      </c>
      <c r="I6" s="49" t="s">
        <v>1287</v>
      </c>
      <c r="J6" s="142" t="s">
        <v>1265</v>
      </c>
      <c r="K6" s="194">
        <v>46206</v>
      </c>
      <c r="L6" s="21" t="str">
        <f>VLOOKUP(K6,'[7]Exchange Rate'!$A$3:$D$25,3,FALSE)</f>
        <v>4033</v>
      </c>
      <c r="M6" s="20" t="str">
        <f t="shared" si="0"/>
        <v>Friday</v>
      </c>
      <c r="N6" s="26">
        <v>114.55</v>
      </c>
      <c r="O6" s="233">
        <v>0</v>
      </c>
      <c r="P6" s="233">
        <v>0</v>
      </c>
      <c r="Q6" s="22">
        <v>50</v>
      </c>
      <c r="R6" s="182">
        <v>150</v>
      </c>
      <c r="S6" s="182">
        <v>44.55</v>
      </c>
      <c r="T6" s="182">
        <f t="shared" si="1"/>
        <v>15</v>
      </c>
      <c r="U6" s="182">
        <v>60</v>
      </c>
      <c r="V6" s="24">
        <f t="shared" si="2"/>
        <v>90</v>
      </c>
      <c r="W6" s="17"/>
    </row>
    <row r="7" spans="1:24" s="37" customFormat="1" ht="18" customHeight="1">
      <c r="A7" s="14" t="s">
        <v>207</v>
      </c>
      <c r="B7" s="15">
        <v>11</v>
      </c>
      <c r="C7" s="16" t="str">
        <f>INDEX(PORT!$B$2:$B$20,MATCH('07'!B7,PORT!$A$2:$A$20))</f>
        <v>SHV11</v>
      </c>
      <c r="D7" s="10" t="str">
        <f>INDEX(PORT!$C$2:$C$20,MATCH('07'!B7,PORT!$A$2:$A$20))</f>
        <v>SHV PORT</v>
      </c>
      <c r="E7" s="18" t="s">
        <v>1235</v>
      </c>
      <c r="F7" s="18">
        <v>46205</v>
      </c>
      <c r="G7" s="19" t="s">
        <v>4</v>
      </c>
      <c r="H7" s="49" t="s">
        <v>1288</v>
      </c>
      <c r="I7" s="49" t="s">
        <v>1289</v>
      </c>
      <c r="J7" s="142" t="s">
        <v>1266</v>
      </c>
      <c r="K7" s="194">
        <v>46206</v>
      </c>
      <c r="L7" s="21" t="str">
        <f>VLOOKUP(K7,'[7]Exchange Rate'!$A$3:$D$25,3,FALSE)</f>
        <v>4033</v>
      </c>
      <c r="M7" s="20" t="str">
        <f t="shared" si="0"/>
        <v>Friday</v>
      </c>
      <c r="N7" s="26">
        <v>181.12</v>
      </c>
      <c r="O7" s="233">
        <v>0</v>
      </c>
      <c r="P7" s="233">
        <v>0</v>
      </c>
      <c r="Q7" s="22">
        <v>50</v>
      </c>
      <c r="R7" s="182">
        <v>150</v>
      </c>
      <c r="S7" s="182">
        <v>17.12</v>
      </c>
      <c r="T7" s="182">
        <f t="shared" si="1"/>
        <v>15</v>
      </c>
      <c r="U7" s="182">
        <v>158</v>
      </c>
      <c r="V7" s="24">
        <f t="shared" si="2"/>
        <v>94</v>
      </c>
      <c r="W7" s="17"/>
    </row>
    <row r="8" spans="1:24" s="37" customFormat="1" ht="18" customHeight="1">
      <c r="A8" s="14" t="s">
        <v>207</v>
      </c>
      <c r="B8" s="15">
        <v>11</v>
      </c>
      <c r="C8" s="16" t="str">
        <f>INDEX(PORT!$B$2:$B$20,MATCH('07'!B8,PORT!$A$2:$A$20))</f>
        <v>SHV11</v>
      </c>
      <c r="D8" s="10" t="str">
        <f>INDEX(PORT!$C$2:$C$20,MATCH('07'!B8,PORT!$A$2:$A$20))</f>
        <v>SHV PORT</v>
      </c>
      <c r="E8" s="18" t="s">
        <v>1250</v>
      </c>
      <c r="F8" s="18">
        <v>46205</v>
      </c>
      <c r="G8" s="19" t="s">
        <v>41</v>
      </c>
      <c r="H8" s="49" t="s">
        <v>1290</v>
      </c>
      <c r="I8" s="49" t="s">
        <v>1291</v>
      </c>
      <c r="J8" s="142" t="s">
        <v>1267</v>
      </c>
      <c r="K8" s="194">
        <v>46206</v>
      </c>
      <c r="L8" s="21" t="str">
        <f>VLOOKUP(K8,'[7]Exchange Rate'!$A$3:$D$25,3,FALSE)</f>
        <v>4033</v>
      </c>
      <c r="M8" s="20" t="str">
        <f t="shared" si="0"/>
        <v>Friday</v>
      </c>
      <c r="N8" s="26">
        <v>631.95000000000005</v>
      </c>
      <c r="O8" s="233">
        <v>691.5</v>
      </c>
      <c r="P8" s="233">
        <v>0</v>
      </c>
      <c r="Q8" s="22">
        <v>0</v>
      </c>
      <c r="R8" s="182">
        <v>200</v>
      </c>
      <c r="S8" s="182">
        <v>805.95</v>
      </c>
      <c r="T8" s="182">
        <f t="shared" si="1"/>
        <v>20</v>
      </c>
      <c r="U8" s="182">
        <v>921.5</v>
      </c>
      <c r="V8" s="24">
        <f t="shared" si="2"/>
        <v>604</v>
      </c>
      <c r="W8" s="17"/>
    </row>
    <row r="9" spans="1:24" s="37" customFormat="1" ht="18" customHeight="1">
      <c r="A9" s="14" t="s">
        <v>207</v>
      </c>
      <c r="B9" s="15">
        <v>1</v>
      </c>
      <c r="C9" s="16" t="str">
        <f>INDEX(PORT!$B$2:$B$20,MATCH('07'!B9,PORT!$A$2:$A$20))</f>
        <v>PNH01</v>
      </c>
      <c r="D9" s="10" t="str">
        <f>INDEX(PORT!$C$2:$C$20,MATCH('07'!B9,PORT!$A$2:$A$20))</f>
        <v>KTI AIR PORT</v>
      </c>
      <c r="E9" s="18" t="s">
        <v>1251</v>
      </c>
      <c r="F9" s="18">
        <v>46205</v>
      </c>
      <c r="G9" s="19" t="s">
        <v>10</v>
      </c>
      <c r="H9" s="49" t="s">
        <v>1292</v>
      </c>
      <c r="I9" s="49" t="s">
        <v>1293</v>
      </c>
      <c r="J9" s="142" t="s">
        <v>1268</v>
      </c>
      <c r="K9" s="194">
        <v>46206</v>
      </c>
      <c r="L9" s="21" t="str">
        <f>VLOOKUP(K9,'[7]Exchange Rate'!$A$3:$D$25,3,FALSE)</f>
        <v>4033</v>
      </c>
      <c r="M9" s="20" t="str">
        <f t="shared" si="0"/>
        <v>Friday</v>
      </c>
      <c r="N9" s="26">
        <v>88.77</v>
      </c>
      <c r="O9" s="233">
        <v>0</v>
      </c>
      <c r="P9" s="233">
        <v>0</v>
      </c>
      <c r="Q9" s="22">
        <v>50</v>
      </c>
      <c r="R9" s="182">
        <v>140</v>
      </c>
      <c r="S9" s="182">
        <v>18.77</v>
      </c>
      <c r="T9" s="182">
        <f t="shared" si="1"/>
        <v>14</v>
      </c>
      <c r="U9" s="182">
        <v>60</v>
      </c>
      <c r="V9" s="24">
        <f t="shared" si="2"/>
        <v>80.000000000000028</v>
      </c>
      <c r="W9" s="17"/>
      <c r="X9" s="258"/>
    </row>
    <row r="10" spans="1:24" s="37" customFormat="1" ht="18" customHeight="1">
      <c r="A10" s="14" t="s">
        <v>207</v>
      </c>
      <c r="B10" s="15">
        <v>1</v>
      </c>
      <c r="C10" s="16" t="str">
        <f>INDEX(PORT!$B$2:$B$20,MATCH('07'!B10,PORT!$A$2:$A$20))</f>
        <v>PNH01</v>
      </c>
      <c r="D10" s="10" t="str">
        <f>INDEX(PORT!$C$2:$C$20,MATCH('07'!B10,PORT!$A$2:$A$20))</f>
        <v>KTI AIR PORT</v>
      </c>
      <c r="E10" s="18" t="s">
        <v>1252</v>
      </c>
      <c r="F10" s="18">
        <v>46205</v>
      </c>
      <c r="G10" s="19" t="s">
        <v>10</v>
      </c>
      <c r="H10" s="49" t="s">
        <v>1294</v>
      </c>
      <c r="I10" s="49" t="s">
        <v>1295</v>
      </c>
      <c r="J10" s="142" t="s">
        <v>1269</v>
      </c>
      <c r="K10" s="194">
        <v>46206</v>
      </c>
      <c r="L10" s="21" t="str">
        <f>VLOOKUP(K10,'[7]Exchange Rate'!$A$3:$D$25,3,FALSE)</f>
        <v>4033</v>
      </c>
      <c r="M10" s="20" t="str">
        <f t="shared" si="0"/>
        <v>Friday</v>
      </c>
      <c r="N10" s="26">
        <v>101.09</v>
      </c>
      <c r="O10" s="233">
        <v>0</v>
      </c>
      <c r="P10" s="233">
        <v>0</v>
      </c>
      <c r="Q10" s="22">
        <v>50</v>
      </c>
      <c r="R10" s="182">
        <v>140</v>
      </c>
      <c r="S10" s="182">
        <v>31.09</v>
      </c>
      <c r="T10" s="182">
        <f t="shared" si="1"/>
        <v>14</v>
      </c>
      <c r="U10" s="182">
        <v>60</v>
      </c>
      <c r="V10" s="24">
        <f t="shared" si="2"/>
        <v>80</v>
      </c>
      <c r="W10" s="17"/>
    </row>
    <row r="11" spans="1:24" ht="18" customHeight="1">
      <c r="A11" s="14" t="s">
        <v>207</v>
      </c>
      <c r="B11" s="15">
        <v>1</v>
      </c>
      <c r="C11" s="16" t="str">
        <f>INDEX(PORT!$B$2:$B$20,MATCH('07'!B11,PORT!$A$2:$A$20))</f>
        <v>PNH01</v>
      </c>
      <c r="D11" s="10" t="str">
        <f>INDEX(PORT!$C$2:$C$20,MATCH('07'!B11,PORT!$A$2:$A$20))</f>
        <v>KTI AIR PORT</v>
      </c>
      <c r="E11" s="18" t="s">
        <v>1253</v>
      </c>
      <c r="F11" s="18">
        <v>46205</v>
      </c>
      <c r="G11" s="19" t="s">
        <v>10</v>
      </c>
      <c r="H11" s="49" t="s">
        <v>1296</v>
      </c>
      <c r="I11" s="49" t="s">
        <v>1297</v>
      </c>
      <c r="J11" s="142" t="s">
        <v>1270</v>
      </c>
      <c r="K11" s="194">
        <v>46206</v>
      </c>
      <c r="L11" s="21" t="str">
        <f>VLOOKUP(K11,'[7]Exchange Rate'!$A$3:$D$25,3,FALSE)</f>
        <v>4033</v>
      </c>
      <c r="M11" s="20" t="str">
        <f t="shared" si="0"/>
        <v>Friday</v>
      </c>
      <c r="N11" s="26">
        <v>87.09</v>
      </c>
      <c r="O11" s="233">
        <v>0</v>
      </c>
      <c r="P11" s="233">
        <v>0</v>
      </c>
      <c r="Q11" s="22">
        <v>50</v>
      </c>
      <c r="R11" s="182">
        <v>140</v>
      </c>
      <c r="S11" s="182">
        <v>17.09</v>
      </c>
      <c r="T11" s="182">
        <f t="shared" si="1"/>
        <v>14</v>
      </c>
      <c r="U11" s="182">
        <v>160</v>
      </c>
      <c r="V11" s="24">
        <f t="shared" si="2"/>
        <v>180.00000000000003</v>
      </c>
      <c r="W11" s="17"/>
    </row>
    <row r="12" spans="1:24" s="37" customFormat="1" ht="18" customHeight="1">
      <c r="A12" s="14" t="s">
        <v>207</v>
      </c>
      <c r="B12" s="15">
        <v>1</v>
      </c>
      <c r="C12" s="16" t="str">
        <f>INDEX(PORT!$B$2:$B$20,MATCH('07'!B12,PORT!$A$2:$A$20))</f>
        <v>PNH01</v>
      </c>
      <c r="D12" s="10" t="str">
        <f>INDEX(PORT!$C$2:$C$20,MATCH('07'!B12,PORT!$A$2:$A$20))</f>
        <v>KTI AIR PORT</v>
      </c>
      <c r="E12" s="18" t="s">
        <v>1256</v>
      </c>
      <c r="F12" s="18">
        <v>46206</v>
      </c>
      <c r="G12" s="19" t="s">
        <v>351</v>
      </c>
      <c r="H12" s="49" t="s">
        <v>1298</v>
      </c>
      <c r="I12" s="49" t="s">
        <v>1299</v>
      </c>
      <c r="J12" s="142" t="s">
        <v>1271</v>
      </c>
      <c r="K12" s="194">
        <v>46209</v>
      </c>
      <c r="L12" s="21" t="str">
        <f>VLOOKUP(K12,'[7]Exchange Rate'!$A$3:$D$25,3,FALSE)</f>
        <v>4034</v>
      </c>
      <c r="M12" s="20" t="str">
        <f t="shared" si="0"/>
        <v>Monday</v>
      </c>
      <c r="N12" s="26">
        <v>291.64</v>
      </c>
      <c r="O12" s="233">
        <v>0</v>
      </c>
      <c r="P12" s="233">
        <v>0</v>
      </c>
      <c r="Q12" s="22">
        <v>50</v>
      </c>
      <c r="R12" s="182">
        <v>185</v>
      </c>
      <c r="S12" s="182">
        <v>126.64</v>
      </c>
      <c r="T12" s="182">
        <f t="shared" si="1"/>
        <v>18.5</v>
      </c>
      <c r="U12" s="182">
        <v>175.75</v>
      </c>
      <c r="V12" s="24">
        <f t="shared" si="2"/>
        <v>145.75</v>
      </c>
      <c r="W12" s="17"/>
      <c r="X12" s="50"/>
    </row>
    <row r="13" spans="1:24" s="37" customFormat="1" ht="18" customHeight="1">
      <c r="A13" s="14" t="s">
        <v>207</v>
      </c>
      <c r="B13" s="15">
        <v>1</v>
      </c>
      <c r="C13" s="16" t="str">
        <f>INDEX(PORT!$B$2:$B$20,MATCH('07'!B13,PORT!$A$2:$A$20))</f>
        <v>PNH01</v>
      </c>
      <c r="D13" s="10" t="str">
        <f>INDEX(PORT!$C$2:$C$20,MATCH('07'!B13,PORT!$A$2:$A$20))</f>
        <v>KTI AIR PORT</v>
      </c>
      <c r="E13" s="18" t="s">
        <v>1257</v>
      </c>
      <c r="F13" s="18">
        <v>46206</v>
      </c>
      <c r="G13" s="19" t="s">
        <v>4</v>
      </c>
      <c r="H13" s="49" t="s">
        <v>1300</v>
      </c>
      <c r="I13" s="49" t="s">
        <v>1301</v>
      </c>
      <c r="J13" s="142" t="s">
        <v>1274</v>
      </c>
      <c r="K13" s="194">
        <v>46209</v>
      </c>
      <c r="L13" s="21" t="str">
        <f>VLOOKUP(K13,'[7]Exchange Rate'!$A$3:$D$25,3,FALSE)</f>
        <v>4034</v>
      </c>
      <c r="M13" s="20" t="str">
        <f t="shared" si="0"/>
        <v>Monday</v>
      </c>
      <c r="N13" s="26">
        <v>106.19</v>
      </c>
      <c r="O13" s="233">
        <v>0</v>
      </c>
      <c r="P13" s="233">
        <v>0</v>
      </c>
      <c r="Q13" s="22">
        <v>50</v>
      </c>
      <c r="R13" s="182">
        <v>150</v>
      </c>
      <c r="S13" s="182">
        <v>36.19</v>
      </c>
      <c r="T13" s="182">
        <f t="shared" si="1"/>
        <v>15</v>
      </c>
      <c r="U13" s="182">
        <v>60</v>
      </c>
      <c r="V13" s="24">
        <f t="shared" si="2"/>
        <v>90</v>
      </c>
      <c r="W13" s="17"/>
      <c r="X13" s="50"/>
    </row>
    <row r="14" spans="1:24" s="37" customFormat="1" ht="18" customHeight="1">
      <c r="A14" s="14" t="s">
        <v>207</v>
      </c>
      <c r="B14" s="15">
        <v>4</v>
      </c>
      <c r="C14" s="16" t="str">
        <f>INDEX(PORT!$B$2:$B$20,MATCH('07'!B14,PORT!$A$2:$A$20))</f>
        <v>PNH04</v>
      </c>
      <c r="D14" s="10" t="str">
        <f>INDEX(PORT!$C$2:$C$20,MATCH('07'!B14,PORT!$A$2:$A$20))</f>
        <v>PNH PORT</v>
      </c>
      <c r="E14" s="18" t="s">
        <v>1258</v>
      </c>
      <c r="F14" s="18">
        <v>46206</v>
      </c>
      <c r="G14" s="19" t="s">
        <v>4</v>
      </c>
      <c r="H14" s="49" t="s">
        <v>1302</v>
      </c>
      <c r="I14" s="49" t="s">
        <v>1303</v>
      </c>
      <c r="J14" s="142" t="s">
        <v>1275</v>
      </c>
      <c r="K14" s="194">
        <v>46209</v>
      </c>
      <c r="L14" s="21" t="str">
        <f>VLOOKUP(K14,'[7]Exchange Rate'!$A$3:$D$25,3,FALSE)</f>
        <v>4034</v>
      </c>
      <c r="M14" s="20" t="str">
        <f t="shared" si="0"/>
        <v>Monday</v>
      </c>
      <c r="N14" s="26">
        <v>453.25</v>
      </c>
      <c r="O14" s="233">
        <v>0</v>
      </c>
      <c r="P14" s="233">
        <v>0</v>
      </c>
      <c r="Q14" s="22">
        <v>50</v>
      </c>
      <c r="R14" s="182">
        <v>245</v>
      </c>
      <c r="S14" s="182">
        <v>143.25</v>
      </c>
      <c r="T14" s="182">
        <f t="shared" si="1"/>
        <v>24.5</v>
      </c>
      <c r="U14" s="182">
        <v>504</v>
      </c>
      <c r="V14" s="24">
        <f t="shared" si="2"/>
        <v>389</v>
      </c>
      <c r="W14" s="17"/>
    </row>
    <row r="15" spans="1:24" s="50" customFormat="1" ht="18" customHeight="1">
      <c r="A15" s="14" t="s">
        <v>207</v>
      </c>
      <c r="B15" s="15">
        <v>11</v>
      </c>
      <c r="C15" s="16" t="str">
        <f>INDEX(PORT!$B$2:$B$20,MATCH('07'!B15,PORT!$A$2:$A$20))</f>
        <v>SHV11</v>
      </c>
      <c r="D15" s="10" t="str">
        <f>INDEX(PORT!$C$2:$C$20,MATCH('07'!B15,PORT!$A$2:$A$20))</f>
        <v>SHV PORT</v>
      </c>
      <c r="E15" s="18" t="s">
        <v>1259</v>
      </c>
      <c r="F15" s="18">
        <v>46206</v>
      </c>
      <c r="G15" s="19" t="s">
        <v>4</v>
      </c>
      <c r="H15" s="49" t="s">
        <v>1304</v>
      </c>
      <c r="I15" s="49" t="s">
        <v>1305</v>
      </c>
      <c r="J15" s="142" t="s">
        <v>1276</v>
      </c>
      <c r="K15" s="194">
        <v>46209</v>
      </c>
      <c r="L15" s="21" t="str">
        <f>VLOOKUP(K15,'[7]Exchange Rate'!$A$3:$D$25,3,FALSE)</f>
        <v>4034</v>
      </c>
      <c r="M15" s="20" t="str">
        <f t="shared" si="0"/>
        <v>Monday</v>
      </c>
      <c r="N15" s="26">
        <v>488.25</v>
      </c>
      <c r="O15" s="233">
        <v>0</v>
      </c>
      <c r="P15" s="233">
        <v>0</v>
      </c>
      <c r="Q15" s="22">
        <v>50</v>
      </c>
      <c r="R15" s="182">
        <v>215</v>
      </c>
      <c r="S15" s="182">
        <v>93.05</v>
      </c>
      <c r="T15" s="182">
        <f t="shared" si="1"/>
        <v>21.5</v>
      </c>
      <c r="U15" s="182">
        <v>580.5</v>
      </c>
      <c r="V15" s="24">
        <f t="shared" si="2"/>
        <v>350.29999999999995</v>
      </c>
      <c r="W15" s="17"/>
      <c r="X15" s="9"/>
    </row>
    <row r="16" spans="1:24" s="50" customFormat="1" ht="18" customHeight="1">
      <c r="A16" s="14" t="s">
        <v>207</v>
      </c>
      <c r="B16" s="15">
        <v>1</v>
      </c>
      <c r="C16" s="16" t="str">
        <f>INDEX(PORT!$B$2:$B$20,MATCH('07'!B16,PORT!$A$2:$A$20))</f>
        <v>PNH01</v>
      </c>
      <c r="D16" s="10" t="str">
        <f>INDEX(PORT!$C$2:$C$20,MATCH('07'!B16,PORT!$A$2:$A$20))</f>
        <v>KTI AIR PORT</v>
      </c>
      <c r="E16" s="18" t="s">
        <v>1261</v>
      </c>
      <c r="F16" s="18">
        <v>46206</v>
      </c>
      <c r="G16" s="19" t="s">
        <v>10</v>
      </c>
      <c r="H16" s="49" t="s">
        <v>1306</v>
      </c>
      <c r="I16" s="49" t="s">
        <v>1307</v>
      </c>
      <c r="J16" s="142" t="s">
        <v>1278</v>
      </c>
      <c r="K16" s="194">
        <v>46209</v>
      </c>
      <c r="L16" s="21" t="str">
        <f>VLOOKUP(K16,'[7]Exchange Rate'!$A$3:$D$25,3,FALSE)</f>
        <v>4034</v>
      </c>
      <c r="M16" s="20" t="str">
        <f t="shared" si="0"/>
        <v>Monday</v>
      </c>
      <c r="N16" s="26">
        <v>178.14</v>
      </c>
      <c r="O16" s="233">
        <v>0</v>
      </c>
      <c r="P16" s="233">
        <v>0</v>
      </c>
      <c r="Q16" s="22">
        <v>50</v>
      </c>
      <c r="R16" s="182">
        <v>150</v>
      </c>
      <c r="S16" s="182">
        <v>48.14</v>
      </c>
      <c r="T16" s="182">
        <f t="shared" si="1"/>
        <v>15</v>
      </c>
      <c r="U16" s="182">
        <v>130.75</v>
      </c>
      <c r="V16" s="24">
        <f t="shared" si="2"/>
        <v>100.75</v>
      </c>
      <c r="W16" s="17"/>
      <c r="X16" s="9"/>
    </row>
    <row r="17" spans="1:26" s="37" customFormat="1" ht="15.75">
      <c r="A17" s="14" t="s">
        <v>207</v>
      </c>
      <c r="B17" s="15">
        <v>1</v>
      </c>
      <c r="C17" s="16" t="str">
        <f>INDEX(PORT!$B$2:$B$20,MATCH('07'!B17,PORT!$A$2:$A$20))</f>
        <v>PNH01</v>
      </c>
      <c r="D17" s="10" t="str">
        <f>INDEX(PORT!$C$2:$C$20,MATCH('07'!B17,PORT!$A$2:$A$20))</f>
        <v>KTI AIR PORT</v>
      </c>
      <c r="E17" s="18" t="s">
        <v>1254</v>
      </c>
      <c r="F17" s="18">
        <v>46207</v>
      </c>
      <c r="G17" s="19" t="s">
        <v>351</v>
      </c>
      <c r="H17" s="49" t="s">
        <v>1308</v>
      </c>
      <c r="I17" s="49" t="s">
        <v>1309</v>
      </c>
      <c r="J17" s="142" t="s">
        <v>1272</v>
      </c>
      <c r="K17" s="194">
        <v>46209</v>
      </c>
      <c r="L17" s="21" t="str">
        <f>VLOOKUP(K17,'[7]Exchange Rate'!$A$3:$D$25,3,FALSE)</f>
        <v>4034</v>
      </c>
      <c r="M17" s="20" t="str">
        <f t="shared" si="0"/>
        <v>Monday</v>
      </c>
      <c r="N17" s="26">
        <v>295.05</v>
      </c>
      <c r="O17" s="233">
        <v>0</v>
      </c>
      <c r="P17" s="233">
        <v>0</v>
      </c>
      <c r="Q17" s="22">
        <v>50</v>
      </c>
      <c r="R17" s="182">
        <v>220</v>
      </c>
      <c r="S17" s="182">
        <v>175.05</v>
      </c>
      <c r="T17" s="182">
        <f t="shared" si="1"/>
        <v>22</v>
      </c>
      <c r="U17" s="182">
        <v>180</v>
      </c>
      <c r="V17" s="24">
        <f t="shared" si="2"/>
        <v>229.99999999999994</v>
      </c>
      <c r="W17" s="17"/>
      <c r="X17" s="9"/>
    </row>
    <row r="18" spans="1:26" s="37" customFormat="1" ht="18" customHeight="1">
      <c r="A18" s="14" t="s">
        <v>207</v>
      </c>
      <c r="B18" s="15">
        <v>11</v>
      </c>
      <c r="C18" s="16" t="str">
        <f>INDEX(PORT!$B$2:$B$20,MATCH('07'!B18,PORT!$A$2:$A$20))</f>
        <v>SHV11</v>
      </c>
      <c r="D18" s="10" t="str">
        <f>INDEX(PORT!$C$2:$C$20,MATCH('07'!B18,PORT!$A$2:$A$20))</f>
        <v>SHV PORT</v>
      </c>
      <c r="E18" s="18" t="s">
        <v>1255</v>
      </c>
      <c r="F18" s="18">
        <v>46207</v>
      </c>
      <c r="G18" s="19" t="s">
        <v>351</v>
      </c>
      <c r="H18" s="49" t="s">
        <v>1310</v>
      </c>
      <c r="I18" s="49" t="s">
        <v>1311</v>
      </c>
      <c r="J18" s="142" t="s">
        <v>1273</v>
      </c>
      <c r="K18" s="194">
        <v>46209</v>
      </c>
      <c r="L18" s="21" t="str">
        <f>VLOOKUP(K18,'[7]Exchange Rate'!$A$3:$D$25,3,FALSE)</f>
        <v>4034</v>
      </c>
      <c r="M18" s="20" t="str">
        <f t="shared" si="0"/>
        <v>Monday</v>
      </c>
      <c r="N18" s="26">
        <v>769.38</v>
      </c>
      <c r="O18" s="233">
        <v>0</v>
      </c>
      <c r="P18" s="233">
        <v>0</v>
      </c>
      <c r="Q18" s="22">
        <v>50</v>
      </c>
      <c r="R18" s="182">
        <v>245</v>
      </c>
      <c r="S18" s="182">
        <v>119.38</v>
      </c>
      <c r="T18" s="182">
        <f t="shared" si="1"/>
        <v>24.5</v>
      </c>
      <c r="U18" s="182">
        <v>1467</v>
      </c>
      <c r="V18" s="24">
        <f t="shared" si="2"/>
        <v>1012.0000000000001</v>
      </c>
      <c r="W18" s="17"/>
      <c r="X18" s="9"/>
    </row>
    <row r="19" spans="1:26" s="37" customFormat="1" ht="18" customHeight="1">
      <c r="A19" s="14" t="s">
        <v>207</v>
      </c>
      <c r="B19" s="15">
        <v>19</v>
      </c>
      <c r="C19" s="16" t="str">
        <f>INDEX(PORT!$B$2:$B$20,MATCH('07'!B19,PORT!$A$2:$A$20))</f>
        <v>PNH19</v>
      </c>
      <c r="D19" s="10" t="str">
        <f>INDEX(PORT!$C$2:$C$20,MATCH('07'!B19,PORT!$A$2:$A$20))</f>
        <v>TEC SRUN DRYPORT</v>
      </c>
      <c r="E19" s="18" t="s">
        <v>1234</v>
      </c>
      <c r="F19" s="18">
        <v>46207</v>
      </c>
      <c r="G19" s="19" t="s">
        <v>4</v>
      </c>
      <c r="H19" s="49" t="s">
        <v>1312</v>
      </c>
      <c r="I19" s="49" t="s">
        <v>1313</v>
      </c>
      <c r="J19" s="142" t="s">
        <v>1277</v>
      </c>
      <c r="K19" s="194">
        <v>46209</v>
      </c>
      <c r="L19" s="21" t="str">
        <f>VLOOKUP(K19,'[7]Exchange Rate'!$A$3:$D$25,3,FALSE)</f>
        <v>4034</v>
      </c>
      <c r="M19" s="20" t="str">
        <f t="shared" si="0"/>
        <v>Monday</v>
      </c>
      <c r="N19" s="26">
        <v>133.47999999999999</v>
      </c>
      <c r="O19" s="233">
        <v>0</v>
      </c>
      <c r="P19" s="233">
        <v>0</v>
      </c>
      <c r="Q19" s="22">
        <v>50</v>
      </c>
      <c r="R19" s="182">
        <v>150</v>
      </c>
      <c r="S19" s="182">
        <v>28.48</v>
      </c>
      <c r="T19" s="182">
        <f t="shared" si="1"/>
        <v>15</v>
      </c>
      <c r="U19" s="182">
        <v>159</v>
      </c>
      <c r="V19" s="24">
        <f t="shared" si="2"/>
        <v>154.00000000000003</v>
      </c>
      <c r="W19" s="17"/>
    </row>
    <row r="20" spans="1:26" ht="18" customHeight="1">
      <c r="A20" s="14" t="s">
        <v>207</v>
      </c>
      <c r="B20" s="15">
        <v>19</v>
      </c>
      <c r="C20" s="16" t="str">
        <f>INDEX(PORT!$B$2:$B$20,MATCH('07'!B20,PORT!$A$2:$A$20))</f>
        <v>PNH19</v>
      </c>
      <c r="D20" s="10" t="str">
        <f>INDEX(PORT!$C$2:$C$20,MATCH('07'!B20,PORT!$A$2:$A$20))</f>
        <v>TEC SRUN DRYPORT</v>
      </c>
      <c r="E20" s="18" t="s">
        <v>1260</v>
      </c>
      <c r="F20" s="18">
        <v>46207</v>
      </c>
      <c r="G20" s="19" t="s">
        <v>10</v>
      </c>
      <c r="H20" s="49" t="s">
        <v>1314</v>
      </c>
      <c r="I20" s="49" t="s">
        <v>1315</v>
      </c>
      <c r="J20" s="142" t="s">
        <v>1279</v>
      </c>
      <c r="K20" s="194">
        <v>46209</v>
      </c>
      <c r="L20" s="21" t="str">
        <f>VLOOKUP(K20,'[7]Exchange Rate'!$A$3:$D$25,3,FALSE)</f>
        <v>4034</v>
      </c>
      <c r="M20" s="20" t="str">
        <f t="shared" si="0"/>
        <v>Monday</v>
      </c>
      <c r="N20" s="26">
        <v>111.1</v>
      </c>
      <c r="O20" s="233">
        <v>0</v>
      </c>
      <c r="P20" s="233">
        <v>0</v>
      </c>
      <c r="Q20" s="22">
        <v>50</v>
      </c>
      <c r="R20" s="182">
        <v>150</v>
      </c>
      <c r="S20" s="182">
        <v>26.1</v>
      </c>
      <c r="T20" s="182">
        <f t="shared" si="1"/>
        <v>15</v>
      </c>
      <c r="U20" s="182">
        <v>109.5</v>
      </c>
      <c r="V20" s="24">
        <f t="shared" si="2"/>
        <v>124.50000000000003</v>
      </c>
      <c r="W20" s="17"/>
      <c r="X20" s="50"/>
    </row>
    <row r="21" spans="1:26" ht="18" customHeight="1">
      <c r="A21" s="14" t="s">
        <v>207</v>
      </c>
      <c r="B21" s="143">
        <v>11</v>
      </c>
      <c r="C21" s="16" t="str">
        <f>INDEX(PORT!$B$2:$B$20,MATCH('07'!B21,PORT!$A$2:$A$20))</f>
        <v>SHV11</v>
      </c>
      <c r="D21" s="10" t="str">
        <f>INDEX(PORT!$C$2:$C$20,MATCH('07'!B21,PORT!$A$2:$A$20))</f>
        <v>SHV PORT</v>
      </c>
      <c r="E21" s="236" t="s">
        <v>1323</v>
      </c>
      <c r="F21" s="172">
        <v>46209</v>
      </c>
      <c r="G21" s="155" t="s">
        <v>10</v>
      </c>
      <c r="H21" s="49" t="s">
        <v>1328</v>
      </c>
      <c r="I21" s="49" t="s">
        <v>1329</v>
      </c>
      <c r="J21" s="142" t="s">
        <v>1346</v>
      </c>
      <c r="K21" s="195">
        <v>46210</v>
      </c>
      <c r="L21" s="21" t="str">
        <f>VLOOKUP(K21,'[7]Exchange Rate'!$A$3:$D$25,3,FALSE)</f>
        <v>4035</v>
      </c>
      <c r="M21" s="20" t="str">
        <f t="shared" si="0"/>
        <v>Tuesday</v>
      </c>
      <c r="N21" s="26">
        <v>140.43</v>
      </c>
      <c r="O21" s="233">
        <v>0</v>
      </c>
      <c r="P21" s="233">
        <v>0</v>
      </c>
      <c r="Q21" s="22">
        <v>50</v>
      </c>
      <c r="R21" s="182">
        <v>150</v>
      </c>
      <c r="S21" s="182">
        <v>15.43</v>
      </c>
      <c r="T21" s="182">
        <f t="shared" si="1"/>
        <v>15</v>
      </c>
      <c r="U21" s="182">
        <v>109.5</v>
      </c>
      <c r="V21" s="24">
        <f t="shared" si="2"/>
        <v>84.5</v>
      </c>
      <c r="W21" s="17"/>
    </row>
    <row r="22" spans="1:26" ht="18" customHeight="1">
      <c r="A22" s="14" t="s">
        <v>207</v>
      </c>
      <c r="B22" s="143">
        <v>21</v>
      </c>
      <c r="C22" s="16" t="str">
        <f>INDEX(PORT!$B$2:$B$20,MATCH('07'!B22,PORT!$A$2:$A$20))</f>
        <v>PNH21</v>
      </c>
      <c r="D22" s="10" t="str">
        <f>INDEX(PORT!$C$2:$C$20,MATCH('07'!B22,PORT!$A$2:$A$20))</f>
        <v>OLAIR DRY PORT</v>
      </c>
      <c r="E22" s="236" t="s">
        <v>1319</v>
      </c>
      <c r="F22" s="144">
        <v>46211</v>
      </c>
      <c r="G22" s="145" t="s">
        <v>10</v>
      </c>
      <c r="H22" s="49" t="s">
        <v>1330</v>
      </c>
      <c r="I22" s="49" t="s">
        <v>1331</v>
      </c>
      <c r="J22" s="142" t="s">
        <v>1347</v>
      </c>
      <c r="K22" s="147">
        <v>46212</v>
      </c>
      <c r="L22" s="21" t="str">
        <f>VLOOKUP(K22,'[7]Exchange Rate'!$A$3:$D$25,3,FALSE)</f>
        <v>4036</v>
      </c>
      <c r="M22" s="20" t="str">
        <f t="shared" si="0"/>
        <v>Thursday</v>
      </c>
      <c r="N22" s="26">
        <v>110</v>
      </c>
      <c r="O22" s="233">
        <v>176</v>
      </c>
      <c r="P22" s="233">
        <v>0</v>
      </c>
      <c r="Q22" s="22">
        <v>50</v>
      </c>
      <c r="R22" s="182">
        <v>150</v>
      </c>
      <c r="S22" s="182">
        <v>201</v>
      </c>
      <c r="T22" s="182">
        <f t="shared" si="1"/>
        <v>15</v>
      </c>
      <c r="U22" s="182">
        <v>109.5</v>
      </c>
      <c r="V22" s="24">
        <f t="shared" si="2"/>
        <v>124.5</v>
      </c>
      <c r="W22" s="17"/>
    </row>
    <row r="23" spans="1:26" ht="18" customHeight="1">
      <c r="A23" s="14" t="s">
        <v>207</v>
      </c>
      <c r="B23" s="143">
        <v>11</v>
      </c>
      <c r="C23" s="16" t="str">
        <f>INDEX(PORT!$B$2:$B$20,MATCH('07'!B23,PORT!$A$2:$A$20))</f>
        <v>SHV11</v>
      </c>
      <c r="D23" s="10" t="str">
        <f>INDEX(PORT!$C$2:$C$20,MATCH('07'!B23,PORT!$A$2:$A$20))</f>
        <v>SHV PORT</v>
      </c>
      <c r="E23" s="237" t="s">
        <v>1324</v>
      </c>
      <c r="F23" s="144">
        <v>46211</v>
      </c>
      <c r="G23" s="155" t="s">
        <v>10</v>
      </c>
      <c r="H23" s="49" t="s">
        <v>1332</v>
      </c>
      <c r="I23" s="49" t="s">
        <v>1333</v>
      </c>
      <c r="J23" s="142" t="s">
        <v>1348</v>
      </c>
      <c r="K23" s="147">
        <v>46212</v>
      </c>
      <c r="L23" s="21" t="str">
        <f>VLOOKUP(K23,'[7]Exchange Rate'!$A$3:$D$25,3,FALSE)</f>
        <v>4036</v>
      </c>
      <c r="M23" s="20" t="str">
        <f t="shared" si="0"/>
        <v>Thursday</v>
      </c>
      <c r="N23" s="26">
        <v>207.88</v>
      </c>
      <c r="O23" s="233">
        <v>387.2</v>
      </c>
      <c r="P23" s="233">
        <v>0</v>
      </c>
      <c r="Q23" s="22">
        <v>50</v>
      </c>
      <c r="R23" s="182">
        <v>150</v>
      </c>
      <c r="S23" s="182">
        <v>409.37</v>
      </c>
      <c r="T23" s="182">
        <f t="shared" si="1"/>
        <v>15</v>
      </c>
      <c r="U23" s="182">
        <v>208.36</v>
      </c>
      <c r="V23" s="24">
        <f t="shared" si="2"/>
        <v>122.65000000000009</v>
      </c>
      <c r="W23" s="17"/>
      <c r="X23" s="37"/>
    </row>
    <row r="24" spans="1:26" ht="18" customHeight="1">
      <c r="A24" s="14" t="s">
        <v>207</v>
      </c>
      <c r="B24" s="15">
        <v>21</v>
      </c>
      <c r="C24" s="16" t="str">
        <f>INDEX(PORT!$B$2:$B$20,MATCH('07'!B24,PORT!$A$2:$A$20))</f>
        <v>PNH21</v>
      </c>
      <c r="D24" s="10" t="str">
        <f>INDEX(PORT!$C$2:$C$20,MATCH('07'!B24,PORT!$A$2:$A$20))</f>
        <v>OLAIR DRY PORT</v>
      </c>
      <c r="E24" s="18" t="s">
        <v>1325</v>
      </c>
      <c r="F24" s="18">
        <v>46211</v>
      </c>
      <c r="G24" s="19" t="s">
        <v>4</v>
      </c>
      <c r="H24" s="49" t="s">
        <v>1334</v>
      </c>
      <c r="I24" s="49" t="s">
        <v>1335</v>
      </c>
      <c r="J24" s="142" t="s">
        <v>1352</v>
      </c>
      <c r="K24" s="194">
        <v>46212</v>
      </c>
      <c r="L24" s="21" t="str">
        <f>VLOOKUP(K24,'[7]Exchange Rate'!$A$3:$D$25,3,FALSE)</f>
        <v>4036</v>
      </c>
      <c r="M24" s="20" t="str">
        <f t="shared" si="0"/>
        <v>Thursday</v>
      </c>
      <c r="N24" s="26">
        <v>130</v>
      </c>
      <c r="O24" s="233">
        <v>176</v>
      </c>
      <c r="P24" s="233">
        <v>0</v>
      </c>
      <c r="Q24" s="22">
        <v>50</v>
      </c>
      <c r="R24" s="182">
        <v>150</v>
      </c>
      <c r="S24" s="182">
        <v>201</v>
      </c>
      <c r="T24" s="182">
        <f t="shared" si="1"/>
        <v>15</v>
      </c>
      <c r="U24" s="182">
        <v>159</v>
      </c>
      <c r="V24" s="24">
        <f t="shared" si="2"/>
        <v>154</v>
      </c>
      <c r="W24" s="17"/>
      <c r="X24" s="37"/>
    </row>
    <row r="25" spans="1:26" ht="18" customHeight="1">
      <c r="A25" s="14" t="s">
        <v>207</v>
      </c>
      <c r="B25" s="143">
        <v>11</v>
      </c>
      <c r="C25" s="16" t="str">
        <f>INDEX(PORT!$B$2:$B$20,MATCH('07'!B25,PORT!$A$2:$A$20))</f>
        <v>SHV11</v>
      </c>
      <c r="D25" s="10" t="str">
        <f>INDEX(PORT!$C$2:$C$20,MATCH('07'!B25,PORT!$A$2:$A$20))</f>
        <v>SHV PORT</v>
      </c>
      <c r="E25" s="60" t="s">
        <v>1375</v>
      </c>
      <c r="F25" s="144">
        <v>46211</v>
      </c>
      <c r="G25" s="145" t="s">
        <v>351</v>
      </c>
      <c r="H25" s="49" t="s">
        <v>1336</v>
      </c>
      <c r="I25" s="49" t="s">
        <v>1337</v>
      </c>
      <c r="J25" s="142" t="s">
        <v>1367</v>
      </c>
      <c r="K25" s="147">
        <v>46212</v>
      </c>
      <c r="L25" s="21" t="str">
        <f>VLOOKUP(K25,'[7]Exchange Rate'!$A$3:$D$25,3,FALSE)</f>
        <v>4036</v>
      </c>
      <c r="M25" s="20" t="str">
        <f t="shared" si="0"/>
        <v>Thursday</v>
      </c>
      <c r="N25" s="26">
        <v>453.75</v>
      </c>
      <c r="O25" s="233">
        <v>281</v>
      </c>
      <c r="P25" s="233">
        <v>0</v>
      </c>
      <c r="Q25" s="22">
        <v>50</v>
      </c>
      <c r="R25" s="182">
        <v>170</v>
      </c>
      <c r="S25" s="182">
        <v>339.59</v>
      </c>
      <c r="T25" s="182">
        <f t="shared" si="1"/>
        <v>17</v>
      </c>
      <c r="U25" s="182">
        <v>576</v>
      </c>
      <c r="V25" s="24">
        <f t="shared" si="2"/>
        <v>300.83999999999992</v>
      </c>
      <c r="W25" s="17" t="s">
        <v>1467</v>
      </c>
      <c r="X25" s="37"/>
    </row>
    <row r="26" spans="1:26" ht="18" customHeight="1">
      <c r="A26" s="14" t="s">
        <v>207</v>
      </c>
      <c r="B26" s="143">
        <v>1</v>
      </c>
      <c r="C26" s="16" t="str">
        <f>INDEX(PORT!$B$2:$B$20,MATCH('07'!B26,PORT!$A$2:$A$20))</f>
        <v>PNH01</v>
      </c>
      <c r="D26" s="10" t="str">
        <f>INDEX(PORT!$C$2:$C$20,MATCH('07'!B26,PORT!$A$2:$A$20))</f>
        <v>KTI AIR PORT</v>
      </c>
      <c r="E26" s="236" t="s">
        <v>1321</v>
      </c>
      <c r="F26" s="144">
        <v>46212</v>
      </c>
      <c r="G26" s="155" t="s">
        <v>10</v>
      </c>
      <c r="H26" s="49" t="s">
        <v>1338</v>
      </c>
      <c r="I26" s="49" t="s">
        <v>1339</v>
      </c>
      <c r="J26" s="142" t="s">
        <v>1349</v>
      </c>
      <c r="K26" s="147">
        <v>46213</v>
      </c>
      <c r="L26" s="21" t="str">
        <f>VLOOKUP(K26,'[7]Exchange Rate'!$A$3:$D$25,3,FALSE)</f>
        <v>4036</v>
      </c>
      <c r="M26" s="20" t="str">
        <f t="shared" si="0"/>
        <v>Friday</v>
      </c>
      <c r="N26" s="26">
        <v>152.80000000000001</v>
      </c>
      <c r="O26" s="233">
        <v>60.5</v>
      </c>
      <c r="P26" s="233">
        <v>0</v>
      </c>
      <c r="Q26" s="22">
        <v>50</v>
      </c>
      <c r="R26" s="182">
        <v>150</v>
      </c>
      <c r="S26" s="182">
        <v>83.3</v>
      </c>
      <c r="T26" s="182">
        <f t="shared" si="1"/>
        <v>15</v>
      </c>
      <c r="U26" s="182">
        <v>130.75</v>
      </c>
      <c r="V26" s="24">
        <f t="shared" si="2"/>
        <v>100.75</v>
      </c>
      <c r="W26" s="17"/>
      <c r="X26" s="257"/>
      <c r="Y26" s="256"/>
      <c r="Z26" s="256"/>
    </row>
    <row r="27" spans="1:26" ht="18" customHeight="1">
      <c r="A27" s="14" t="s">
        <v>207</v>
      </c>
      <c r="B27" s="59">
        <v>1</v>
      </c>
      <c r="C27" s="16" t="str">
        <f>INDEX(PORT!$B$2:$B$20,MATCH('07'!B27,PORT!$A$2:$A$20))</f>
        <v>PNH01</v>
      </c>
      <c r="D27" s="10" t="str">
        <f>INDEX(PORT!$C$2:$C$20,MATCH('07'!B27,PORT!$A$2:$A$20))</f>
        <v>KTI AIR PORT</v>
      </c>
      <c r="E27" s="60" t="s">
        <v>1356</v>
      </c>
      <c r="F27" s="54">
        <v>46212</v>
      </c>
      <c r="G27" s="19" t="s">
        <v>351</v>
      </c>
      <c r="H27" s="49" t="s">
        <v>1340</v>
      </c>
      <c r="I27" s="49" t="s">
        <v>1341</v>
      </c>
      <c r="J27" s="142" t="s">
        <v>1368</v>
      </c>
      <c r="K27" s="20">
        <v>46213</v>
      </c>
      <c r="L27" s="21" t="str">
        <f>VLOOKUP(K27,'[7]Exchange Rate'!$A$3:$D$25,3,FALSE)</f>
        <v>4036</v>
      </c>
      <c r="M27" s="20" t="str">
        <f t="shared" si="0"/>
        <v>Friday</v>
      </c>
      <c r="N27" s="26">
        <v>103.99</v>
      </c>
      <c r="O27" s="233">
        <v>0</v>
      </c>
      <c r="P27" s="233">
        <v>0</v>
      </c>
      <c r="Q27" s="22">
        <v>50</v>
      </c>
      <c r="R27" s="182">
        <v>140</v>
      </c>
      <c r="S27" s="182">
        <v>33.99</v>
      </c>
      <c r="T27" s="182">
        <f t="shared" si="1"/>
        <v>14</v>
      </c>
      <c r="U27" s="182">
        <v>180</v>
      </c>
      <c r="V27" s="24">
        <f t="shared" si="2"/>
        <v>200</v>
      </c>
      <c r="W27" s="17"/>
      <c r="X27" s="201"/>
    </row>
    <row r="28" spans="1:26" ht="18" customHeight="1">
      <c r="A28" s="14" t="s">
        <v>207</v>
      </c>
      <c r="B28" s="15">
        <v>11</v>
      </c>
      <c r="C28" s="16" t="str">
        <f>INDEX(PORT!$B$2:$B$20,MATCH('07'!B28,PORT!$A$2:$A$20))</f>
        <v>SHV11</v>
      </c>
      <c r="D28" s="10" t="str">
        <f>INDEX(PORT!$C$2:$C$20,MATCH('07'!B28,PORT!$A$2:$A$20))</f>
        <v>SHV PORT</v>
      </c>
      <c r="E28" s="18" t="s">
        <v>1355</v>
      </c>
      <c r="F28" s="18">
        <v>46213</v>
      </c>
      <c r="G28" s="19" t="s">
        <v>351</v>
      </c>
      <c r="H28" s="49" t="s">
        <v>1342</v>
      </c>
      <c r="I28" s="49" t="s">
        <v>1343</v>
      </c>
      <c r="J28" s="142" t="s">
        <v>1369</v>
      </c>
      <c r="K28" s="194">
        <v>46216</v>
      </c>
      <c r="L28" s="21" t="str">
        <f>VLOOKUP(K28,'[7]Exchange Rate'!$A$3:$D$25,3,FALSE)</f>
        <v>4037</v>
      </c>
      <c r="M28" s="20" t="str">
        <f t="shared" si="0"/>
        <v>Monday</v>
      </c>
      <c r="N28" s="26">
        <v>767.44</v>
      </c>
      <c r="O28" s="233">
        <v>0</v>
      </c>
      <c r="P28" s="233">
        <v>0</v>
      </c>
      <c r="Q28" s="22">
        <v>50</v>
      </c>
      <c r="R28" s="182">
        <v>245</v>
      </c>
      <c r="S28" s="182">
        <v>117.44</v>
      </c>
      <c r="T28" s="182">
        <f t="shared" si="1"/>
        <v>24.5</v>
      </c>
      <c r="U28" s="182">
        <v>1007</v>
      </c>
      <c r="V28" s="24">
        <f t="shared" si="2"/>
        <v>552</v>
      </c>
      <c r="W28" s="17"/>
      <c r="X28" s="12"/>
    </row>
    <row r="29" spans="1:26" ht="18" customHeight="1">
      <c r="A29" s="14" t="s">
        <v>207</v>
      </c>
      <c r="B29" s="59">
        <v>1</v>
      </c>
      <c r="C29" s="16" t="str">
        <f>INDEX(PORT!$B$2:$B$20,MATCH('07'!B29,PORT!$A$2:$A$20))</f>
        <v>PNH01</v>
      </c>
      <c r="D29" s="10" t="str">
        <f>INDEX(PORT!$C$2:$C$20,MATCH('07'!B29,PORT!$A$2:$A$20))</f>
        <v>KTI AIR PORT</v>
      </c>
      <c r="E29" s="60" t="s">
        <v>1357</v>
      </c>
      <c r="F29" s="54">
        <v>46214</v>
      </c>
      <c r="G29" s="19" t="s">
        <v>351</v>
      </c>
      <c r="H29" s="49" t="s">
        <v>1344</v>
      </c>
      <c r="I29" s="49" t="s">
        <v>1345</v>
      </c>
      <c r="J29" s="142" t="s">
        <v>1370</v>
      </c>
      <c r="K29" s="20">
        <v>46216</v>
      </c>
      <c r="L29" s="21" t="str">
        <f>VLOOKUP(K29,'[7]Exchange Rate'!$A$3:$D$25,3,FALSE)</f>
        <v>4037</v>
      </c>
      <c r="M29" s="20" t="str">
        <f t="shared" si="0"/>
        <v>Monday</v>
      </c>
      <c r="N29" s="26">
        <v>114.55</v>
      </c>
      <c r="O29" s="233">
        <v>0</v>
      </c>
      <c r="P29" s="233">
        <v>0</v>
      </c>
      <c r="Q29" s="22">
        <v>50</v>
      </c>
      <c r="R29" s="182">
        <v>150</v>
      </c>
      <c r="S29" s="182">
        <v>44.55</v>
      </c>
      <c r="T29" s="182">
        <f t="shared" si="1"/>
        <v>15</v>
      </c>
      <c r="U29" s="182">
        <v>180</v>
      </c>
      <c r="V29" s="24">
        <f t="shared" si="2"/>
        <v>210</v>
      </c>
      <c r="W29" s="17"/>
      <c r="X29" s="12"/>
    </row>
    <row r="30" spans="1:26" ht="18" customHeight="1">
      <c r="A30" s="14" t="s">
        <v>207</v>
      </c>
      <c r="B30" s="197">
        <v>1</v>
      </c>
      <c r="C30" s="16" t="str">
        <f>INDEX(PORT!$B$2:$B$20,MATCH('07'!B30,PORT!$A$2:$A$20))</f>
        <v>PNH01</v>
      </c>
      <c r="D30" s="10" t="str">
        <f>INDEX(PORT!$C$2:$C$20,MATCH('07'!B30,PORT!$A$2:$A$20))</f>
        <v>KTI AIR PORT</v>
      </c>
      <c r="E30" s="215" t="s">
        <v>1322</v>
      </c>
      <c r="F30" s="144">
        <v>46217</v>
      </c>
      <c r="G30" s="145" t="s">
        <v>10</v>
      </c>
      <c r="H30" s="49" t="s">
        <v>1359</v>
      </c>
      <c r="I30" s="49" t="s">
        <v>1360</v>
      </c>
      <c r="J30" s="142" t="s">
        <v>1350</v>
      </c>
      <c r="K30" s="147">
        <v>46218</v>
      </c>
      <c r="L30" s="21" t="str">
        <f>VLOOKUP(K30,'[7]Exchange Rate'!$A$3:$D$25,3,FALSE)</f>
        <v>4037</v>
      </c>
      <c r="M30" s="20" t="str">
        <f t="shared" si="0"/>
        <v>Wednesday</v>
      </c>
      <c r="N30" s="26">
        <v>152.88999999999999</v>
      </c>
      <c r="O30" s="233">
        <v>60.5</v>
      </c>
      <c r="P30" s="233">
        <v>0</v>
      </c>
      <c r="Q30" s="22">
        <v>50</v>
      </c>
      <c r="R30" s="182">
        <v>150</v>
      </c>
      <c r="S30" s="182">
        <v>83.39</v>
      </c>
      <c r="T30" s="182">
        <f t="shared" si="1"/>
        <v>15</v>
      </c>
      <c r="U30" s="182">
        <v>130.75</v>
      </c>
      <c r="V30" s="24">
        <f t="shared" si="2"/>
        <v>100.75</v>
      </c>
      <c r="W30" s="17"/>
      <c r="X30" s="12"/>
    </row>
    <row r="31" spans="1:26" ht="18" customHeight="1">
      <c r="A31" s="14" t="s">
        <v>207</v>
      </c>
      <c r="B31" s="151" t="s">
        <v>192</v>
      </c>
      <c r="C31" s="16" t="str">
        <f>INDEX(PORT!$B$2:$B$20,MATCH('07'!B31,PORT!$A$2:$A$20))</f>
        <v>SVR11</v>
      </c>
      <c r="D31" s="10" t="str">
        <f>INDEX(PORT!$C$2:$C$20,MATCH('07'!B31,PORT!$A$2:$A$20))</f>
        <v>BAVET CEO</v>
      </c>
      <c r="E31" s="172" t="s">
        <v>1327</v>
      </c>
      <c r="F31" s="144">
        <v>46217</v>
      </c>
      <c r="G31" s="145" t="s">
        <v>41</v>
      </c>
      <c r="H31" s="49" t="s">
        <v>1361</v>
      </c>
      <c r="I31" s="49" t="s">
        <v>1362</v>
      </c>
      <c r="J31" s="142" t="s">
        <v>1353</v>
      </c>
      <c r="K31" s="260">
        <v>46218</v>
      </c>
      <c r="L31" s="21" t="str">
        <f>VLOOKUP(K31,'[7]Exchange Rate'!$A$3:$D$25,3,FALSE)</f>
        <v>4037</v>
      </c>
      <c r="M31" s="20" t="str">
        <f t="shared" si="0"/>
        <v>Wednesday</v>
      </c>
      <c r="N31" s="26">
        <v>611.25</v>
      </c>
      <c r="O31" s="233">
        <v>1299.5</v>
      </c>
      <c r="P31" s="233">
        <v>0</v>
      </c>
      <c r="Q31" s="22">
        <v>0</v>
      </c>
      <c r="R31" s="182">
        <v>213</v>
      </c>
      <c r="S31" s="182">
        <v>1320.75</v>
      </c>
      <c r="T31" s="182">
        <f t="shared" si="1"/>
        <v>21.3</v>
      </c>
      <c r="U31" s="182">
        <v>950.5</v>
      </c>
      <c r="V31" s="24">
        <f t="shared" si="2"/>
        <v>573.5</v>
      </c>
      <c r="W31" s="17"/>
      <c r="X31" s="12"/>
    </row>
    <row r="32" spans="1:26" ht="18" customHeight="1">
      <c r="A32" s="14" t="s">
        <v>207</v>
      </c>
      <c r="B32" s="59">
        <v>11</v>
      </c>
      <c r="C32" s="16" t="str">
        <f>INDEX(PORT!$B$2:$B$20,MATCH('07'!B32,PORT!$A$2:$A$20))</f>
        <v>SHV11</v>
      </c>
      <c r="D32" s="10" t="str">
        <f>INDEX(PORT!$C$2:$C$20,MATCH('07'!B32,PORT!$A$2:$A$20))</f>
        <v>SHV PORT</v>
      </c>
      <c r="E32" s="60" t="s">
        <v>1417</v>
      </c>
      <c r="F32" s="54">
        <v>46217</v>
      </c>
      <c r="G32" s="19" t="s">
        <v>351</v>
      </c>
      <c r="H32" s="49" t="s">
        <v>1363</v>
      </c>
      <c r="I32" s="49" t="s">
        <v>1364</v>
      </c>
      <c r="J32" s="142" t="s">
        <v>1382</v>
      </c>
      <c r="K32" s="20">
        <v>46218</v>
      </c>
      <c r="L32" s="21" t="str">
        <f>VLOOKUP(K32,'[7]Exchange Rate'!$A$3:$D$25,3,FALSE)</f>
        <v>4037</v>
      </c>
      <c r="M32" s="20" t="str">
        <f t="shared" si="0"/>
        <v>Wednesday</v>
      </c>
      <c r="N32" s="26">
        <v>158.75</v>
      </c>
      <c r="O32" s="233">
        <v>401</v>
      </c>
      <c r="P32" s="233">
        <v>0</v>
      </c>
      <c r="Q32" s="22">
        <v>50</v>
      </c>
      <c r="R32" s="182">
        <v>150</v>
      </c>
      <c r="S32" s="182">
        <v>414.75</v>
      </c>
      <c r="T32" s="182">
        <f t="shared" si="1"/>
        <v>15</v>
      </c>
      <c r="U32" s="182">
        <v>100</v>
      </c>
      <c r="V32" s="24">
        <f t="shared" si="2"/>
        <v>55</v>
      </c>
      <c r="W32" s="17"/>
    </row>
    <row r="33" spans="1:24" ht="18" customHeight="1">
      <c r="A33" s="14" t="s">
        <v>207</v>
      </c>
      <c r="B33" s="143">
        <v>19</v>
      </c>
      <c r="C33" s="16" t="str">
        <f>INDEX(PORT!$B$2:$B$20,MATCH('07'!B33,PORT!$A$2:$A$20))</f>
        <v>PNH19</v>
      </c>
      <c r="D33" s="10" t="str">
        <f>INDEX(PORT!$C$2:$C$20,MATCH('07'!B33,PORT!$A$2:$A$20))</f>
        <v>TEC SRUN DRYPORT</v>
      </c>
      <c r="E33" s="215" t="s">
        <v>1320</v>
      </c>
      <c r="F33" s="153">
        <v>46218</v>
      </c>
      <c r="G33" s="155" t="s">
        <v>10</v>
      </c>
      <c r="H33" s="49" t="s">
        <v>1365</v>
      </c>
      <c r="I33" s="49" t="s">
        <v>1366</v>
      </c>
      <c r="J33" s="142" t="s">
        <v>1351</v>
      </c>
      <c r="K33" s="153">
        <v>46219</v>
      </c>
      <c r="L33" s="21" t="str">
        <f>VLOOKUP(K33,'[7]Exchange Rate'!$A$3:$D$25,3,FALSE)</f>
        <v>4037</v>
      </c>
      <c r="M33" s="20" t="str">
        <f t="shared" si="0"/>
        <v>Thursday</v>
      </c>
      <c r="N33" s="26">
        <v>111.1</v>
      </c>
      <c r="O33" s="233">
        <v>193.6</v>
      </c>
      <c r="P33" s="233">
        <v>0</v>
      </c>
      <c r="Q33" s="22">
        <v>50</v>
      </c>
      <c r="R33" s="182">
        <v>150</v>
      </c>
      <c r="S33" s="182">
        <v>219.7</v>
      </c>
      <c r="T33" s="182">
        <f t="shared" si="1"/>
        <v>15</v>
      </c>
      <c r="U33" s="182">
        <v>109.5</v>
      </c>
      <c r="V33" s="24">
        <f t="shared" si="2"/>
        <v>124.5</v>
      </c>
      <c r="W33" s="17"/>
    </row>
    <row r="34" spans="1:24" ht="18" customHeight="1">
      <c r="A34" s="14" t="s">
        <v>207</v>
      </c>
      <c r="B34" s="143">
        <v>19</v>
      </c>
      <c r="C34" s="16" t="str">
        <f>INDEX(PORT!$B$2:$B$20,MATCH('07'!B34,PORT!$A$2:$A$20))</f>
        <v>PNH19</v>
      </c>
      <c r="D34" s="10" t="str">
        <f>INDEX(PORT!$C$2:$C$20,MATCH('07'!B34,PORT!$A$2:$A$20))</f>
        <v>TEC SRUN DRYPORT</v>
      </c>
      <c r="E34" s="215" t="s">
        <v>1326</v>
      </c>
      <c r="F34" s="166">
        <v>46218</v>
      </c>
      <c r="G34" s="165" t="s">
        <v>4</v>
      </c>
      <c r="H34" s="49" t="s">
        <v>1383</v>
      </c>
      <c r="I34" s="49" t="s">
        <v>1384</v>
      </c>
      <c r="J34" s="142" t="s">
        <v>1354</v>
      </c>
      <c r="K34" s="261">
        <v>46219</v>
      </c>
      <c r="L34" s="21" t="str">
        <f>VLOOKUP(K34,'[7]Exchange Rate'!$A$3:$D$25,3,FALSE)</f>
        <v>4037</v>
      </c>
      <c r="M34" s="20" t="str">
        <f t="shared" si="0"/>
        <v>Thursday</v>
      </c>
      <c r="N34" s="26">
        <v>131.1</v>
      </c>
      <c r="O34" s="233">
        <v>193.6</v>
      </c>
      <c r="P34" s="233">
        <v>0</v>
      </c>
      <c r="Q34" s="22">
        <v>50</v>
      </c>
      <c r="R34" s="182">
        <v>150</v>
      </c>
      <c r="S34" s="182">
        <v>219.7</v>
      </c>
      <c r="T34" s="182">
        <f t="shared" si="1"/>
        <v>15</v>
      </c>
      <c r="U34" s="182">
        <v>159</v>
      </c>
      <c r="V34" s="24">
        <f t="shared" si="2"/>
        <v>154.00000000000006</v>
      </c>
      <c r="W34" s="17"/>
    </row>
    <row r="35" spans="1:24" ht="18" customHeight="1">
      <c r="A35" s="14" t="s">
        <v>207</v>
      </c>
      <c r="B35" s="143">
        <v>1</v>
      </c>
      <c r="C35" s="16" t="str">
        <f>INDEX(PORT!$B$2:$B$20,MATCH('07'!B35,PORT!$A$2:$A$20))</f>
        <v>PNH01</v>
      </c>
      <c r="D35" s="10" t="str">
        <f>INDEX(PORT!$C$2:$C$20,MATCH('07'!B35,PORT!$A$2:$A$20))</f>
        <v>KTI AIR PORT</v>
      </c>
      <c r="E35" s="60" t="s">
        <v>1358</v>
      </c>
      <c r="F35" s="144">
        <v>46218</v>
      </c>
      <c r="G35" s="145" t="s">
        <v>351</v>
      </c>
      <c r="H35" s="49" t="s">
        <v>1385</v>
      </c>
      <c r="I35" s="49" t="s">
        <v>1386</v>
      </c>
      <c r="J35" s="142" t="s">
        <v>1400</v>
      </c>
      <c r="K35" s="147">
        <v>46219</v>
      </c>
      <c r="L35" s="21" t="str">
        <f>VLOOKUP(K35,'[7]Exchange Rate'!$A$3:$D$25,3,FALSE)</f>
        <v>4037</v>
      </c>
      <c r="M35" s="20" t="str">
        <f t="shared" ref="M35:M72" si="3">TEXT(K35,"dddd")</f>
        <v>Thursday</v>
      </c>
      <c r="N35" s="26">
        <v>105.75</v>
      </c>
      <c r="O35" s="233">
        <v>0</v>
      </c>
      <c r="P35" s="233">
        <v>0</v>
      </c>
      <c r="Q35" s="22">
        <v>50</v>
      </c>
      <c r="R35" s="182">
        <v>140</v>
      </c>
      <c r="S35" s="182">
        <v>35.75</v>
      </c>
      <c r="T35" s="182">
        <f t="shared" ref="T35:T72" si="4">ROUND(R35*10%,2)</f>
        <v>14</v>
      </c>
      <c r="U35" s="182">
        <v>60</v>
      </c>
      <c r="V35" s="24">
        <f t="shared" ref="V35:V66" si="5">(R35+S35+U35)-(N35+O35+Q35+P35)</f>
        <v>80</v>
      </c>
      <c r="W35" s="17"/>
    </row>
    <row r="36" spans="1:24" ht="18" customHeight="1">
      <c r="A36" s="14" t="s">
        <v>207</v>
      </c>
      <c r="B36" s="59">
        <v>11</v>
      </c>
      <c r="C36" s="16" t="str">
        <f>INDEX(PORT!$B$2:$B$20,MATCH('07'!B36,PORT!$A$2:$A$20))</f>
        <v>SHV11</v>
      </c>
      <c r="D36" s="10" t="str">
        <f>INDEX(PORT!$C$2:$C$20,MATCH('07'!B36,PORT!$A$2:$A$20))</f>
        <v>SHV PORT</v>
      </c>
      <c r="E36" s="295" t="s">
        <v>1407</v>
      </c>
      <c r="F36" s="54">
        <v>46219</v>
      </c>
      <c r="G36" s="19" t="s">
        <v>4</v>
      </c>
      <c r="H36" s="49" t="s">
        <v>1387</v>
      </c>
      <c r="I36" s="49" t="s">
        <v>1388</v>
      </c>
      <c r="J36" s="142" t="s">
        <v>1399</v>
      </c>
      <c r="K36" s="20">
        <v>46220</v>
      </c>
      <c r="L36" s="21" t="str">
        <f>VLOOKUP(K36,'[7]Exchange Rate'!$A$3:$D$25,3,FALSE)</f>
        <v>4037</v>
      </c>
      <c r="M36" s="20" t="str">
        <f t="shared" si="3"/>
        <v>Friday</v>
      </c>
      <c r="N36" s="26">
        <v>194.8</v>
      </c>
      <c r="O36" s="233">
        <v>248.29</v>
      </c>
      <c r="P36" s="233">
        <v>0</v>
      </c>
      <c r="Q36" s="22">
        <v>50</v>
      </c>
      <c r="R36" s="182">
        <v>150</v>
      </c>
      <c r="S36" s="182">
        <v>267.08999999999997</v>
      </c>
      <c r="T36" s="182">
        <f t="shared" si="4"/>
        <v>15</v>
      </c>
      <c r="U36" s="182">
        <v>180.97</v>
      </c>
      <c r="V36" s="24">
        <f t="shared" si="5"/>
        <v>104.96999999999991</v>
      </c>
      <c r="W36" s="17"/>
    </row>
    <row r="37" spans="1:24" s="139" customFormat="1" ht="18" customHeight="1">
      <c r="A37" s="14" t="s">
        <v>207</v>
      </c>
      <c r="B37" s="15">
        <v>11</v>
      </c>
      <c r="C37" s="16" t="str">
        <f>INDEX(PORT!$B$2:$B$20,MATCH('07'!B37,PORT!$A$2:$A$20))</f>
        <v>SHV11</v>
      </c>
      <c r="D37" s="10" t="str">
        <f>INDEX(PORT!$C$2:$C$20,MATCH('07'!B37,PORT!$A$2:$A$20))</f>
        <v>SHV PORT</v>
      </c>
      <c r="E37" s="216" t="s">
        <v>1411</v>
      </c>
      <c r="F37" s="18">
        <v>46219</v>
      </c>
      <c r="G37" s="19" t="s">
        <v>10</v>
      </c>
      <c r="H37" s="49" t="s">
        <v>1389</v>
      </c>
      <c r="I37" s="49" t="s">
        <v>1390</v>
      </c>
      <c r="J37" s="142" t="s">
        <v>1403</v>
      </c>
      <c r="K37" s="194">
        <v>46220</v>
      </c>
      <c r="L37" s="21" t="str">
        <f>VLOOKUP(K37,'[7]Exchange Rate'!$A$3:$D$25,3,FALSE)</f>
        <v>4037</v>
      </c>
      <c r="M37" s="20" t="str">
        <f t="shared" si="3"/>
        <v>Friday</v>
      </c>
      <c r="N37" s="26">
        <v>214.48</v>
      </c>
      <c r="O37" s="233">
        <v>358.4</v>
      </c>
      <c r="P37" s="233">
        <v>0</v>
      </c>
      <c r="Q37" s="22">
        <v>50</v>
      </c>
      <c r="R37" s="182">
        <v>150</v>
      </c>
      <c r="S37" s="182">
        <v>378.88</v>
      </c>
      <c r="T37" s="182">
        <f t="shared" si="4"/>
        <v>15</v>
      </c>
      <c r="U37" s="182">
        <v>209.07</v>
      </c>
      <c r="V37" s="24">
        <f t="shared" si="5"/>
        <v>115.07000000000005</v>
      </c>
      <c r="W37" s="17"/>
      <c r="X37" s="9"/>
    </row>
    <row r="38" spans="1:24" s="201" customFormat="1" ht="18" customHeight="1">
      <c r="A38" s="14" t="s">
        <v>207</v>
      </c>
      <c r="B38" s="59">
        <v>1</v>
      </c>
      <c r="C38" s="16" t="str">
        <f>INDEX(PORT!$B$2:$B$20,MATCH('07'!B38,PORT!$A$2:$A$20))</f>
        <v>PNH01</v>
      </c>
      <c r="D38" s="10" t="str">
        <f>INDEX(PORT!$C$2:$C$20,MATCH('07'!B38,PORT!$A$2:$A$20))</f>
        <v>KTI AIR PORT</v>
      </c>
      <c r="E38" s="60" t="s">
        <v>1374</v>
      </c>
      <c r="F38" s="54">
        <v>46220</v>
      </c>
      <c r="G38" s="19" t="s">
        <v>4</v>
      </c>
      <c r="H38" s="49" t="s">
        <v>1391</v>
      </c>
      <c r="I38" s="49" t="s">
        <v>1392</v>
      </c>
      <c r="J38" s="142" t="s">
        <v>1447</v>
      </c>
      <c r="K38" s="20">
        <v>46223</v>
      </c>
      <c r="L38" s="21" t="str">
        <f>VLOOKUP(K38,'[7]Exchange Rate'!$A$3:$D$25,3,FALSE)</f>
        <v>4036</v>
      </c>
      <c r="M38" s="20" t="str">
        <f t="shared" si="3"/>
        <v>Monday</v>
      </c>
      <c r="N38" s="26">
        <v>85.95</v>
      </c>
      <c r="O38" s="233">
        <v>0</v>
      </c>
      <c r="P38" s="233">
        <v>0</v>
      </c>
      <c r="Q38" s="22">
        <v>50</v>
      </c>
      <c r="R38" s="182">
        <v>140</v>
      </c>
      <c r="S38" s="182">
        <v>4.2</v>
      </c>
      <c r="T38" s="182">
        <f t="shared" si="4"/>
        <v>14</v>
      </c>
      <c r="U38" s="182">
        <v>71.75</v>
      </c>
      <c r="V38" s="24">
        <f t="shared" si="5"/>
        <v>80</v>
      </c>
      <c r="W38" s="17"/>
      <c r="X38" s="9"/>
    </row>
    <row r="39" spans="1:24" s="12" customFormat="1" ht="18" customHeight="1">
      <c r="A39" s="14" t="s">
        <v>207</v>
      </c>
      <c r="B39" s="15">
        <v>1</v>
      </c>
      <c r="C39" s="16" t="str">
        <f>INDEX(PORT!$B$2:$B$20,MATCH('07'!B39,PORT!$A$2:$A$20))</f>
        <v>PNH01</v>
      </c>
      <c r="D39" s="10" t="str">
        <f>INDEX(PORT!$C$2:$C$20,MATCH('07'!B39,PORT!$A$2:$A$20))</f>
        <v>KTI AIR PORT</v>
      </c>
      <c r="E39" s="16" t="s">
        <v>1376</v>
      </c>
      <c r="F39" s="18">
        <v>46220</v>
      </c>
      <c r="G39" s="19" t="s">
        <v>351</v>
      </c>
      <c r="H39" s="49" t="s">
        <v>1393</v>
      </c>
      <c r="I39" s="49" t="s">
        <v>1394</v>
      </c>
      <c r="J39" s="142" t="s">
        <v>1401</v>
      </c>
      <c r="K39" s="194">
        <v>46223</v>
      </c>
      <c r="L39" s="21" t="str">
        <f>VLOOKUP(K39,'[7]Exchange Rate'!$A$3:$D$25,3,FALSE)</f>
        <v>4036</v>
      </c>
      <c r="M39" s="20" t="str">
        <f t="shared" si="3"/>
        <v>Monday</v>
      </c>
      <c r="N39" s="26">
        <v>411.48</v>
      </c>
      <c r="O39" s="233">
        <v>0</v>
      </c>
      <c r="P39" s="233">
        <v>0</v>
      </c>
      <c r="Q39" s="22">
        <v>50</v>
      </c>
      <c r="R39" s="182">
        <v>220</v>
      </c>
      <c r="S39" s="182">
        <v>291.48</v>
      </c>
      <c r="T39" s="182">
        <f t="shared" si="4"/>
        <v>22</v>
      </c>
      <c r="U39" s="182">
        <v>180</v>
      </c>
      <c r="V39" s="24">
        <f t="shared" si="5"/>
        <v>230</v>
      </c>
      <c r="W39" s="17"/>
      <c r="X39" s="9"/>
    </row>
    <row r="40" spans="1:24" s="12" customFormat="1" ht="18" customHeight="1">
      <c r="A40" s="14" t="s">
        <v>207</v>
      </c>
      <c r="B40" s="59">
        <v>4</v>
      </c>
      <c r="C40" s="16" t="str">
        <f>INDEX(PORT!$B$2:$B$20,MATCH('07'!B40,PORT!$A$2:$A$20))</f>
        <v>PNH04</v>
      </c>
      <c r="D40" s="10" t="str">
        <f>INDEX(PORT!$C$2:$C$20,MATCH('07'!B40,PORT!$A$2:$A$20))</f>
        <v>PNH PORT</v>
      </c>
      <c r="E40" s="60" t="s">
        <v>1379</v>
      </c>
      <c r="F40" s="54">
        <v>46220</v>
      </c>
      <c r="G40" s="19" t="s">
        <v>10</v>
      </c>
      <c r="H40" s="49" t="s">
        <v>1395</v>
      </c>
      <c r="I40" s="49" t="s">
        <v>1396</v>
      </c>
      <c r="J40" s="142" t="s">
        <v>1404</v>
      </c>
      <c r="K40" s="20">
        <v>46223</v>
      </c>
      <c r="L40" s="21" t="str">
        <f>VLOOKUP(K40,'[7]Exchange Rate'!$A$3:$D$25,3,FALSE)</f>
        <v>4036</v>
      </c>
      <c r="M40" s="20" t="str">
        <f t="shared" si="3"/>
        <v>Monday</v>
      </c>
      <c r="N40" s="26">
        <v>416.25</v>
      </c>
      <c r="O40" s="233">
        <v>0</v>
      </c>
      <c r="P40" s="233">
        <v>0</v>
      </c>
      <c r="Q40" s="22">
        <v>50</v>
      </c>
      <c r="R40" s="182">
        <v>245</v>
      </c>
      <c r="S40" s="182">
        <v>151.25</v>
      </c>
      <c r="T40" s="182">
        <f t="shared" si="4"/>
        <v>24.5</v>
      </c>
      <c r="U40" s="182">
        <v>411.5</v>
      </c>
      <c r="V40" s="24">
        <f t="shared" si="5"/>
        <v>341.5</v>
      </c>
      <c r="W40" s="17"/>
      <c r="X40" s="9"/>
    </row>
    <row r="41" spans="1:24" s="12" customFormat="1" ht="18" customHeight="1">
      <c r="A41" s="14" t="s">
        <v>207</v>
      </c>
      <c r="B41" s="15">
        <v>1</v>
      </c>
      <c r="C41" s="16" t="str">
        <f>INDEX(PORT!$B$2:$B$20,MATCH('07'!B41,PORT!$A$2:$A$20))</f>
        <v>PNH01</v>
      </c>
      <c r="D41" s="10" t="str">
        <f>INDEX(PORT!$C$2:$C$20,MATCH('07'!B41,PORT!$A$2:$A$20))</f>
        <v>KTI AIR PORT</v>
      </c>
      <c r="E41" s="18" t="s">
        <v>1377</v>
      </c>
      <c r="F41" s="18">
        <v>46221</v>
      </c>
      <c r="G41" s="19" t="s">
        <v>351</v>
      </c>
      <c r="H41" s="49" t="s">
        <v>1397</v>
      </c>
      <c r="I41" s="49" t="s">
        <v>1398</v>
      </c>
      <c r="J41" s="142" t="s">
        <v>1402</v>
      </c>
      <c r="K41" s="194">
        <v>46223</v>
      </c>
      <c r="L41" s="21" t="str">
        <f>VLOOKUP(K41,'[7]Exchange Rate'!$A$3:$D$25,3,FALSE)</f>
        <v>4036</v>
      </c>
      <c r="M41" s="20" t="str">
        <f t="shared" si="3"/>
        <v>Monday</v>
      </c>
      <c r="N41" s="26">
        <v>304.64999999999998</v>
      </c>
      <c r="O41" s="233">
        <v>0</v>
      </c>
      <c r="P41" s="233">
        <v>0</v>
      </c>
      <c r="Q41" s="22">
        <v>50</v>
      </c>
      <c r="R41" s="182">
        <v>220</v>
      </c>
      <c r="S41" s="182">
        <v>184.65</v>
      </c>
      <c r="T41" s="182">
        <f t="shared" si="4"/>
        <v>22</v>
      </c>
      <c r="U41" s="182">
        <v>180</v>
      </c>
      <c r="V41" s="24">
        <f t="shared" si="5"/>
        <v>230</v>
      </c>
      <c r="W41" s="17"/>
      <c r="X41" s="9"/>
    </row>
    <row r="42" spans="1:24" s="12" customFormat="1" ht="18" customHeight="1">
      <c r="A42" s="14" t="s">
        <v>207</v>
      </c>
      <c r="B42" s="59">
        <v>1</v>
      </c>
      <c r="C42" s="16" t="str">
        <f>INDEX(PORT!$B$2:$B$20,MATCH('07'!B42,PORT!$A$2:$A$20))</f>
        <v>PNH01</v>
      </c>
      <c r="D42" s="10" t="str">
        <f>INDEX(PORT!$C$2:$C$20,MATCH('07'!B42,PORT!$A$2:$A$20))</f>
        <v>KTI AIR PORT</v>
      </c>
      <c r="E42" s="60" t="s">
        <v>1378</v>
      </c>
      <c r="F42" s="54">
        <v>46221</v>
      </c>
      <c r="G42" s="19" t="s">
        <v>351</v>
      </c>
      <c r="H42" s="49" t="s">
        <v>1418</v>
      </c>
      <c r="I42" s="49" t="s">
        <v>1419</v>
      </c>
      <c r="J42" s="142" t="s">
        <v>1440</v>
      </c>
      <c r="K42" s="20">
        <v>46223</v>
      </c>
      <c r="L42" s="21" t="str">
        <f>VLOOKUP(K42,'[7]Exchange Rate'!$A$3:$D$25,3,FALSE)</f>
        <v>4036</v>
      </c>
      <c r="M42" s="20" t="str">
        <f t="shared" si="3"/>
        <v>Monday</v>
      </c>
      <c r="N42" s="26">
        <v>265.49</v>
      </c>
      <c r="O42" s="233">
        <v>0</v>
      </c>
      <c r="P42" s="233">
        <v>0</v>
      </c>
      <c r="Q42" s="22">
        <v>50</v>
      </c>
      <c r="R42" s="182">
        <v>210</v>
      </c>
      <c r="S42" s="182">
        <v>145.49</v>
      </c>
      <c r="T42" s="182">
        <f t="shared" si="4"/>
        <v>21</v>
      </c>
      <c r="U42" s="182">
        <v>180</v>
      </c>
      <c r="V42" s="24">
        <f t="shared" si="5"/>
        <v>220</v>
      </c>
      <c r="W42" s="17"/>
      <c r="X42" s="293"/>
    </row>
    <row r="43" spans="1:24" s="12" customFormat="1" ht="18" customHeight="1">
      <c r="A43" s="14" t="s">
        <v>207</v>
      </c>
      <c r="B43" s="59">
        <v>1</v>
      </c>
      <c r="C43" s="16" t="str">
        <f>INDEX(PORT!$B$2:$B$20,MATCH('07'!B43,PORT!$A$2:$A$20))</f>
        <v>PNH01</v>
      </c>
      <c r="D43" s="10" t="str">
        <f>INDEX(PORT!$C$2:$C$20,MATCH('07'!B43,PORT!$A$2:$A$20))</f>
        <v>KTI AIR PORT</v>
      </c>
      <c r="E43" s="60" t="s">
        <v>1380</v>
      </c>
      <c r="F43" s="54">
        <v>46223</v>
      </c>
      <c r="G43" s="19" t="s">
        <v>10</v>
      </c>
      <c r="H43" s="49" t="s">
        <v>1420</v>
      </c>
      <c r="I43" s="49" t="s">
        <v>1421</v>
      </c>
      <c r="J43" s="142" t="s">
        <v>1405</v>
      </c>
      <c r="K43" s="20">
        <v>46224</v>
      </c>
      <c r="L43" s="21" t="str">
        <f>VLOOKUP(K43,'[7]Exchange Rate'!$A$3:$D$25,3,FALSE)</f>
        <v>4040</v>
      </c>
      <c r="M43" s="20" t="str">
        <f t="shared" si="3"/>
        <v>Tuesday</v>
      </c>
      <c r="N43" s="26">
        <v>152.62</v>
      </c>
      <c r="O43" s="233">
        <v>71.5</v>
      </c>
      <c r="P43" s="233">
        <v>0</v>
      </c>
      <c r="Q43" s="22">
        <v>50</v>
      </c>
      <c r="R43" s="182">
        <v>150</v>
      </c>
      <c r="S43" s="182">
        <v>94.12</v>
      </c>
      <c r="T43" s="182">
        <f t="shared" si="4"/>
        <v>15</v>
      </c>
      <c r="U43" s="182">
        <v>130.75</v>
      </c>
      <c r="V43" s="24">
        <f t="shared" si="5"/>
        <v>100.75</v>
      </c>
      <c r="W43" s="17"/>
      <c r="X43" s="294"/>
    </row>
    <row r="44" spans="1:24" s="12" customFormat="1" ht="18" customHeight="1">
      <c r="A44" s="14" t="s">
        <v>207</v>
      </c>
      <c r="B44" s="59">
        <v>1</v>
      </c>
      <c r="C44" s="16" t="str">
        <f>INDEX(PORT!$B$2:$B$20,MATCH('07'!B44,PORT!$A$2:$A$20))</f>
        <v>PNH01</v>
      </c>
      <c r="D44" s="10" t="str">
        <f>INDEX(PORT!$C$2:$C$20,MATCH('07'!B44,PORT!$A$2:$A$20))</f>
        <v>KTI AIR PORT</v>
      </c>
      <c r="E44" s="60" t="s">
        <v>1381</v>
      </c>
      <c r="F44" s="54">
        <v>46223</v>
      </c>
      <c r="G44" s="19" t="s">
        <v>10</v>
      </c>
      <c r="H44" s="49" t="s">
        <v>1422</v>
      </c>
      <c r="I44" s="49" t="s">
        <v>1423</v>
      </c>
      <c r="J44" s="142" t="s">
        <v>1452</v>
      </c>
      <c r="K44" s="20">
        <v>46224</v>
      </c>
      <c r="L44" s="21" t="str">
        <f>VLOOKUP(K44,'[7]Exchange Rate'!$A$3:$D$25,3,FALSE)</f>
        <v>4040</v>
      </c>
      <c r="M44" s="20" t="str">
        <f t="shared" si="3"/>
        <v>Tuesday</v>
      </c>
      <c r="N44" s="26">
        <v>156.94</v>
      </c>
      <c r="O44" s="233">
        <v>60.5</v>
      </c>
      <c r="P44" s="233">
        <v>0</v>
      </c>
      <c r="Q44" s="22">
        <v>50</v>
      </c>
      <c r="R44" s="182">
        <v>150</v>
      </c>
      <c r="S44" s="182">
        <v>87.44</v>
      </c>
      <c r="T44" s="182">
        <f t="shared" si="4"/>
        <v>15</v>
      </c>
      <c r="U44" s="182">
        <v>130.75</v>
      </c>
      <c r="V44" s="24">
        <f t="shared" si="5"/>
        <v>100.75</v>
      </c>
      <c r="W44" s="17"/>
      <c r="X44" s="294"/>
    </row>
    <row r="45" spans="1:24" s="12" customFormat="1" ht="18" customHeight="1">
      <c r="A45" s="14" t="s">
        <v>207</v>
      </c>
      <c r="B45" s="59">
        <v>11</v>
      </c>
      <c r="C45" s="16" t="str">
        <f>INDEX(PORT!$B$2:$B$20,MATCH('07'!B45,PORT!$A$2:$A$20))</f>
        <v>SHV11</v>
      </c>
      <c r="D45" s="10" t="str">
        <f>INDEX(PORT!$C$2:$C$20,MATCH('07'!B45,PORT!$A$2:$A$20))</f>
        <v>SHV PORT</v>
      </c>
      <c r="E45" s="60" t="s">
        <v>1457</v>
      </c>
      <c r="F45" s="54">
        <v>46223</v>
      </c>
      <c r="G45" s="19" t="s">
        <v>41</v>
      </c>
      <c r="H45" s="49" t="s">
        <v>1424</v>
      </c>
      <c r="I45" s="49" t="s">
        <v>1425</v>
      </c>
      <c r="J45" s="142" t="s">
        <v>1465</v>
      </c>
      <c r="K45" s="20">
        <v>46224</v>
      </c>
      <c r="L45" s="21" t="str">
        <f>VLOOKUP(K45,'[7]Exchange Rate'!$A$3:$D$25,3,FALSE)</f>
        <v>4040</v>
      </c>
      <c r="M45" s="20" t="str">
        <f t="shared" si="3"/>
        <v>Tuesday</v>
      </c>
      <c r="N45" s="26">
        <v>715.45</v>
      </c>
      <c r="O45" s="233">
        <v>714</v>
      </c>
      <c r="P45" s="233">
        <v>0</v>
      </c>
      <c r="Q45" s="22">
        <v>0</v>
      </c>
      <c r="R45" s="182">
        <v>200</v>
      </c>
      <c r="S45" s="182">
        <v>828.45</v>
      </c>
      <c r="T45" s="182">
        <f t="shared" si="4"/>
        <v>20</v>
      </c>
      <c r="U45" s="182">
        <v>939</v>
      </c>
      <c r="V45" s="24">
        <f t="shared" si="5"/>
        <v>538</v>
      </c>
      <c r="W45" s="17"/>
      <c r="X45" s="294"/>
    </row>
    <row r="46" spans="1:24" s="12" customFormat="1" ht="18" customHeight="1">
      <c r="A46" s="14" t="s">
        <v>207</v>
      </c>
      <c r="B46" s="59">
        <v>11</v>
      </c>
      <c r="C46" s="16" t="str">
        <f>INDEX(PORT!$B$2:$B$20,MATCH('07'!B46,PORT!$A$2:$A$20))</f>
        <v>SHV11</v>
      </c>
      <c r="D46" s="10" t="str">
        <f>INDEX(PORT!$C$2:$C$20,MATCH('07'!B46,PORT!$A$2:$A$20))</f>
        <v>SHV PORT</v>
      </c>
      <c r="E46" s="60" t="s">
        <v>1458</v>
      </c>
      <c r="F46" s="144">
        <v>46223</v>
      </c>
      <c r="G46" s="19" t="s">
        <v>41</v>
      </c>
      <c r="H46" s="49" t="s">
        <v>1426</v>
      </c>
      <c r="I46" s="49" t="s">
        <v>1427</v>
      </c>
      <c r="J46" s="167" t="s">
        <v>1466</v>
      </c>
      <c r="K46" s="20">
        <v>46224</v>
      </c>
      <c r="L46" s="21" t="str">
        <f>VLOOKUP(K46,'[7]Exchange Rate'!$A$3:$D$25,3,FALSE)</f>
        <v>4040</v>
      </c>
      <c r="M46" s="20" t="str">
        <f t="shared" si="3"/>
        <v>Tuesday</v>
      </c>
      <c r="N46" s="26">
        <v>755.45</v>
      </c>
      <c r="O46" s="233">
        <v>714</v>
      </c>
      <c r="P46" s="233">
        <v>0</v>
      </c>
      <c r="Q46" s="22">
        <v>0</v>
      </c>
      <c r="R46" s="182">
        <v>200</v>
      </c>
      <c r="S46" s="182">
        <v>828.45</v>
      </c>
      <c r="T46" s="182">
        <f t="shared" si="4"/>
        <v>20</v>
      </c>
      <c r="U46" s="182">
        <v>899</v>
      </c>
      <c r="V46" s="24">
        <f t="shared" si="5"/>
        <v>458</v>
      </c>
      <c r="W46" s="17"/>
      <c r="X46" s="294"/>
    </row>
    <row r="47" spans="1:24" s="12" customFormat="1" ht="18" customHeight="1">
      <c r="A47" s="14" t="s">
        <v>207</v>
      </c>
      <c r="B47" s="59">
        <v>21</v>
      </c>
      <c r="C47" s="16" t="str">
        <f>INDEX(PORT!$B$2:$B$20,MATCH('07'!B47,PORT!$A$2:$A$20))</f>
        <v>PNH21</v>
      </c>
      <c r="D47" s="10" t="str">
        <f>INDEX(PORT!$C$2:$C$20,MATCH('07'!B47,PORT!$A$2:$A$20))</f>
        <v>OLAIR DRY PORT</v>
      </c>
      <c r="E47" s="60" t="s">
        <v>1453</v>
      </c>
      <c r="F47" s="54">
        <v>46224</v>
      </c>
      <c r="G47" s="19" t="s">
        <v>10</v>
      </c>
      <c r="H47" s="49" t="s">
        <v>1428</v>
      </c>
      <c r="I47" s="49" t="s">
        <v>1429</v>
      </c>
      <c r="J47" s="167" t="s">
        <v>1456</v>
      </c>
      <c r="K47" s="20">
        <v>46225</v>
      </c>
      <c r="L47" s="21" t="str">
        <f>VLOOKUP(K47,'[7]Exchange Rate'!$A$3:$D$25,3,FALSE)</f>
        <v>4040</v>
      </c>
      <c r="M47" s="20" t="str">
        <f t="shared" si="3"/>
        <v>Wednesday</v>
      </c>
      <c r="N47" s="26">
        <v>110</v>
      </c>
      <c r="O47" s="233">
        <v>209</v>
      </c>
      <c r="P47" s="233">
        <v>0</v>
      </c>
      <c r="Q47" s="22">
        <v>50</v>
      </c>
      <c r="R47" s="182">
        <v>150</v>
      </c>
      <c r="S47" s="182">
        <v>234</v>
      </c>
      <c r="T47" s="182">
        <f t="shared" si="4"/>
        <v>15</v>
      </c>
      <c r="U47" s="182">
        <v>109.5</v>
      </c>
      <c r="V47" s="24">
        <f t="shared" si="5"/>
        <v>124.5</v>
      </c>
      <c r="W47" s="17"/>
      <c r="X47" s="294"/>
    </row>
    <row r="48" spans="1:24" s="201" customFormat="1" ht="18" customHeight="1">
      <c r="A48" s="14" t="s">
        <v>207</v>
      </c>
      <c r="B48" s="143">
        <v>21</v>
      </c>
      <c r="C48" s="16" t="str">
        <f>INDEX(PORT!$B$2:$B$20,MATCH('07'!B48,PORT!$A$2:$A$20))</f>
        <v>PNH21</v>
      </c>
      <c r="D48" s="10" t="str">
        <f>INDEX(PORT!$C$2:$C$20,MATCH('07'!B48,PORT!$A$2:$A$20))</f>
        <v>OLAIR DRY PORT</v>
      </c>
      <c r="E48" s="60" t="s">
        <v>1538</v>
      </c>
      <c r="F48" s="144">
        <v>46224</v>
      </c>
      <c r="G48" s="19" t="s">
        <v>4</v>
      </c>
      <c r="H48" s="49" t="s">
        <v>1430</v>
      </c>
      <c r="I48" s="49" t="s">
        <v>1431</v>
      </c>
      <c r="J48" s="167" t="s">
        <v>1448</v>
      </c>
      <c r="K48" s="194">
        <v>46225</v>
      </c>
      <c r="L48" s="21" t="str">
        <f>VLOOKUP(K48,'[7]Exchange Rate'!$A$3:$D$25,3,FALSE)</f>
        <v>4040</v>
      </c>
      <c r="M48" s="20" t="str">
        <f t="shared" si="3"/>
        <v>Wednesday</v>
      </c>
      <c r="N48" s="26">
        <v>174.58</v>
      </c>
      <c r="O48" s="233">
        <v>433.4</v>
      </c>
      <c r="P48" s="233">
        <v>0</v>
      </c>
      <c r="Q48" s="22">
        <v>50</v>
      </c>
      <c r="R48" s="182">
        <v>150</v>
      </c>
      <c r="S48" s="182">
        <v>492.98</v>
      </c>
      <c r="T48" s="182">
        <f t="shared" si="4"/>
        <v>15</v>
      </c>
      <c r="U48" s="182">
        <v>197</v>
      </c>
      <c r="V48" s="24">
        <f t="shared" si="5"/>
        <v>182</v>
      </c>
      <c r="W48" s="17"/>
      <c r="X48" s="294"/>
    </row>
    <row r="49" spans="1:23" s="201" customFormat="1" ht="18" customHeight="1">
      <c r="A49" s="14" t="s">
        <v>207</v>
      </c>
      <c r="B49" s="15">
        <v>1</v>
      </c>
      <c r="C49" s="16" t="str">
        <f>INDEX(PORT!$B$2:$B$20,MATCH('07'!B49,PORT!$A$2:$A$20))</f>
        <v>PNH01</v>
      </c>
      <c r="D49" s="10" t="str">
        <f>INDEX(PORT!$C$2:$C$20,MATCH('07'!B49,PORT!$A$2:$A$20))</f>
        <v>KTI AIR PORT</v>
      </c>
      <c r="E49" s="216" t="s">
        <v>1412</v>
      </c>
      <c r="F49" s="18">
        <v>46225</v>
      </c>
      <c r="G49" s="19" t="s">
        <v>351</v>
      </c>
      <c r="H49" s="49" t="s">
        <v>1432</v>
      </c>
      <c r="I49" s="49" t="s">
        <v>1433</v>
      </c>
      <c r="J49" s="167" t="s">
        <v>1560</v>
      </c>
      <c r="K49" s="194">
        <v>46226</v>
      </c>
      <c r="L49" s="21" t="str">
        <f>VLOOKUP(K49,'[7]Exchange Rate'!$A$3:$D$25,3,FALSE)</f>
        <v>4041</v>
      </c>
      <c r="M49" s="20" t="str">
        <f t="shared" si="3"/>
        <v>Thursday</v>
      </c>
      <c r="N49" s="26">
        <v>227.65</v>
      </c>
      <c r="O49" s="233">
        <v>0</v>
      </c>
      <c r="P49" s="233">
        <v>0</v>
      </c>
      <c r="Q49" s="22">
        <v>50</v>
      </c>
      <c r="R49" s="182">
        <v>210</v>
      </c>
      <c r="S49" s="182">
        <v>107.65</v>
      </c>
      <c r="T49" s="182">
        <f t="shared" si="4"/>
        <v>21</v>
      </c>
      <c r="U49" s="182">
        <v>180</v>
      </c>
      <c r="V49" s="24">
        <f t="shared" si="5"/>
        <v>220</v>
      </c>
      <c r="W49" s="17"/>
    </row>
    <row r="50" spans="1:23" s="201" customFormat="1" ht="18" customHeight="1">
      <c r="A50" s="14" t="s">
        <v>207</v>
      </c>
      <c r="B50" s="59">
        <v>23</v>
      </c>
      <c r="C50" s="16" t="str">
        <f>INDEX(PORT!$B$2:$B$20,MATCH('07'!B50,PORT!$A$2:$A$20))</f>
        <v>PNH23</v>
      </c>
      <c r="D50" s="10" t="str">
        <f>INDEX(PORT!$C$2:$C$20,MATCH('07'!B50,PORT!$A$2:$A$20))</f>
        <v>UNION DRY PORT</v>
      </c>
      <c r="E50" s="60" t="s">
        <v>1416</v>
      </c>
      <c r="F50" s="54">
        <v>46226</v>
      </c>
      <c r="G50" s="19" t="s">
        <v>351</v>
      </c>
      <c r="H50" s="49" t="s">
        <v>1434</v>
      </c>
      <c r="I50" s="49" t="s">
        <v>1435</v>
      </c>
      <c r="J50" s="167" t="s">
        <v>1561</v>
      </c>
      <c r="K50" s="20">
        <v>46227</v>
      </c>
      <c r="L50" s="21" t="str">
        <f>VLOOKUP(K50,'[7]Exchange Rate'!$A$3:$D$25,3,FALSE)</f>
        <v>4041</v>
      </c>
      <c r="M50" s="20" t="str">
        <f t="shared" si="3"/>
        <v>Friday</v>
      </c>
      <c r="N50" s="26">
        <v>336.39</v>
      </c>
      <c r="O50" s="233">
        <v>840</v>
      </c>
      <c r="P50" s="233">
        <v>0</v>
      </c>
      <c r="Q50" s="22">
        <v>50</v>
      </c>
      <c r="R50" s="182">
        <v>150</v>
      </c>
      <c r="S50" s="182">
        <v>1006.39</v>
      </c>
      <c r="T50" s="182">
        <f t="shared" si="4"/>
        <v>15</v>
      </c>
      <c r="U50" s="182">
        <v>227</v>
      </c>
      <c r="V50" s="24">
        <f t="shared" si="5"/>
        <v>157</v>
      </c>
      <c r="W50" s="17"/>
    </row>
    <row r="51" spans="1:23" s="50" customFormat="1" ht="18" customHeight="1">
      <c r="A51" s="14" t="s">
        <v>207</v>
      </c>
      <c r="B51" s="143">
        <v>11</v>
      </c>
      <c r="C51" s="16" t="str">
        <f>INDEX(PORT!$B$2:$B$20,MATCH('07'!B51,PORT!$A$2:$A$20))</f>
        <v>SHV11</v>
      </c>
      <c r="D51" s="10" t="str">
        <f>INDEX(PORT!$C$2:$C$20,MATCH('07'!B51,PORT!$A$2:$A$20))</f>
        <v>SHV PORT</v>
      </c>
      <c r="E51" s="60" t="s">
        <v>1459</v>
      </c>
      <c r="F51" s="144">
        <v>46226</v>
      </c>
      <c r="G51" s="19" t="s">
        <v>41</v>
      </c>
      <c r="H51" s="49" t="s">
        <v>1436</v>
      </c>
      <c r="I51" s="49" t="s">
        <v>1437</v>
      </c>
      <c r="J51" s="167" t="s">
        <v>1531</v>
      </c>
      <c r="K51" s="20">
        <v>46227</v>
      </c>
      <c r="L51" s="21" t="str">
        <f>VLOOKUP(K51,'[7]Exchange Rate'!$A$3:$D$25,3,FALSE)</f>
        <v>4041</v>
      </c>
      <c r="M51" s="20" t="str">
        <f t="shared" si="3"/>
        <v>Friday</v>
      </c>
      <c r="N51" s="26">
        <v>697.95</v>
      </c>
      <c r="O51" s="233">
        <v>691.5</v>
      </c>
      <c r="P51" s="233">
        <v>0</v>
      </c>
      <c r="Q51" s="22">
        <v>0</v>
      </c>
      <c r="R51" s="182">
        <v>200</v>
      </c>
      <c r="S51" s="182">
        <v>805.95</v>
      </c>
      <c r="T51" s="182">
        <f t="shared" si="4"/>
        <v>20</v>
      </c>
      <c r="U51" s="182">
        <v>871.5</v>
      </c>
      <c r="V51" s="24">
        <f t="shared" si="5"/>
        <v>488</v>
      </c>
      <c r="W51" s="17"/>
    </row>
    <row r="52" spans="1:23" s="201" customFormat="1" ht="18" customHeight="1">
      <c r="A52" s="14" t="s">
        <v>207</v>
      </c>
      <c r="B52" s="59">
        <v>1</v>
      </c>
      <c r="C52" s="16" t="str">
        <f>INDEX(PORT!$B$2:$B$20,MATCH('07'!B52,PORT!$A$2:$A$20))</f>
        <v>PNH01</v>
      </c>
      <c r="D52" s="10" t="str">
        <f>INDEX(PORT!$C$2:$C$20,MATCH('07'!B52,PORT!$A$2:$A$20))</f>
        <v>KTI AIR PORT</v>
      </c>
      <c r="E52" s="296" t="s">
        <v>1408</v>
      </c>
      <c r="F52" s="54">
        <v>46227</v>
      </c>
      <c r="G52" s="19" t="s">
        <v>4</v>
      </c>
      <c r="H52" s="49" t="s">
        <v>1438</v>
      </c>
      <c r="I52" s="49" t="s">
        <v>1439</v>
      </c>
      <c r="J52" s="167" t="s">
        <v>1449</v>
      </c>
      <c r="K52" s="20">
        <v>46230</v>
      </c>
      <c r="L52" s="21" t="str">
        <f>VLOOKUP(K52,'[7]Exchange Rate'!$A$3:$D$25,3,FALSE)</f>
        <v>4041</v>
      </c>
      <c r="M52" s="20" t="str">
        <f t="shared" si="3"/>
        <v>Monday</v>
      </c>
      <c r="N52" s="26">
        <v>101.09</v>
      </c>
      <c r="O52" s="233">
        <v>0</v>
      </c>
      <c r="P52" s="233">
        <v>0</v>
      </c>
      <c r="Q52" s="22">
        <v>50</v>
      </c>
      <c r="R52" s="182">
        <v>140</v>
      </c>
      <c r="S52" s="182">
        <v>16.13</v>
      </c>
      <c r="T52" s="182">
        <f t="shared" si="4"/>
        <v>14</v>
      </c>
      <c r="U52" s="182">
        <v>60</v>
      </c>
      <c r="V52" s="24">
        <f t="shared" si="5"/>
        <v>65.039999999999992</v>
      </c>
      <c r="W52" s="17"/>
    </row>
    <row r="53" spans="1:23" s="50" customFormat="1" ht="18" customHeight="1">
      <c r="A53" s="14" t="s">
        <v>207</v>
      </c>
      <c r="B53" s="15">
        <v>1</v>
      </c>
      <c r="C53" s="16" t="str">
        <f>INDEX(PORT!$B$2:$B$20,MATCH('07'!B53,PORT!$A$2:$A$20))</f>
        <v>PNH01</v>
      </c>
      <c r="D53" s="10" t="str">
        <f>INDEX(PORT!$C$2:$C$20,MATCH('07'!B53,PORT!$A$2:$A$20))</f>
        <v>KTI AIR PORT</v>
      </c>
      <c r="E53" s="216" t="s">
        <v>1413</v>
      </c>
      <c r="F53" s="18">
        <v>46227</v>
      </c>
      <c r="G53" s="19" t="s">
        <v>351</v>
      </c>
      <c r="H53" s="49" t="s">
        <v>1445</v>
      </c>
      <c r="I53" s="49" t="s">
        <v>1446</v>
      </c>
      <c r="J53" s="167" t="s">
        <v>1441</v>
      </c>
      <c r="K53" s="194">
        <v>46230</v>
      </c>
      <c r="L53" s="21" t="str">
        <f>VLOOKUP(K53,'[7]Exchange Rate'!$A$3:$D$25,3,FALSE)</f>
        <v>4041</v>
      </c>
      <c r="M53" s="20" t="str">
        <f t="shared" si="3"/>
        <v>Monday</v>
      </c>
      <c r="N53" s="26">
        <v>227.11</v>
      </c>
      <c r="O53" s="233">
        <v>0</v>
      </c>
      <c r="P53" s="233">
        <v>0</v>
      </c>
      <c r="Q53" s="22">
        <v>50</v>
      </c>
      <c r="R53" s="182">
        <v>210</v>
      </c>
      <c r="S53" s="182">
        <v>107.21</v>
      </c>
      <c r="T53" s="182">
        <f t="shared" si="4"/>
        <v>21</v>
      </c>
      <c r="U53" s="182">
        <v>180</v>
      </c>
      <c r="V53" s="24">
        <f t="shared" si="5"/>
        <v>220.09999999999997</v>
      </c>
      <c r="W53" s="17"/>
    </row>
    <row r="54" spans="1:23" s="50" customFormat="1" ht="18" customHeight="1">
      <c r="A54" s="14" t="s">
        <v>207</v>
      </c>
      <c r="B54" s="59">
        <v>4</v>
      </c>
      <c r="C54" s="16" t="str">
        <f>INDEX(PORT!$B$2:$B$20,MATCH('07'!B54,PORT!$A$2:$A$20))</f>
        <v>PNH04</v>
      </c>
      <c r="D54" s="10" t="str">
        <f>INDEX(PORT!$C$2:$C$20,MATCH('07'!B54,PORT!$A$2:$A$20))</f>
        <v>PNH PORT</v>
      </c>
      <c r="E54" s="60" t="s">
        <v>1444</v>
      </c>
      <c r="F54" s="54">
        <v>46227</v>
      </c>
      <c r="G54" s="19" t="s">
        <v>4</v>
      </c>
      <c r="H54" s="49" t="s">
        <v>1454</v>
      </c>
      <c r="I54" s="49" t="s">
        <v>1455</v>
      </c>
      <c r="J54" s="167" t="s">
        <v>1450</v>
      </c>
      <c r="K54" s="20">
        <v>46230</v>
      </c>
      <c r="L54" s="21" t="str">
        <f>VLOOKUP(K54,'[7]Exchange Rate'!$A$3:$D$25,3,FALSE)</f>
        <v>4041</v>
      </c>
      <c r="M54" s="20" t="str">
        <f t="shared" si="3"/>
        <v>Monday</v>
      </c>
      <c r="N54" s="26">
        <v>1037.25</v>
      </c>
      <c r="O54" s="233">
        <v>0</v>
      </c>
      <c r="P54" s="233">
        <v>0</v>
      </c>
      <c r="Q54" s="22">
        <v>50</v>
      </c>
      <c r="R54" s="182">
        <v>490</v>
      </c>
      <c r="S54" s="182">
        <v>287.25</v>
      </c>
      <c r="T54" s="182">
        <f t="shared" si="4"/>
        <v>49</v>
      </c>
      <c r="U54" s="182">
        <v>1078</v>
      </c>
      <c r="V54" s="24">
        <f t="shared" si="5"/>
        <v>768</v>
      </c>
      <c r="W54" s="17"/>
    </row>
    <row r="55" spans="1:23" s="201" customFormat="1" ht="18" customHeight="1">
      <c r="A55" s="14" t="s">
        <v>207</v>
      </c>
      <c r="B55" s="15">
        <v>1</v>
      </c>
      <c r="C55" s="16" t="str">
        <f>INDEX(PORT!$B$2:$B$20,MATCH('07'!B55,PORT!$A$2:$A$20))</f>
        <v>PNH01</v>
      </c>
      <c r="D55" s="10" t="str">
        <f>INDEX(PORT!$C$2:$C$20,MATCH('07'!B55,PORT!$A$2:$A$20))</f>
        <v>KTI AIR PORT</v>
      </c>
      <c r="E55" s="216" t="s">
        <v>1409</v>
      </c>
      <c r="F55" s="18">
        <v>46228</v>
      </c>
      <c r="G55" s="19" t="s">
        <v>4</v>
      </c>
      <c r="H55" s="49" t="s">
        <v>1460</v>
      </c>
      <c r="I55" s="49" t="s">
        <v>1461</v>
      </c>
      <c r="J55" s="167" t="s">
        <v>1451</v>
      </c>
      <c r="K55" s="194">
        <v>46230</v>
      </c>
      <c r="L55" s="21" t="str">
        <f>VLOOKUP(K55,'[7]Exchange Rate'!$A$3:$D$25,3,FALSE)</f>
        <v>4041</v>
      </c>
      <c r="M55" s="20" t="str">
        <f t="shared" si="3"/>
        <v>Monday</v>
      </c>
      <c r="N55" s="26">
        <v>99.24</v>
      </c>
      <c r="O55" s="233">
        <v>0</v>
      </c>
      <c r="P55" s="233">
        <v>0</v>
      </c>
      <c r="Q55" s="22">
        <v>50</v>
      </c>
      <c r="R55" s="182">
        <v>140</v>
      </c>
      <c r="S55" s="182">
        <v>29.24</v>
      </c>
      <c r="T55" s="182">
        <f t="shared" si="4"/>
        <v>14</v>
      </c>
      <c r="U55" s="182">
        <v>180</v>
      </c>
      <c r="V55" s="24">
        <f t="shared" si="5"/>
        <v>200</v>
      </c>
      <c r="W55" s="17"/>
    </row>
    <row r="56" spans="1:23" s="50" customFormat="1" ht="18" customHeight="1">
      <c r="A56" s="14" t="s">
        <v>207</v>
      </c>
      <c r="B56" s="15">
        <v>1</v>
      </c>
      <c r="C56" s="16" t="str">
        <f>INDEX(PORT!$B$2:$B$20,MATCH('07'!B56,PORT!$A$2:$A$20))</f>
        <v>PNH01</v>
      </c>
      <c r="D56" s="10" t="str">
        <f>INDEX(PORT!$C$2:$C$20,MATCH('07'!B56,PORT!$A$2:$A$20))</f>
        <v>KTI AIR PORT</v>
      </c>
      <c r="E56" s="216" t="s">
        <v>1410</v>
      </c>
      <c r="F56" s="18">
        <v>46228</v>
      </c>
      <c r="G56" s="19" t="s">
        <v>4</v>
      </c>
      <c r="H56" s="49" t="s">
        <v>1462</v>
      </c>
      <c r="I56" s="49" t="s">
        <v>1463</v>
      </c>
      <c r="J56" s="167" t="s">
        <v>1513</v>
      </c>
      <c r="K56" s="194">
        <v>46230</v>
      </c>
      <c r="L56" s="21" t="str">
        <f>VLOOKUP(K56,'[7]Exchange Rate'!$A$3:$D$25,3,FALSE)</f>
        <v>4041</v>
      </c>
      <c r="M56" s="20" t="str">
        <f t="shared" si="3"/>
        <v>Monday</v>
      </c>
      <c r="N56" s="26">
        <v>96.77</v>
      </c>
      <c r="O56" s="233">
        <v>0</v>
      </c>
      <c r="P56" s="233">
        <v>0</v>
      </c>
      <c r="Q56" s="22">
        <v>50</v>
      </c>
      <c r="R56" s="182">
        <v>140</v>
      </c>
      <c r="S56" s="182">
        <v>26.77</v>
      </c>
      <c r="T56" s="182">
        <f t="shared" si="4"/>
        <v>14</v>
      </c>
      <c r="U56" s="182">
        <v>180</v>
      </c>
      <c r="V56" s="24">
        <f t="shared" si="5"/>
        <v>200</v>
      </c>
      <c r="W56" s="17"/>
    </row>
    <row r="57" spans="1:23" s="50" customFormat="1" ht="18" customHeight="1">
      <c r="A57" s="14" t="s">
        <v>207</v>
      </c>
      <c r="B57" s="59">
        <v>1</v>
      </c>
      <c r="C57" s="16" t="str">
        <f>INDEX(PORT!$B$2:$B$20,MATCH('07'!B57,PORT!$A$2:$A$20))</f>
        <v>PNH01</v>
      </c>
      <c r="D57" s="10" t="str">
        <f>INDEX(PORT!$C$2:$C$20,MATCH('07'!B57,PORT!$A$2:$A$20))</f>
        <v>KTI AIR PORT</v>
      </c>
      <c r="E57" s="60" t="s">
        <v>1414</v>
      </c>
      <c r="F57" s="54">
        <v>46228</v>
      </c>
      <c r="G57" s="19" t="s">
        <v>351</v>
      </c>
      <c r="H57" s="49" t="s">
        <v>1468</v>
      </c>
      <c r="I57" s="49" t="s">
        <v>1464</v>
      </c>
      <c r="J57" s="167" t="s">
        <v>1442</v>
      </c>
      <c r="K57" s="20">
        <v>46230</v>
      </c>
      <c r="L57" s="21" t="str">
        <f>VLOOKUP(K57,'[7]Exchange Rate'!$A$3:$D$25,3,FALSE)</f>
        <v>4041</v>
      </c>
      <c r="M57" s="20" t="str">
        <f t="shared" si="3"/>
        <v>Monday</v>
      </c>
      <c r="N57" s="26">
        <v>264.25</v>
      </c>
      <c r="O57" s="233">
        <v>0</v>
      </c>
      <c r="P57" s="233">
        <v>0</v>
      </c>
      <c r="Q57" s="22">
        <v>50</v>
      </c>
      <c r="R57" s="182">
        <v>210</v>
      </c>
      <c r="S57" s="182">
        <v>144.25</v>
      </c>
      <c r="T57" s="182">
        <f t="shared" si="4"/>
        <v>21</v>
      </c>
      <c r="U57" s="182">
        <v>180</v>
      </c>
      <c r="V57" s="24">
        <f t="shared" si="5"/>
        <v>220</v>
      </c>
      <c r="W57" s="17"/>
    </row>
    <row r="58" spans="1:23" s="201" customFormat="1" ht="18" customHeight="1">
      <c r="A58" s="14" t="s">
        <v>207</v>
      </c>
      <c r="B58" s="59">
        <v>11</v>
      </c>
      <c r="C58" s="16" t="str">
        <f>INDEX(PORT!$B$2:$B$20,MATCH('07'!B58,PORT!$A$2:$A$20))</f>
        <v>SHV11</v>
      </c>
      <c r="D58" s="10" t="str">
        <f>INDEX(PORT!$C$2:$C$20,MATCH('07'!B58,PORT!$A$2:$A$20))</f>
        <v>SHV PORT</v>
      </c>
      <c r="E58" s="60" t="s">
        <v>1415</v>
      </c>
      <c r="F58" s="54">
        <v>46228</v>
      </c>
      <c r="G58" s="19" t="s">
        <v>351</v>
      </c>
      <c r="H58" s="49" t="s">
        <v>1492</v>
      </c>
      <c r="I58" s="49" t="s">
        <v>1475</v>
      </c>
      <c r="J58" s="167" t="s">
        <v>1443</v>
      </c>
      <c r="K58" s="20">
        <v>46230</v>
      </c>
      <c r="L58" s="21" t="str">
        <f>VLOOKUP(K58,'[7]Exchange Rate'!$A$3:$D$25,3,FALSE)</f>
        <v>4041</v>
      </c>
      <c r="M58" s="20" t="str">
        <f t="shared" si="3"/>
        <v>Monday</v>
      </c>
      <c r="N58" s="26">
        <v>767.38</v>
      </c>
      <c r="O58" s="233">
        <v>0</v>
      </c>
      <c r="P58" s="233">
        <v>0</v>
      </c>
      <c r="Q58" s="22">
        <v>50</v>
      </c>
      <c r="R58" s="182">
        <v>245</v>
      </c>
      <c r="S58" s="182">
        <v>72.38</v>
      </c>
      <c r="T58" s="182">
        <f t="shared" si="4"/>
        <v>24.5</v>
      </c>
      <c r="U58" s="182">
        <v>1052</v>
      </c>
      <c r="V58" s="24">
        <f t="shared" si="5"/>
        <v>552.00000000000011</v>
      </c>
      <c r="W58" s="17"/>
    </row>
    <row r="59" spans="1:23" s="201" customFormat="1" ht="18" customHeight="1">
      <c r="A59" s="14" t="s">
        <v>207</v>
      </c>
      <c r="B59" s="15">
        <v>19</v>
      </c>
      <c r="C59" s="16" t="str">
        <f>INDEX(PORT!$B$2:$B$20,MATCH('07'!B59,PORT!$A$2:$A$20))</f>
        <v>PNH19</v>
      </c>
      <c r="D59" s="10" t="str">
        <f>INDEX(PORT!$C$2:$C$20,MATCH('07'!B59,PORT!$A$2:$A$20))</f>
        <v>TEC SRUN DRYPORT</v>
      </c>
      <c r="E59" s="60" t="s">
        <v>1487</v>
      </c>
      <c r="F59" s="18">
        <v>46230</v>
      </c>
      <c r="G59" s="19" t="s">
        <v>4</v>
      </c>
      <c r="H59" s="49" t="s">
        <v>1493</v>
      </c>
      <c r="I59" s="49" t="s">
        <v>1476</v>
      </c>
      <c r="J59" s="167" t="s">
        <v>1514</v>
      </c>
      <c r="K59" s="194">
        <v>46231</v>
      </c>
      <c r="L59" s="21" t="str">
        <f>VLOOKUP(K59,'[7]Exchange Rate'!$A$3:$D$25,3,FALSE)</f>
        <v>4042</v>
      </c>
      <c r="M59" s="20" t="str">
        <f t="shared" si="3"/>
        <v>Tuesday</v>
      </c>
      <c r="N59" s="26">
        <v>154.74</v>
      </c>
      <c r="O59" s="233">
        <v>401.06</v>
      </c>
      <c r="P59" s="233">
        <v>0</v>
      </c>
      <c r="Q59" s="22">
        <v>50</v>
      </c>
      <c r="R59" s="182">
        <v>150</v>
      </c>
      <c r="S59" s="182">
        <v>440.8</v>
      </c>
      <c r="T59" s="182">
        <f t="shared" si="4"/>
        <v>15</v>
      </c>
      <c r="U59" s="182">
        <v>159</v>
      </c>
      <c r="V59" s="24">
        <f t="shared" si="5"/>
        <v>144</v>
      </c>
      <c r="W59" s="17"/>
    </row>
    <row r="60" spans="1:23" s="201" customFormat="1" ht="18" customHeight="1">
      <c r="A60" s="14" t="s">
        <v>207</v>
      </c>
      <c r="B60" s="143">
        <v>19</v>
      </c>
      <c r="C60" s="16" t="str">
        <f>INDEX(PORT!$B$2:$B$20,MATCH('07'!B60,PORT!$A$2:$A$20))</f>
        <v>PNH19</v>
      </c>
      <c r="D60" s="10" t="str">
        <f>INDEX(PORT!$C$2:$C$20,MATCH('07'!B60,PORT!$A$2:$A$20))</f>
        <v>TEC SRUN DRYPORT</v>
      </c>
      <c r="E60" s="60" t="s">
        <v>1490</v>
      </c>
      <c r="F60" s="144">
        <v>46230</v>
      </c>
      <c r="G60" s="19" t="s">
        <v>10</v>
      </c>
      <c r="H60" s="49" t="s">
        <v>1494</v>
      </c>
      <c r="I60" s="49" t="s">
        <v>1477</v>
      </c>
      <c r="J60" s="167" t="s">
        <v>1521</v>
      </c>
      <c r="K60" s="194">
        <v>46231</v>
      </c>
      <c r="L60" s="21" t="str">
        <f>VLOOKUP(K60,'[7]Exchange Rate'!$A$3:$D$25,3,FALSE)</f>
        <v>4042</v>
      </c>
      <c r="M60" s="20" t="str">
        <f t="shared" si="3"/>
        <v>Tuesday</v>
      </c>
      <c r="N60" s="26">
        <v>122.85</v>
      </c>
      <c r="O60" s="233">
        <v>381.67</v>
      </c>
      <c r="P60" s="233">
        <v>0</v>
      </c>
      <c r="Q60" s="22">
        <v>50</v>
      </c>
      <c r="R60" s="182">
        <v>150</v>
      </c>
      <c r="S60" s="182">
        <v>419.52</v>
      </c>
      <c r="T60" s="182">
        <f t="shared" si="4"/>
        <v>15</v>
      </c>
      <c r="U60" s="182">
        <v>109.5</v>
      </c>
      <c r="V60" s="24">
        <f t="shared" si="5"/>
        <v>124.5</v>
      </c>
      <c r="W60" s="17"/>
    </row>
    <row r="61" spans="1:23" s="201" customFormat="1" ht="18" customHeight="1">
      <c r="A61" s="14" t="s">
        <v>207</v>
      </c>
      <c r="B61" s="15">
        <v>1</v>
      </c>
      <c r="C61" s="16" t="str">
        <f>INDEX(PORT!$B$2:$B$20,MATCH('07'!B61,PORT!$A$2:$A$20))</f>
        <v>PNH01</v>
      </c>
      <c r="D61" s="10" t="str">
        <f>INDEX(PORT!$C$2:$C$20,MATCH('07'!B61,PORT!$A$2:$A$20))</f>
        <v>KTI AIR PORT</v>
      </c>
      <c r="E61" s="60" t="s">
        <v>1491</v>
      </c>
      <c r="F61" s="18">
        <v>46231</v>
      </c>
      <c r="G61" s="19" t="s">
        <v>10</v>
      </c>
      <c r="H61" s="49" t="s">
        <v>1495</v>
      </c>
      <c r="I61" s="49" t="s">
        <v>1496</v>
      </c>
      <c r="J61" s="167" t="s">
        <v>1522</v>
      </c>
      <c r="K61" s="194">
        <v>46232</v>
      </c>
      <c r="L61" s="21">
        <f>VLOOKUP(K61,'[7]Exchange Rate'!$A$3:$D$25,3,FALSE)</f>
        <v>4042</v>
      </c>
      <c r="M61" s="20" t="str">
        <f t="shared" si="3"/>
        <v>Wednesday</v>
      </c>
      <c r="N61" s="26">
        <v>175.4</v>
      </c>
      <c r="O61" s="233">
        <v>60.5</v>
      </c>
      <c r="P61" s="233">
        <v>0</v>
      </c>
      <c r="Q61" s="22">
        <v>50</v>
      </c>
      <c r="R61" s="182">
        <v>150</v>
      </c>
      <c r="S61" s="182">
        <v>100.9</v>
      </c>
      <c r="T61" s="182">
        <f t="shared" si="4"/>
        <v>15</v>
      </c>
      <c r="U61" s="182">
        <v>130.75</v>
      </c>
      <c r="V61" s="24">
        <f t="shared" si="5"/>
        <v>95.75</v>
      </c>
      <c r="W61" s="17"/>
    </row>
    <row r="62" spans="1:23" s="201" customFormat="1" ht="18" customHeight="1">
      <c r="A62" s="14" t="s">
        <v>207</v>
      </c>
      <c r="B62" s="59">
        <v>1</v>
      </c>
      <c r="C62" s="16" t="str">
        <f>INDEX(PORT!$B$2:$B$20,MATCH('07'!B62,PORT!$A$2:$A$20))</f>
        <v>PNH01</v>
      </c>
      <c r="D62" s="10" t="str">
        <f>INDEX(PORT!$C$2:$C$20,MATCH('07'!B62,PORT!$A$2:$A$20))</f>
        <v>KTI AIR PORT</v>
      </c>
      <c r="E62" s="60" t="s">
        <v>1482</v>
      </c>
      <c r="F62" s="20">
        <v>46232</v>
      </c>
      <c r="G62" s="19" t="s">
        <v>4</v>
      </c>
      <c r="H62" s="49" t="s">
        <v>1497</v>
      </c>
      <c r="I62" s="49" t="s">
        <v>1498</v>
      </c>
      <c r="J62" s="167" t="s">
        <v>1515</v>
      </c>
      <c r="K62" s="20">
        <v>46233</v>
      </c>
      <c r="L62" s="21" t="str">
        <f>VLOOKUP(K62,'[7]Exchange Rate'!$A$3:$D$25,3,FALSE)</f>
        <v>4043</v>
      </c>
      <c r="M62" s="20" t="str">
        <f t="shared" si="3"/>
        <v>Thursday</v>
      </c>
      <c r="N62" s="26">
        <v>101.53</v>
      </c>
      <c r="O62" s="233">
        <v>0</v>
      </c>
      <c r="P62" s="233">
        <v>0</v>
      </c>
      <c r="Q62" s="22">
        <v>50</v>
      </c>
      <c r="R62" s="182">
        <v>140</v>
      </c>
      <c r="S62" s="182">
        <v>31.53</v>
      </c>
      <c r="T62" s="182">
        <f t="shared" si="4"/>
        <v>14</v>
      </c>
      <c r="U62" s="182">
        <v>60</v>
      </c>
      <c r="V62" s="24">
        <f t="shared" si="5"/>
        <v>80</v>
      </c>
      <c r="W62" s="17"/>
    </row>
    <row r="63" spans="1:23" s="201" customFormat="1" ht="18" customHeight="1">
      <c r="A63" s="14" t="s">
        <v>207</v>
      </c>
      <c r="B63" s="59">
        <v>11</v>
      </c>
      <c r="C63" s="16" t="str">
        <f>INDEX(PORT!$B$2:$B$20,MATCH('07'!B63,PORT!$A$2:$A$20))</f>
        <v>SHV11</v>
      </c>
      <c r="D63" s="10" t="str">
        <f>INDEX(PORT!$C$2:$C$20,MATCH('07'!B63,PORT!$A$2:$A$20))</f>
        <v>SHV PORT</v>
      </c>
      <c r="E63" s="60" t="s">
        <v>1481</v>
      </c>
      <c r="F63" s="20">
        <v>46234</v>
      </c>
      <c r="G63" s="19" t="s">
        <v>351</v>
      </c>
      <c r="H63" s="49" t="s">
        <v>1499</v>
      </c>
      <c r="I63" s="49" t="s">
        <v>1500</v>
      </c>
      <c r="J63" s="308" t="s">
        <v>1524</v>
      </c>
      <c r="K63" s="20">
        <v>46234</v>
      </c>
      <c r="L63" s="21" t="str">
        <f>VLOOKUP(K63,'[7]Exchange Rate'!$A$3:$D$25,3,FALSE)</f>
        <v>4043</v>
      </c>
      <c r="M63" s="20" t="str">
        <f t="shared" si="3"/>
        <v>Friday</v>
      </c>
      <c r="N63" s="26">
        <v>855.44</v>
      </c>
      <c r="O63" s="233">
        <v>0</v>
      </c>
      <c r="P63" s="233">
        <v>0</v>
      </c>
      <c r="Q63" s="22">
        <v>50</v>
      </c>
      <c r="R63" s="182">
        <v>245</v>
      </c>
      <c r="S63" s="182">
        <v>117.44</v>
      </c>
      <c r="T63" s="182">
        <f t="shared" si="4"/>
        <v>24.5</v>
      </c>
      <c r="U63" s="182">
        <v>1007</v>
      </c>
      <c r="V63" s="24">
        <f t="shared" si="5"/>
        <v>464</v>
      </c>
      <c r="W63" s="17"/>
    </row>
    <row r="64" spans="1:23" s="201" customFormat="1" ht="18" customHeight="1">
      <c r="A64" s="14" t="s">
        <v>207</v>
      </c>
      <c r="B64" s="59">
        <v>1</v>
      </c>
      <c r="C64" s="16" t="str">
        <f>INDEX(PORT!$B$2:$B$20,MATCH('07'!B64,PORT!$A$2:$A$20))</f>
        <v>PNH01</v>
      </c>
      <c r="D64" s="10" t="str">
        <f>INDEX(PORT!$C$2:$C$20,MATCH('07'!B64,PORT!$A$2:$A$20))</f>
        <v>KTI AIR PORT</v>
      </c>
      <c r="E64" s="60" t="s">
        <v>1483</v>
      </c>
      <c r="F64" s="20">
        <v>46234</v>
      </c>
      <c r="G64" s="19" t="s">
        <v>4</v>
      </c>
      <c r="H64" s="49" t="s">
        <v>1501</v>
      </c>
      <c r="I64" s="49" t="s">
        <v>1502</v>
      </c>
      <c r="J64" s="167" t="s">
        <v>1516</v>
      </c>
      <c r="K64" s="20">
        <v>46234</v>
      </c>
      <c r="L64" s="21" t="str">
        <f>VLOOKUP(K64,'[7]Exchange Rate'!$A$3:$D$25,3,FALSE)</f>
        <v>4043</v>
      </c>
      <c r="M64" s="20" t="str">
        <f t="shared" si="3"/>
        <v>Friday</v>
      </c>
      <c r="N64" s="26">
        <v>89.21</v>
      </c>
      <c r="O64" s="233">
        <v>0</v>
      </c>
      <c r="P64" s="233">
        <v>0</v>
      </c>
      <c r="Q64" s="22">
        <v>50</v>
      </c>
      <c r="R64" s="182">
        <v>140</v>
      </c>
      <c r="S64" s="182">
        <v>19.21</v>
      </c>
      <c r="T64" s="182">
        <f t="shared" si="4"/>
        <v>14</v>
      </c>
      <c r="U64" s="182">
        <v>60</v>
      </c>
      <c r="V64" s="24">
        <f t="shared" si="5"/>
        <v>80.000000000000028</v>
      </c>
      <c r="W64" s="17"/>
    </row>
    <row r="65" spans="1:23" s="201" customFormat="1" ht="18" customHeight="1">
      <c r="A65" s="14" t="s">
        <v>207</v>
      </c>
      <c r="B65" s="59">
        <v>1</v>
      </c>
      <c r="C65" s="16" t="str">
        <f>INDEX(PORT!$B$2:$B$20,MATCH('07'!B65,PORT!$A$2:$A$20))</f>
        <v>PNH01</v>
      </c>
      <c r="D65" s="10" t="str">
        <f>INDEX(PORT!$C$2:$C$20,MATCH('07'!B65,PORT!$A$2:$A$20))</f>
        <v>KTI AIR PORT</v>
      </c>
      <c r="E65" s="60" t="s">
        <v>1484</v>
      </c>
      <c r="F65" s="54">
        <v>46234</v>
      </c>
      <c r="G65" s="19" t="s">
        <v>4</v>
      </c>
      <c r="H65" s="49" t="s">
        <v>1503</v>
      </c>
      <c r="I65" s="49" t="s">
        <v>1504</v>
      </c>
      <c r="J65" s="167" t="s">
        <v>1517</v>
      </c>
      <c r="K65" s="20">
        <v>46234</v>
      </c>
      <c r="L65" s="21" t="str">
        <f>VLOOKUP(K65,'[7]Exchange Rate'!$A$3:$D$25,3,FALSE)</f>
        <v>4043</v>
      </c>
      <c r="M65" s="20" t="str">
        <f t="shared" si="3"/>
        <v>Friday</v>
      </c>
      <c r="N65" s="26">
        <v>137.16999999999999</v>
      </c>
      <c r="O65" s="233">
        <v>0</v>
      </c>
      <c r="P65" s="233">
        <v>0</v>
      </c>
      <c r="Q65" s="22">
        <v>50</v>
      </c>
      <c r="R65" s="182">
        <v>175</v>
      </c>
      <c r="S65" s="182">
        <v>67.17</v>
      </c>
      <c r="T65" s="182">
        <f t="shared" si="4"/>
        <v>17.5</v>
      </c>
      <c r="U65" s="182">
        <v>60</v>
      </c>
      <c r="V65" s="24">
        <f t="shared" si="5"/>
        <v>115.00000000000003</v>
      </c>
      <c r="W65" s="17"/>
    </row>
    <row r="66" spans="1:23" s="50" customFormat="1" ht="18" customHeight="1">
      <c r="A66" s="14" t="s">
        <v>207</v>
      </c>
      <c r="B66" s="59">
        <v>1</v>
      </c>
      <c r="C66" s="16" t="str">
        <f>INDEX(PORT!$B$2:$B$20,MATCH('07'!B66,PORT!$A$2:$A$20))</f>
        <v>PNH01</v>
      </c>
      <c r="D66" s="10" t="str">
        <f>INDEX(PORT!$C$2:$C$20,MATCH('07'!B66,PORT!$A$2:$A$20))</f>
        <v>KTI AIR PORT</v>
      </c>
      <c r="E66" s="60" t="s">
        <v>1485</v>
      </c>
      <c r="F66" s="54">
        <v>46234</v>
      </c>
      <c r="G66" s="19" t="s">
        <v>4</v>
      </c>
      <c r="H66" s="49" t="s">
        <v>1505</v>
      </c>
      <c r="I66" s="49" t="s">
        <v>1506</v>
      </c>
      <c r="J66" s="167" t="s">
        <v>1518</v>
      </c>
      <c r="K66" s="20">
        <v>46234</v>
      </c>
      <c r="L66" s="21" t="str">
        <f>VLOOKUP(K66,'[7]Exchange Rate'!$A$3:$D$25,3,FALSE)</f>
        <v>4043</v>
      </c>
      <c r="M66" s="20" t="str">
        <f t="shared" si="3"/>
        <v>Friday</v>
      </c>
      <c r="N66" s="26">
        <v>89.56</v>
      </c>
      <c r="O66" s="233">
        <v>0</v>
      </c>
      <c r="P66" s="233">
        <v>0</v>
      </c>
      <c r="Q66" s="22">
        <v>50</v>
      </c>
      <c r="R66" s="182">
        <v>140</v>
      </c>
      <c r="S66" s="182">
        <v>19.559999999999999</v>
      </c>
      <c r="T66" s="182">
        <f t="shared" si="4"/>
        <v>14</v>
      </c>
      <c r="U66" s="182">
        <v>60</v>
      </c>
      <c r="V66" s="24">
        <f t="shared" si="5"/>
        <v>80</v>
      </c>
      <c r="W66" s="17"/>
    </row>
    <row r="67" spans="1:23" s="50" customFormat="1" ht="18" customHeight="1">
      <c r="A67" s="14" t="s">
        <v>207</v>
      </c>
      <c r="B67" s="59">
        <v>1</v>
      </c>
      <c r="C67" s="16" t="str">
        <f>INDEX(PORT!$B$2:$B$20,MATCH('07'!B67,PORT!$A$2:$A$20))</f>
        <v>PNH01</v>
      </c>
      <c r="D67" s="10" t="str">
        <f>INDEX(PORT!$C$2:$C$20,MATCH('07'!B67,PORT!$A$2:$A$20))</f>
        <v>KTI AIR PORT</v>
      </c>
      <c r="E67" s="60" t="s">
        <v>1486</v>
      </c>
      <c r="F67" s="54">
        <v>46234</v>
      </c>
      <c r="G67" s="19" t="s">
        <v>4</v>
      </c>
      <c r="H67" s="49" t="s">
        <v>1507</v>
      </c>
      <c r="I67" s="49" t="s">
        <v>1508</v>
      </c>
      <c r="J67" s="167" t="s">
        <v>1520</v>
      </c>
      <c r="K67" s="20">
        <v>46234</v>
      </c>
      <c r="L67" s="21" t="str">
        <f>VLOOKUP(K67,'[7]Exchange Rate'!$A$3:$D$25,3,FALSE)</f>
        <v>4043</v>
      </c>
      <c r="M67" s="20" t="str">
        <f t="shared" si="3"/>
        <v>Friday</v>
      </c>
      <c r="N67" s="26">
        <v>108.92</v>
      </c>
      <c r="O67" s="233">
        <v>0</v>
      </c>
      <c r="P67" s="233">
        <v>0</v>
      </c>
      <c r="Q67" s="22">
        <v>50</v>
      </c>
      <c r="R67" s="182">
        <v>150</v>
      </c>
      <c r="S67" s="182">
        <v>38.92</v>
      </c>
      <c r="T67" s="182">
        <f t="shared" si="4"/>
        <v>15</v>
      </c>
      <c r="U67" s="182">
        <v>60</v>
      </c>
      <c r="V67" s="24">
        <f t="shared" ref="V67:V72" si="6">(R67+S67+U67)-(N67+O67+Q67+P67)</f>
        <v>90</v>
      </c>
      <c r="W67" s="17"/>
    </row>
    <row r="68" spans="1:23" s="50" customFormat="1" ht="18" customHeight="1">
      <c r="A68" s="14" t="s">
        <v>207</v>
      </c>
      <c r="B68" s="15">
        <v>1</v>
      </c>
      <c r="C68" s="16" t="str">
        <f>INDEX(PORT!$B$2:$B$20,MATCH('07'!B68,PORT!$A$2:$A$20))</f>
        <v>PNH01</v>
      </c>
      <c r="D68" s="10" t="str">
        <f>INDEX(PORT!$C$2:$C$20,MATCH('07'!B68,PORT!$A$2:$A$20))</f>
        <v>KTI AIR PORT</v>
      </c>
      <c r="E68" s="60" t="s">
        <v>1488</v>
      </c>
      <c r="F68" s="54">
        <v>46234</v>
      </c>
      <c r="G68" s="19" t="s">
        <v>4</v>
      </c>
      <c r="H68" s="49" t="s">
        <v>1509</v>
      </c>
      <c r="I68" s="49" t="s">
        <v>1510</v>
      </c>
      <c r="J68" s="167" t="s">
        <v>1519</v>
      </c>
      <c r="K68" s="20">
        <v>46234</v>
      </c>
      <c r="L68" s="21" t="str">
        <f>VLOOKUP(K68,'[7]Exchange Rate'!$A$3:$D$25,3,FALSE)</f>
        <v>4043</v>
      </c>
      <c r="M68" s="20" t="str">
        <f t="shared" si="3"/>
        <v>Friday</v>
      </c>
      <c r="N68" s="26">
        <v>165.54</v>
      </c>
      <c r="O68" s="233">
        <v>60.5</v>
      </c>
      <c r="P68" s="233">
        <v>0</v>
      </c>
      <c r="Q68" s="22">
        <v>50</v>
      </c>
      <c r="R68" s="182">
        <v>150</v>
      </c>
      <c r="S68" s="182">
        <v>91.04</v>
      </c>
      <c r="T68" s="182">
        <f t="shared" si="4"/>
        <v>15</v>
      </c>
      <c r="U68" s="182">
        <v>130.75</v>
      </c>
      <c r="V68" s="24">
        <f t="shared" si="6"/>
        <v>95.750000000000057</v>
      </c>
      <c r="W68" s="17"/>
    </row>
    <row r="69" spans="1:23" s="50" customFormat="1" ht="18" customHeight="1">
      <c r="A69" s="14" t="s">
        <v>207</v>
      </c>
      <c r="B69" s="15">
        <v>1</v>
      </c>
      <c r="C69" s="16" t="str">
        <f>INDEX(PORT!$B$2:$B$20,MATCH('07'!B69,PORT!$A$2:$A$20))</f>
        <v>PNH01</v>
      </c>
      <c r="D69" s="10" t="str">
        <f>INDEX(PORT!$C$2:$C$20,MATCH('07'!B69,PORT!$A$2:$A$20))</f>
        <v>KTI AIR PORT</v>
      </c>
      <c r="E69" s="60" t="s">
        <v>1489</v>
      </c>
      <c r="F69" s="18">
        <v>46234</v>
      </c>
      <c r="G69" s="19" t="s">
        <v>10</v>
      </c>
      <c r="H69" s="49" t="s">
        <v>1511</v>
      </c>
      <c r="I69" s="49" t="s">
        <v>1512</v>
      </c>
      <c r="J69" s="167" t="s">
        <v>1523</v>
      </c>
      <c r="K69" s="194">
        <v>46234</v>
      </c>
      <c r="L69" s="21" t="str">
        <f>VLOOKUP(K69,'[7]Exchange Rate'!$A$3:$D$25,3,FALSE)</f>
        <v>4043</v>
      </c>
      <c r="M69" s="20" t="str">
        <f t="shared" si="3"/>
        <v>Friday</v>
      </c>
      <c r="N69" s="26">
        <v>85.95</v>
      </c>
      <c r="O69" s="233">
        <v>0</v>
      </c>
      <c r="P69" s="233">
        <v>0</v>
      </c>
      <c r="Q69" s="22">
        <v>50</v>
      </c>
      <c r="R69" s="182">
        <v>140</v>
      </c>
      <c r="S69" s="182">
        <v>15.95</v>
      </c>
      <c r="T69" s="182">
        <f t="shared" si="4"/>
        <v>14</v>
      </c>
      <c r="U69" s="182">
        <v>60</v>
      </c>
      <c r="V69" s="24">
        <f t="shared" si="6"/>
        <v>80</v>
      </c>
      <c r="W69" s="17"/>
    </row>
    <row r="70" spans="1:23" s="50" customFormat="1" ht="18" customHeight="1">
      <c r="A70" s="14" t="s">
        <v>207</v>
      </c>
      <c r="B70" s="15">
        <v>11</v>
      </c>
      <c r="C70" s="16" t="str">
        <f>INDEX(PORT!$B$2:$B$20,MATCH('07'!B70,PORT!$A$2:$A$20))</f>
        <v>SHV11</v>
      </c>
      <c r="D70" s="10" t="str">
        <f>INDEX(PORT!$C$2:$C$20,MATCH('07'!B70,PORT!$A$2:$A$20))</f>
        <v>SHV PORT</v>
      </c>
      <c r="E70" s="60" t="s">
        <v>1528</v>
      </c>
      <c r="F70" s="18"/>
      <c r="G70" s="19" t="s">
        <v>10</v>
      </c>
      <c r="H70" s="49"/>
      <c r="I70" s="49" t="s">
        <v>1525</v>
      </c>
      <c r="J70" s="167"/>
      <c r="K70" s="194">
        <v>46234</v>
      </c>
      <c r="L70" s="21" t="str">
        <f>VLOOKUP(K70,'[7]Exchange Rate'!$A$3:$D$25,3,FALSE)</f>
        <v>4043</v>
      </c>
      <c r="M70" s="20" t="str">
        <f t="shared" si="3"/>
        <v>Friday</v>
      </c>
      <c r="N70" s="26">
        <v>0</v>
      </c>
      <c r="O70" s="233">
        <v>654.29</v>
      </c>
      <c r="P70" s="233">
        <v>0</v>
      </c>
      <c r="Q70" s="22">
        <v>0</v>
      </c>
      <c r="R70" s="182">
        <v>0</v>
      </c>
      <c r="S70" s="182">
        <v>654.29</v>
      </c>
      <c r="T70" s="182">
        <f t="shared" si="4"/>
        <v>0</v>
      </c>
      <c r="U70" s="182">
        <v>0</v>
      </c>
      <c r="V70" s="24">
        <f>(R70+S70+U70)-(N70+O70+Q70+P70)</f>
        <v>0</v>
      </c>
      <c r="W70" s="17"/>
    </row>
    <row r="71" spans="1:23" s="50" customFormat="1" ht="18" customHeight="1">
      <c r="A71" s="14" t="s">
        <v>207</v>
      </c>
      <c r="B71" s="143">
        <v>1</v>
      </c>
      <c r="C71" s="16" t="str">
        <f>INDEX(PORT!$B$2:$B$20,MATCH('07'!B71,PORT!$A$2:$A$20))</f>
        <v>PNH01</v>
      </c>
      <c r="D71" s="10" t="str">
        <f>INDEX(PORT!$C$2:$C$20,MATCH('07'!B71,PORT!$A$2:$A$20))</f>
        <v>KTI AIR PORT</v>
      </c>
      <c r="E71" s="60"/>
      <c r="F71" s="144"/>
      <c r="G71" s="19" t="s">
        <v>4</v>
      </c>
      <c r="H71" s="140"/>
      <c r="I71" s="49" t="s">
        <v>1526</v>
      </c>
      <c r="J71" s="167"/>
      <c r="K71" s="194">
        <v>46234</v>
      </c>
      <c r="L71" s="21" t="str">
        <f>VLOOKUP(K71,'[7]Exchange Rate'!$A$3:$D$25,3,FALSE)</f>
        <v>4043</v>
      </c>
      <c r="M71" s="20" t="str">
        <f t="shared" si="3"/>
        <v>Friday</v>
      </c>
      <c r="N71" s="26">
        <v>0</v>
      </c>
      <c r="O71" s="233">
        <v>60.5</v>
      </c>
      <c r="P71" s="233">
        <v>0</v>
      </c>
      <c r="Q71" s="22">
        <v>0</v>
      </c>
      <c r="R71" s="182">
        <v>0</v>
      </c>
      <c r="S71" s="182">
        <v>60.5</v>
      </c>
      <c r="T71" s="182">
        <f t="shared" si="4"/>
        <v>0</v>
      </c>
      <c r="U71" s="182">
        <v>0</v>
      </c>
      <c r="V71" s="24">
        <f t="shared" si="6"/>
        <v>0</v>
      </c>
      <c r="W71" s="17"/>
    </row>
    <row r="72" spans="1:23" s="50" customFormat="1" ht="18" customHeight="1">
      <c r="A72" s="14" t="s">
        <v>207</v>
      </c>
      <c r="B72" s="15">
        <v>4</v>
      </c>
      <c r="C72" s="16" t="str">
        <f>INDEX(PORT!$B$2:$B$20,MATCH('07'!B72,PORT!$A$2:$A$20))</f>
        <v>PNH04</v>
      </c>
      <c r="D72" s="10" t="str">
        <f>INDEX(PORT!$C$2:$C$20,MATCH('07'!B72,PORT!$A$2:$A$20))</f>
        <v>PNH PORT</v>
      </c>
      <c r="E72" s="60" t="s">
        <v>1532</v>
      </c>
      <c r="F72" s="18">
        <v>46206</v>
      </c>
      <c r="G72" s="19" t="s">
        <v>41</v>
      </c>
      <c r="H72" s="49"/>
      <c r="I72" s="49" t="s">
        <v>1527</v>
      </c>
      <c r="J72" s="142" t="s">
        <v>1478</v>
      </c>
      <c r="K72" s="194">
        <v>46234</v>
      </c>
      <c r="L72" s="21" t="str">
        <f>VLOOKUP(K72,'[7]Exchange Rate'!$A$3:$D$25,3,FALSE)</f>
        <v>4043</v>
      </c>
      <c r="M72" s="20" t="str">
        <f t="shared" si="3"/>
        <v>Friday</v>
      </c>
      <c r="N72" s="26">
        <v>0</v>
      </c>
      <c r="O72" s="233">
        <v>916.8</v>
      </c>
      <c r="P72" s="233">
        <v>0</v>
      </c>
      <c r="Q72" s="22">
        <v>0</v>
      </c>
      <c r="R72" s="182">
        <v>0</v>
      </c>
      <c r="S72" s="182">
        <v>916.8</v>
      </c>
      <c r="T72" s="182">
        <f t="shared" si="4"/>
        <v>0</v>
      </c>
      <c r="U72" s="182">
        <v>174</v>
      </c>
      <c r="V72" s="24">
        <f t="shared" si="6"/>
        <v>174</v>
      </c>
      <c r="W72" s="17" t="s">
        <v>1537</v>
      </c>
    </row>
    <row r="73" spans="1:23" s="201" customFormat="1" ht="18" customHeight="1">
      <c r="A73" s="14" t="s">
        <v>207</v>
      </c>
      <c r="B73" s="59">
        <v>4</v>
      </c>
      <c r="C73" s="16" t="str">
        <f>INDEX(PORT!$B$2:$B$20,MATCH('07'!B73,PORT!$A$2:$A$20))</f>
        <v>PNH04</v>
      </c>
      <c r="D73" s="10" t="str">
        <f>INDEX(PORT!$C$2:$C$20,MATCH('07'!B73,PORT!$A$2:$A$20))</f>
        <v>PNH PORT</v>
      </c>
      <c r="E73" s="60" t="s">
        <v>1471</v>
      </c>
      <c r="F73" s="54">
        <v>46212</v>
      </c>
      <c r="G73" s="19" t="s">
        <v>41</v>
      </c>
      <c r="H73" s="49"/>
      <c r="I73" s="49" t="s">
        <v>1529</v>
      </c>
      <c r="J73" s="146" t="s">
        <v>1480</v>
      </c>
      <c r="K73" s="20">
        <v>46234</v>
      </c>
      <c r="L73" s="21" t="str">
        <f>VLOOKUP(K73,'[7]Exchange Rate'!$A$3:$D$25,3,FALSE)</f>
        <v>4043</v>
      </c>
      <c r="M73" s="20" t="str">
        <f t="shared" ref="M73:M75" si="7">TEXT(K73,"dddd")</f>
        <v>Friday</v>
      </c>
      <c r="N73" s="26">
        <v>0</v>
      </c>
      <c r="O73" s="233">
        <v>701.84</v>
      </c>
      <c r="P73" s="233">
        <v>0</v>
      </c>
      <c r="Q73" s="22">
        <v>0</v>
      </c>
      <c r="R73" s="182">
        <v>0</v>
      </c>
      <c r="S73" s="182">
        <v>701.84</v>
      </c>
      <c r="T73" s="182">
        <f t="shared" ref="T73:T75" si="8">ROUND(R73*10%,2)</f>
        <v>0</v>
      </c>
      <c r="U73" s="182">
        <v>174</v>
      </c>
      <c r="V73" s="24">
        <f t="shared" ref="V73:V75" si="9">(R73+S73+U73)-(N73+O73+Q73+P73)</f>
        <v>174</v>
      </c>
      <c r="W73" s="17" t="s">
        <v>1474</v>
      </c>
    </row>
    <row r="74" spans="1:23" s="201" customFormat="1" ht="18" customHeight="1">
      <c r="A74" s="14" t="s">
        <v>207</v>
      </c>
      <c r="B74" s="59">
        <v>4</v>
      </c>
      <c r="C74" s="16" t="str">
        <f>INDEX(PORT!$B$2:$B$20,MATCH('07'!B74,PORT!$A$2:$A$20))</f>
        <v>PNH04</v>
      </c>
      <c r="D74" s="10" t="str">
        <f>INDEX(PORT!$C$2:$C$20,MATCH('07'!B74,PORT!$A$2:$A$20))</f>
        <v>PNH PORT</v>
      </c>
      <c r="E74" s="60" t="s">
        <v>1469</v>
      </c>
      <c r="F74" s="54">
        <v>46220</v>
      </c>
      <c r="G74" s="19" t="s">
        <v>41</v>
      </c>
      <c r="H74" s="49"/>
      <c r="I74" s="49" t="s">
        <v>1530</v>
      </c>
      <c r="J74" s="308" t="s">
        <v>1479</v>
      </c>
      <c r="K74" s="20">
        <v>46234</v>
      </c>
      <c r="L74" s="21" t="str">
        <f>VLOOKUP(K74,'[7]Exchange Rate'!$A$3:$D$25,3,FALSE)</f>
        <v>4043</v>
      </c>
      <c r="M74" s="20" t="str">
        <f t="shared" si="7"/>
        <v>Friday</v>
      </c>
      <c r="N74" s="26">
        <v>0</v>
      </c>
      <c r="O74" s="233">
        <v>1059.92</v>
      </c>
      <c r="P74" s="233">
        <v>0</v>
      </c>
      <c r="Q74" s="22">
        <v>0</v>
      </c>
      <c r="R74" s="182">
        <v>0</v>
      </c>
      <c r="S74" s="182">
        <v>1059.92</v>
      </c>
      <c r="T74" s="182">
        <f t="shared" si="8"/>
        <v>0</v>
      </c>
      <c r="U74" s="182">
        <v>141.5</v>
      </c>
      <c r="V74" s="24">
        <f t="shared" si="9"/>
        <v>141.5</v>
      </c>
      <c r="W74" s="17" t="s">
        <v>1470</v>
      </c>
    </row>
    <row r="75" spans="1:23" s="201" customFormat="1" ht="18" customHeight="1">
      <c r="A75" s="14" t="s">
        <v>207</v>
      </c>
      <c r="B75" s="59">
        <v>4</v>
      </c>
      <c r="C75" s="16" t="str">
        <f>INDEX(PORT!$B$2:$B$20,MATCH('07'!B75,PORT!$A$2:$A$20))</f>
        <v>PNH04</v>
      </c>
      <c r="D75" s="10" t="str">
        <f>INDEX(PORT!$C$2:$C$20,MATCH('07'!B75,PORT!$A$2:$A$20))</f>
        <v>PNH PORT</v>
      </c>
      <c r="E75" s="60" t="s">
        <v>1472</v>
      </c>
      <c r="F75" s="54">
        <v>46227</v>
      </c>
      <c r="G75" s="19" t="s">
        <v>41</v>
      </c>
      <c r="H75" s="49"/>
      <c r="I75" s="49" t="s">
        <v>1534</v>
      </c>
      <c r="J75" s="146" t="s">
        <v>1533</v>
      </c>
      <c r="K75" s="20">
        <v>46234</v>
      </c>
      <c r="L75" s="21" t="str">
        <f>VLOOKUP(K75,'[7]Exchange Rate'!$A$3:$D$25,3,FALSE)</f>
        <v>4043</v>
      </c>
      <c r="M75" s="20" t="str">
        <f t="shared" si="7"/>
        <v>Friday</v>
      </c>
      <c r="N75" s="26">
        <v>0</v>
      </c>
      <c r="O75" s="233">
        <v>518.94000000000005</v>
      </c>
      <c r="P75" s="233">
        <v>0</v>
      </c>
      <c r="Q75" s="22">
        <v>0</v>
      </c>
      <c r="R75" s="182">
        <v>0</v>
      </c>
      <c r="S75" s="182">
        <v>518.94000000000005</v>
      </c>
      <c r="T75" s="182">
        <f t="shared" si="8"/>
        <v>0</v>
      </c>
      <c r="U75" s="182">
        <v>141.5</v>
      </c>
      <c r="V75" s="24">
        <f t="shared" si="9"/>
        <v>141.5</v>
      </c>
      <c r="W75" s="17" t="s">
        <v>1473</v>
      </c>
    </row>
    <row r="76" spans="1:23" s="50" customFormat="1" ht="18" customHeight="1">
      <c r="A76" s="14" t="s">
        <v>207</v>
      </c>
      <c r="B76" s="143">
        <v>4</v>
      </c>
      <c r="C76" s="16" t="str">
        <f>INDEX(PORT!$B$2:$B$20,MATCH('07'!B76,PORT!$A$2:$A$20))</f>
        <v>PNH04</v>
      </c>
      <c r="D76" s="10" t="str">
        <f>INDEX(PORT!$C$2:$C$20,MATCH('07'!B76,PORT!$A$2:$A$20))</f>
        <v>PNH PORT</v>
      </c>
      <c r="E76" s="60" t="s">
        <v>1563</v>
      </c>
      <c r="F76" s="144"/>
      <c r="G76" s="19" t="s">
        <v>41</v>
      </c>
      <c r="H76" s="140"/>
      <c r="I76" s="196" t="s">
        <v>1535</v>
      </c>
      <c r="J76" s="142" t="s">
        <v>1536</v>
      </c>
      <c r="K76" s="194">
        <v>46234</v>
      </c>
      <c r="L76" s="21" t="str">
        <f>VLOOKUP(K76,'[7]Exchange Rate'!$A$3:$D$25,3,FALSE)</f>
        <v>4043</v>
      </c>
      <c r="M76" s="20" t="str">
        <f t="shared" ref="M76" si="10">TEXT(K76,"dddd")</f>
        <v>Friday</v>
      </c>
      <c r="N76" s="26">
        <v>0</v>
      </c>
      <c r="O76" s="233">
        <v>1213.72</v>
      </c>
      <c r="P76" s="233">
        <v>0</v>
      </c>
      <c r="Q76" s="22">
        <v>0</v>
      </c>
      <c r="R76" s="182">
        <v>0</v>
      </c>
      <c r="S76" s="182">
        <v>1213.72</v>
      </c>
      <c r="T76" s="182">
        <f t="shared" ref="T76" si="11">ROUND(R76*10%,2)</f>
        <v>0</v>
      </c>
      <c r="U76" s="182">
        <v>160</v>
      </c>
      <c r="V76" s="24">
        <f t="shared" ref="V76" si="12">(R76+S76+U76)-(N76+O76+Q76+P76)</f>
        <v>160</v>
      </c>
      <c r="W76" s="17"/>
    </row>
    <row r="77" spans="1:23" ht="15.75">
      <c r="A77" s="14"/>
      <c r="B77" s="15"/>
      <c r="C77" s="10"/>
      <c r="D77" s="65"/>
      <c r="E77" s="66" t="s">
        <v>9</v>
      </c>
      <c r="F77" s="66"/>
      <c r="G77" s="67"/>
      <c r="H77" s="68"/>
      <c r="I77" s="31"/>
      <c r="J77" s="63"/>
      <c r="K77" s="34"/>
      <c r="L77" s="32"/>
      <c r="M77" s="20"/>
      <c r="N77" s="26"/>
      <c r="O77" s="26"/>
      <c r="P77" s="26"/>
      <c r="Q77" s="35"/>
      <c r="R77" s="39"/>
      <c r="S77" s="39"/>
      <c r="T77" s="36"/>
      <c r="U77" s="39"/>
      <c r="V77" s="24"/>
      <c r="W77" s="31"/>
    </row>
    <row r="78" spans="1:23">
      <c r="A78" s="14"/>
      <c r="B78" s="15"/>
      <c r="C78" s="10"/>
      <c r="D78" s="10"/>
      <c r="E78" s="18" t="s">
        <v>349</v>
      </c>
      <c r="F78" s="18"/>
      <c r="G78" s="19"/>
      <c r="H78" s="61"/>
      <c r="I78" s="19"/>
      <c r="J78" s="62"/>
      <c r="K78" s="62"/>
      <c r="L78" s="21"/>
      <c r="M78" s="52"/>
      <c r="O78" s="52"/>
      <c r="P78" s="52"/>
      <c r="Q78" s="26"/>
      <c r="R78" s="42"/>
      <c r="S78" s="42"/>
      <c r="T78" s="42"/>
      <c r="U78" s="42"/>
      <c r="V78" s="24"/>
      <c r="W78" s="19"/>
    </row>
    <row r="79" spans="1:23">
      <c r="A79" s="14" t="s">
        <v>207</v>
      </c>
      <c r="B79" s="15"/>
      <c r="C79" s="10"/>
      <c r="D79" s="51"/>
      <c r="E79" s="18" t="s">
        <v>1318</v>
      </c>
      <c r="F79" s="18"/>
      <c r="G79" s="19"/>
      <c r="H79" s="61"/>
      <c r="I79" s="19"/>
      <c r="J79" s="62"/>
      <c r="K79" s="62"/>
      <c r="L79" s="69"/>
      <c r="M79" s="52"/>
      <c r="N79" s="52">
        <v>35</v>
      </c>
      <c r="O79" s="52"/>
      <c r="P79" s="52"/>
      <c r="Q79" s="26"/>
      <c r="R79" s="42"/>
      <c r="S79" s="42"/>
      <c r="T79" s="42"/>
      <c r="U79" s="42"/>
      <c r="V79" s="24"/>
      <c r="W79" s="307" t="s">
        <v>1373</v>
      </c>
    </row>
    <row r="80" spans="1:23">
      <c r="A80" s="70"/>
      <c r="B80" s="70"/>
      <c r="C80" s="81"/>
      <c r="D80" s="82"/>
      <c r="E80" s="83"/>
      <c r="F80" s="84"/>
      <c r="G80" s="85"/>
      <c r="H80" s="75"/>
      <c r="I80" s="74"/>
      <c r="J80" s="289"/>
      <c r="K80" s="76"/>
      <c r="L80" s="77"/>
      <c r="M80" s="86"/>
      <c r="N80" s="133"/>
      <c r="O80" s="78"/>
      <c r="P80" s="78"/>
      <c r="Q80" s="78"/>
      <c r="R80" s="79"/>
      <c r="S80" s="79"/>
      <c r="T80" s="79"/>
      <c r="U80" s="79"/>
      <c r="V80" s="80"/>
      <c r="W80" s="74"/>
    </row>
    <row r="81" spans="1:23" ht="15.75">
      <c r="A81" s="88"/>
      <c r="B81" s="89">
        <f>SUBTOTAL(3,B3:B80)</f>
        <v>74</v>
      </c>
      <c r="C81" s="88"/>
      <c r="D81" s="90"/>
      <c r="E81" s="342" t="s">
        <v>3</v>
      </c>
      <c r="F81" s="343"/>
      <c r="G81" s="344"/>
      <c r="H81" s="91">
        <f>SUBTOTAL(3,H3:H80)</f>
        <v>67</v>
      </c>
      <c r="I81" s="91">
        <f>SUBTOTAL(3,I3:I80)</f>
        <v>74</v>
      </c>
      <c r="J81" s="91">
        <f>SUBTOTAL(3,J3:J80)</f>
        <v>72</v>
      </c>
      <c r="K81" s="92"/>
      <c r="L81" s="89"/>
      <c r="M81" s="89"/>
      <c r="N81" s="93">
        <f>SUM(N3:N80)</f>
        <v>18011.03</v>
      </c>
      <c r="O81" s="136">
        <f>SUBTOTAL(9,O3:O76)</f>
        <v>14290.729999999998</v>
      </c>
      <c r="P81" s="136">
        <f>SUBTOTAL(9,P3:P76)</f>
        <v>0</v>
      </c>
      <c r="Q81" s="91">
        <f>SUBTOTAL(9,Q3:Q77)</f>
        <v>3100</v>
      </c>
      <c r="R81" s="91">
        <f>SUBTOTAL(9,R3:R76)</f>
        <v>11678</v>
      </c>
      <c r="S81" s="7">
        <f>SUBTOTAL(9,S3:S76)</f>
        <v>18644.079999999998</v>
      </c>
      <c r="T81" s="7">
        <f>SUBTOTAL(9,T3:T76)</f>
        <v>1167.8</v>
      </c>
      <c r="U81" s="7">
        <f>SUBTOTAL(9,U3:U76)</f>
        <v>20358.760000000002</v>
      </c>
      <c r="V81" s="7">
        <f>SUBTOTAL(9,V3:V79)</f>
        <v>15314.08</v>
      </c>
      <c r="W81" s="89"/>
    </row>
    <row r="82" spans="1:23" ht="23.1" customHeight="1">
      <c r="B82" s="95"/>
      <c r="C82" s="96"/>
      <c r="D82" s="97"/>
      <c r="E82" s="98"/>
      <c r="F82" s="291"/>
      <c r="G82" s="8"/>
      <c r="H82" s="11"/>
      <c r="I82" s="99"/>
      <c r="J82" s="100"/>
      <c r="K82" s="100"/>
      <c r="M82" s="101" t="s">
        <v>207</v>
      </c>
      <c r="N82" s="102">
        <f>SUMIFS($N$3:$N$79,$A$3:$A$79,$M$82)-O83</f>
        <v>18011.03</v>
      </c>
      <c r="O82" s="103"/>
      <c r="P82" s="103"/>
      <c r="Q82" s="104"/>
      <c r="R82" s="105"/>
      <c r="S82" s="106"/>
      <c r="T82" s="107"/>
      <c r="U82" s="107"/>
      <c r="V82" s="108"/>
      <c r="W82" s="264"/>
    </row>
    <row r="83" spans="1:23" ht="23.1" customHeight="1">
      <c r="B83" s="95"/>
      <c r="C83" s="110"/>
      <c r="D83" s="111"/>
      <c r="E83" s="98"/>
      <c r="F83" s="291"/>
      <c r="G83" s="8"/>
      <c r="H83" s="11"/>
      <c r="I83" s="99"/>
      <c r="J83" s="100"/>
      <c r="K83" s="100"/>
      <c r="M83" s="112" t="s">
        <v>208</v>
      </c>
      <c r="N83" s="113">
        <f>SUMIFS($N$3:$N$79,$A$3:$A$79,$M$83)</f>
        <v>0</v>
      </c>
      <c r="O83" s="279"/>
      <c r="P83" s="279"/>
      <c r="Q83" s="280"/>
      <c r="R83" s="280"/>
      <c r="S83" s="181"/>
      <c r="T83" s="115"/>
      <c r="U83" s="115"/>
      <c r="V83" s="116"/>
    </row>
    <row r="84" spans="1:23">
      <c r="B84" s="95"/>
      <c r="C84" s="117"/>
      <c r="D84" s="118"/>
      <c r="E84" s="98"/>
      <c r="F84" s="291"/>
      <c r="G84" s="8"/>
      <c r="H84" s="11"/>
      <c r="I84" s="99"/>
      <c r="J84" s="100"/>
      <c r="K84" s="100"/>
      <c r="O84" s="254"/>
      <c r="P84" s="254"/>
      <c r="S84" s="115"/>
      <c r="T84" s="115"/>
      <c r="U84" s="115"/>
      <c r="V84" s="116"/>
    </row>
    <row r="85" spans="1:23" ht="15" customHeight="1">
      <c r="N85" s="104"/>
      <c r="Q85" s="104"/>
    </row>
    <row r="86" spans="1:23" ht="15" customHeight="1">
      <c r="K86" s="297" t="s">
        <v>1245</v>
      </c>
      <c r="L86" s="298"/>
      <c r="M86" s="299">
        <v>6000</v>
      </c>
      <c r="R86" s="309">
        <f>SUM(R81+T81)</f>
        <v>12845.8</v>
      </c>
    </row>
    <row r="87" spans="1:23" ht="15" customHeight="1">
      <c r="K87" s="297" t="s">
        <v>1406</v>
      </c>
      <c r="L87" s="298"/>
      <c r="M87" s="299">
        <v>6000</v>
      </c>
      <c r="N87" s="239"/>
      <c r="O87" s="240"/>
      <c r="P87" s="240"/>
    </row>
    <row r="88" spans="1:23" ht="15" customHeight="1">
      <c r="K88" s="297" t="s">
        <v>1559</v>
      </c>
      <c r="L88" s="298"/>
      <c r="M88" s="299">
        <v>6011.03</v>
      </c>
    </row>
    <row r="89" spans="1:23" ht="15" customHeight="1">
      <c r="I89" s="9" t="s">
        <v>579</v>
      </c>
      <c r="K89" s="328" t="s">
        <v>3</v>
      </c>
      <c r="L89" s="329"/>
      <c r="M89" s="330">
        <f>SUM(M86:M88)</f>
        <v>18011.03</v>
      </c>
      <c r="N89" s="282"/>
      <c r="O89" s="240"/>
      <c r="P89" s="240"/>
    </row>
    <row r="90" spans="1:23" ht="15" customHeight="1">
      <c r="N90" s="283"/>
      <c r="O90" s="240"/>
      <c r="P90" s="240"/>
    </row>
    <row r="91" spans="1:23" ht="15" customHeight="1">
      <c r="J91" s="139"/>
      <c r="K91" s="303"/>
      <c r="L91" s="95"/>
      <c r="M91" s="304"/>
      <c r="N91" s="305"/>
      <c r="S91" s="104"/>
    </row>
    <row r="92" spans="1:23" ht="15" customHeight="1">
      <c r="J92" s="139"/>
      <c r="K92" s="303"/>
      <c r="L92" s="95"/>
      <c r="M92" s="304"/>
      <c r="N92" s="139"/>
    </row>
    <row r="93" spans="1:23" ht="15" customHeight="1">
      <c r="J93" s="139"/>
      <c r="K93" s="281"/>
      <c r="L93" s="95"/>
      <c r="M93" s="103"/>
      <c r="N93" s="139"/>
    </row>
    <row r="94" spans="1:23" ht="15" customHeight="1">
      <c r="J94" s="139"/>
      <c r="K94" s="306"/>
      <c r="L94" s="95"/>
      <c r="M94" s="103"/>
      <c r="N94" s="139"/>
      <c r="S94" s="104"/>
    </row>
    <row r="95" spans="1:23" ht="15" customHeight="1">
      <c r="Q95" s="9" t="s">
        <v>579</v>
      </c>
    </row>
    <row r="104" spans="6:6" ht="15" customHeight="1">
      <c r="F104" s="8" t="s">
        <v>440</v>
      </c>
    </row>
  </sheetData>
  <autoFilter ref="A2:W79">
    <sortState ref="A3:W75">
      <sortCondition ref="K3"/>
    </sortState>
  </autoFilter>
  <mergeCells count="1">
    <mergeCell ref="E81:G81"/>
  </mergeCells>
  <phoneticPr fontId="23" type="noConversion"/>
  <conditionalFormatting sqref="A3:D3 C4:D76">
    <cfRule type="expression" dxfId="539" priority="255">
      <formula>$E3="STORAGE"</formula>
    </cfRule>
    <cfRule type="expression" dxfId="538" priority="256">
      <formula>$E3="LOLO"</formula>
    </cfRule>
    <cfRule type="expression" dxfId="537" priority="257">
      <formula>$E3="THC"</formula>
    </cfRule>
  </conditionalFormatting>
  <conditionalFormatting sqref="A2:U76">
    <cfRule type="expression" dxfId="536" priority="1">
      <formula>$U$2="PENDING"</formula>
    </cfRule>
  </conditionalFormatting>
  <conditionalFormatting sqref="A18:W30 A32:W44 A45:Q46 A47:W50 A52:W71 A3:W7 A8:Q17 T8:W17 A31:Q31 A51:Q51 A72:Q76 A77:W79 S72:W76">
    <cfRule type="expression" dxfId="535" priority="456">
      <formula>$A3="PAID"</formula>
    </cfRule>
  </conditionalFormatting>
  <conditionalFormatting sqref="B3:B20 C3:D76">
    <cfRule type="expression" dxfId="534" priority="382">
      <formula>$A3="PAID"</formula>
    </cfRule>
    <cfRule type="expression" dxfId="533" priority="383">
      <formula>$D3=$O$2</formula>
    </cfRule>
  </conditionalFormatting>
  <conditionalFormatting sqref="B4:B72 M66:XFD71 J72:Q72 S72:XFD72">
    <cfRule type="expression" dxfId="532" priority="76">
      <formula>$E4="STORAGE"</formula>
    </cfRule>
    <cfRule type="expression" dxfId="531" priority="77">
      <formula>$E4="LOLO"</formula>
    </cfRule>
    <cfRule type="expression" dxfId="530" priority="78">
      <formula>$E4="THC"</formula>
    </cfRule>
  </conditionalFormatting>
  <conditionalFormatting sqref="B66">
    <cfRule type="expression" dxfId="529" priority="321">
      <formula>$C66=$N$2</formula>
    </cfRule>
  </conditionalFormatting>
  <conditionalFormatting sqref="B68">
    <cfRule type="expression" dxfId="528" priority="290">
      <formula>$A68="PAID"</formula>
    </cfRule>
  </conditionalFormatting>
  <conditionalFormatting sqref="B68:B72">
    <cfRule type="expression" dxfId="527" priority="294">
      <formula>$C68=$N$2</formula>
    </cfRule>
  </conditionalFormatting>
  <conditionalFormatting sqref="B73:B75 E73:H75">
    <cfRule type="expression" dxfId="526" priority="140">
      <formula>#REF!="STORAGE"</formula>
    </cfRule>
    <cfRule type="expression" dxfId="525" priority="141">
      <formula>#REF!="LOLO"</formula>
    </cfRule>
    <cfRule type="expression" dxfId="524" priority="142">
      <formula>#REF!="THC"</formula>
    </cfRule>
    <cfRule type="expression" dxfId="523" priority="148">
      <formula>#REF!="PAID"</formula>
    </cfRule>
  </conditionalFormatting>
  <conditionalFormatting sqref="B73:B75 G73:G75 J73:Q75 S73:W75">
    <cfRule type="expression" dxfId="522" priority="149">
      <formula>#REF!=#REF!</formula>
    </cfRule>
  </conditionalFormatting>
  <conditionalFormatting sqref="E3:E20">
    <cfRule type="duplicateValues" dxfId="521" priority="377"/>
    <cfRule type="duplicateValues" dxfId="520" priority="378"/>
  </conditionalFormatting>
  <conditionalFormatting sqref="E21:E22">
    <cfRule type="duplicateValues" dxfId="519" priority="486"/>
  </conditionalFormatting>
  <conditionalFormatting sqref="E21:E26 E36:E52 E54:E65">
    <cfRule type="duplicateValues" dxfId="518" priority="4765"/>
  </conditionalFormatting>
  <conditionalFormatting sqref="E27:E35">
    <cfRule type="duplicateValues" dxfId="517" priority="465"/>
    <cfRule type="duplicateValues" dxfId="516" priority="467"/>
  </conditionalFormatting>
  <conditionalFormatting sqref="E38:E57">
    <cfRule type="expression" dxfId="515" priority="412">
      <formula>$A38="PAID"</formula>
    </cfRule>
  </conditionalFormatting>
  <conditionalFormatting sqref="E42:E43">
    <cfRule type="expression" dxfId="514" priority="384">
      <formula>$E42="STORAGE"</formula>
    </cfRule>
    <cfRule type="expression" dxfId="513" priority="385">
      <formula>$E42="LOLO"</formula>
    </cfRule>
    <cfRule type="expression" dxfId="512" priority="386">
      <formula>$E42="THC"</formula>
    </cfRule>
    <cfRule type="expression" dxfId="511" priority="387">
      <formula>$D42=$O$2</formula>
    </cfRule>
  </conditionalFormatting>
  <conditionalFormatting sqref="E45">
    <cfRule type="expression" dxfId="510" priority="4288">
      <formula>$E45="STORAGE"</formula>
    </cfRule>
    <cfRule type="expression" dxfId="509" priority="4289">
      <formula>$E45="LOLO"</formula>
    </cfRule>
    <cfRule type="expression" dxfId="508" priority="4290">
      <formula>$E45="THC"</formula>
    </cfRule>
    <cfRule type="duplicateValues" dxfId="507" priority="4291"/>
    <cfRule type="duplicateValues" dxfId="506" priority="4292"/>
    <cfRule type="expression" dxfId="505" priority="4293">
      <formula>$D45=$O$2</formula>
    </cfRule>
  </conditionalFormatting>
  <conditionalFormatting sqref="E48">
    <cfRule type="duplicateValues" dxfId="504" priority="394"/>
    <cfRule type="expression" dxfId="503" priority="395">
      <formula>$E48="STORAGE"</formula>
    </cfRule>
    <cfRule type="expression" dxfId="502" priority="396">
      <formula>$E48="LOLO"</formula>
    </cfRule>
    <cfRule type="expression" dxfId="501" priority="397">
      <formula>$E48="THC"</formula>
    </cfRule>
    <cfRule type="duplicateValues" dxfId="500" priority="398"/>
  </conditionalFormatting>
  <conditionalFormatting sqref="E53">
    <cfRule type="duplicateValues" dxfId="499" priority="414"/>
    <cfRule type="duplicateValues" dxfId="498" priority="415"/>
  </conditionalFormatting>
  <conditionalFormatting sqref="E66 E69">
    <cfRule type="duplicateValues" dxfId="497" priority="323"/>
    <cfRule type="duplicateValues" dxfId="496" priority="327"/>
  </conditionalFormatting>
  <conditionalFormatting sqref="E66 E69:E72 B58:B66 E76 G76 I76:Q76 S76:W76 M77:P77 Q77:W79 J71:K71 J72:Q72 B70 B72 S72:W72 B77:L79">
    <cfRule type="expression" dxfId="495" priority="324">
      <formula>$D58=$O$2</formula>
    </cfRule>
  </conditionalFormatting>
  <conditionalFormatting sqref="E66:E69 G66:G69">
    <cfRule type="expression" dxfId="494" priority="263">
      <formula>$A66="PAID"</formula>
    </cfRule>
  </conditionalFormatting>
  <conditionalFormatting sqref="E67 G66:G72">
    <cfRule type="expression" dxfId="493" priority="270">
      <formula>$D66=$O$2</formula>
    </cfRule>
  </conditionalFormatting>
  <conditionalFormatting sqref="E67">
    <cfRule type="duplicateValues" dxfId="492" priority="269"/>
    <cfRule type="duplicateValues" dxfId="491" priority="273"/>
  </conditionalFormatting>
  <conditionalFormatting sqref="E68 B68">
    <cfRule type="expression" dxfId="490" priority="297">
      <formula>$D68=$O$2</formula>
    </cfRule>
  </conditionalFormatting>
  <conditionalFormatting sqref="E68">
    <cfRule type="duplicateValues" dxfId="489" priority="296"/>
    <cfRule type="duplicateValues" dxfId="488" priority="300"/>
  </conditionalFormatting>
  <conditionalFormatting sqref="E70:E71">
    <cfRule type="duplicateValues" dxfId="487" priority="110"/>
    <cfRule type="duplicateValues" dxfId="486" priority="114"/>
  </conditionalFormatting>
  <conditionalFormatting sqref="E70:E72 G70:G72 B72 J72:Q72 S72:W72">
    <cfRule type="expression" dxfId="485" priority="82">
      <formula>$A70="PAID"</formula>
    </cfRule>
  </conditionalFormatting>
  <conditionalFormatting sqref="E72">
    <cfRule type="duplicateValues" dxfId="484" priority="88"/>
    <cfRule type="duplicateValues" dxfId="483" priority="92"/>
  </conditionalFormatting>
  <conditionalFormatting sqref="E73:E75">
    <cfRule type="duplicateValues" dxfId="482" priority="151"/>
    <cfRule type="duplicateValues" dxfId="481" priority="153"/>
  </conditionalFormatting>
  <conditionalFormatting sqref="E76 G76 I76:Q76 S76:W76 A77 B58:B66">
    <cfRule type="expression" dxfId="480" priority="317">
      <formula>$A58="PAID"</formula>
    </cfRule>
  </conditionalFormatting>
  <conditionalFormatting sqref="E76">
    <cfRule type="duplicateValues" dxfId="479" priority="4615"/>
    <cfRule type="duplicateValues" dxfId="478" priority="4616"/>
  </conditionalFormatting>
  <conditionalFormatting sqref="E77:E1048576 E23:E26 E1:E2 E36:E52 E54:E65">
    <cfRule type="duplicateValues" dxfId="477" priority="4775"/>
  </conditionalFormatting>
  <conditionalFormatting sqref="E3:G20">
    <cfRule type="expression" dxfId="476" priority="372">
      <formula>$A3="PAID"</formula>
    </cfRule>
    <cfRule type="expression" dxfId="475" priority="373">
      <formula>$E3="STORAGE"</formula>
    </cfRule>
    <cfRule type="expression" dxfId="474" priority="374">
      <formula>$E3="LOLO"</formula>
    </cfRule>
    <cfRule type="expression" dxfId="473" priority="375">
      <formula>$E3="THC"</formula>
    </cfRule>
    <cfRule type="expression" dxfId="472" priority="376">
      <formula>$D3=$O$2</formula>
    </cfRule>
  </conditionalFormatting>
  <conditionalFormatting sqref="E21:G22 K21:K22 B44:B65 G55:G65 J58:J59 J62:J63 J71:J72 B76 G76 J76">
    <cfRule type="expression" dxfId="471" priority="481">
      <formula>$C21=$N$2</formula>
    </cfRule>
  </conditionalFormatting>
  <conditionalFormatting sqref="E38:G57">
    <cfRule type="expression" dxfId="470" priority="408">
      <formula>$E38="STORAGE"</formula>
    </cfRule>
    <cfRule type="expression" dxfId="469" priority="409">
      <formula>$E38="LOLO"</formula>
    </cfRule>
    <cfRule type="expression" dxfId="468" priority="410">
      <formula>$E38="THC"</formula>
    </cfRule>
  </conditionalFormatting>
  <conditionalFormatting sqref="E58:G69">
    <cfRule type="expression" dxfId="467" priority="260">
      <formula>$E58="STORAGE"</formula>
    </cfRule>
    <cfRule type="expression" dxfId="466" priority="261">
      <formula>$E58="LOLO"</formula>
    </cfRule>
    <cfRule type="expression" dxfId="465" priority="262">
      <formula>$E58="THC"</formula>
    </cfRule>
  </conditionalFormatting>
  <conditionalFormatting sqref="E73:G75">
    <cfRule type="expression" dxfId="464" priority="152">
      <formula>#REF!=#REF!</formula>
    </cfRule>
  </conditionalFormatting>
  <conditionalFormatting sqref="E70:H72">
    <cfRule type="expression" dxfId="463" priority="79">
      <formula>$E70="STORAGE"</formula>
    </cfRule>
    <cfRule type="expression" dxfId="462" priority="80">
      <formula>$E70="LOLO"</formula>
    </cfRule>
    <cfRule type="expression" dxfId="461" priority="81">
      <formula>$E70="THC"</formula>
    </cfRule>
  </conditionalFormatting>
  <conditionalFormatting sqref="E76:Q76 A4:A77 B76 S76:XFD76 P77:XFD79">
    <cfRule type="expression" dxfId="460" priority="174">
      <formula>$E4="STORAGE"</formula>
    </cfRule>
    <cfRule type="expression" dxfId="459" priority="175">
      <formula>$E4="LOLO"</formula>
    </cfRule>
    <cfRule type="expression" dxfId="458" priority="176">
      <formula>$E4="THC"</formula>
    </cfRule>
  </conditionalFormatting>
  <conditionalFormatting sqref="G44:G50 G52 B21:B22">
    <cfRule type="expression" dxfId="457" priority="455">
      <formula>$C21=$N$2</formula>
    </cfRule>
  </conditionalFormatting>
  <conditionalFormatting sqref="G66:G72 B67">
    <cfRule type="expression" dxfId="456" priority="267">
      <formula>$C66=$N$2</formula>
    </cfRule>
  </conditionalFormatting>
  <conditionalFormatting sqref="H3:H69">
    <cfRule type="duplicateValues" dxfId="455" priority="348"/>
    <cfRule type="duplicateValues" dxfId="454" priority="349"/>
    <cfRule type="duplicateValues" dxfId="453" priority="350"/>
    <cfRule type="expression" dxfId="452" priority="351">
      <formula>$D3=$O$2</formula>
    </cfRule>
  </conditionalFormatting>
  <conditionalFormatting sqref="H73:H75">
    <cfRule type="duplicateValues" dxfId="451" priority="154"/>
    <cfRule type="duplicateValues" dxfId="450" priority="155"/>
    <cfRule type="duplicateValues" dxfId="449" priority="156"/>
    <cfRule type="expression" dxfId="448" priority="157">
      <formula>#REF!=#REF!</formula>
    </cfRule>
  </conditionalFormatting>
  <conditionalFormatting sqref="H3:I69 I70:I75">
    <cfRule type="expression" dxfId="447" priority="339">
      <formula>$E3="STORAGE"</formula>
    </cfRule>
    <cfRule type="expression" dxfId="446" priority="340">
      <formula>$E3="LOLO"</formula>
    </cfRule>
    <cfRule type="expression" dxfId="445" priority="341">
      <formula>$E3="THC"</formula>
    </cfRule>
    <cfRule type="expression" dxfId="444" priority="342">
      <formula>$A3="PAID"</formula>
    </cfRule>
  </conditionalFormatting>
  <conditionalFormatting sqref="H82:J1048576 H1:J2 H77:J79 J55 J52 J42:J46 J48 H80:I80">
    <cfRule type="duplicateValues" dxfId="443" priority="492"/>
  </conditionalFormatting>
  <conditionalFormatting sqref="I3:I75">
    <cfRule type="expression" dxfId="442" priority="4740">
      <formula>$D3=$O$2</formula>
    </cfRule>
    <cfRule type="duplicateValues" dxfId="441" priority="4741"/>
  </conditionalFormatting>
  <conditionalFormatting sqref="I76">
    <cfRule type="duplicateValues" dxfId="440" priority="4646"/>
    <cfRule type="duplicateValues" dxfId="439" priority="4647"/>
  </conditionalFormatting>
  <conditionalFormatting sqref="I82:I1048576 I1:I2 I77:I80">
    <cfRule type="duplicateValues" dxfId="438" priority="493"/>
  </conditionalFormatting>
  <conditionalFormatting sqref="I82:I1048576">
    <cfRule type="duplicateValues" dxfId="437" priority="488"/>
  </conditionalFormatting>
  <conditionalFormatting sqref="J3:J25">
    <cfRule type="expression" dxfId="436" priority="334">
      <formula>$A3="PAID"</formula>
    </cfRule>
    <cfRule type="expression" dxfId="435" priority="335">
      <formula>$E3="STORAGE"</formula>
    </cfRule>
    <cfRule type="expression" dxfId="434" priority="336">
      <formula>$E3="LOLO"</formula>
    </cfRule>
    <cfRule type="expression" dxfId="433" priority="337">
      <formula>$E3="THC"</formula>
    </cfRule>
  </conditionalFormatting>
  <conditionalFormatting sqref="J36 J38 J47 J60:J61">
    <cfRule type="expression" dxfId="432" priority="4479">
      <formula>$A38="PAID"</formula>
    </cfRule>
    <cfRule type="expression" dxfId="431" priority="4480">
      <formula>$E38="STORAGE"</formula>
    </cfRule>
    <cfRule type="expression" dxfId="430" priority="4481">
      <formula>$E38="LOLO"</formula>
    </cfRule>
    <cfRule type="expression" dxfId="429" priority="4482">
      <formula>$E38="THC"</formula>
    </cfRule>
  </conditionalFormatting>
  <conditionalFormatting sqref="J40">
    <cfRule type="duplicateValues" dxfId="428" priority="331"/>
    <cfRule type="expression" dxfId="427" priority="332">
      <formula>$D40=$O$2</formula>
    </cfRule>
    <cfRule type="duplicateValues" dxfId="426" priority="333"/>
  </conditionalFormatting>
  <conditionalFormatting sqref="J42 J45:J46 J48 J52">
    <cfRule type="expression" dxfId="425" priority="4324">
      <formula>$C42=$N$2</formula>
    </cfRule>
  </conditionalFormatting>
  <conditionalFormatting sqref="J42 J45:J46 J52 J48">
    <cfRule type="duplicateValues" dxfId="424" priority="4325"/>
  </conditionalFormatting>
  <conditionalFormatting sqref="J45:J46 J48 J58:J59 J62:J63">
    <cfRule type="duplicateValues" dxfId="423" priority="4790"/>
    <cfRule type="duplicateValues" dxfId="422" priority="4791"/>
    <cfRule type="duplicateValues" dxfId="421" priority="4792"/>
  </conditionalFormatting>
  <conditionalFormatting sqref="J45:J46 J48">
    <cfRule type="expression" dxfId="420" priority="4326">
      <formula>$C45=$N$2</formula>
    </cfRule>
  </conditionalFormatting>
  <conditionalFormatting sqref="J48:J51">
    <cfRule type="expression" dxfId="419" priority="164">
      <formula>$A48="PAID"</formula>
    </cfRule>
  </conditionalFormatting>
  <conditionalFormatting sqref="J49:J51">
    <cfRule type="expression" dxfId="418" priority="161">
      <formula>$E49="STORAGE"</formula>
    </cfRule>
    <cfRule type="expression" dxfId="417" priority="162">
      <formula>$E49="LOLO"</formula>
    </cfRule>
    <cfRule type="expression" dxfId="416" priority="163">
      <formula>$E49="THC"</formula>
    </cfRule>
  </conditionalFormatting>
  <conditionalFormatting sqref="J50">
    <cfRule type="duplicateValues" dxfId="415" priority="165"/>
    <cfRule type="expression" dxfId="414" priority="166">
      <formula>$D50=$O$2</formula>
    </cfRule>
    <cfRule type="duplicateValues" dxfId="413" priority="167"/>
  </conditionalFormatting>
  <conditionalFormatting sqref="J53:J57 J59 J62 J64:J68 J80">
    <cfRule type="expression" dxfId="412" priority="403">
      <formula>$A53="PAID"</formula>
    </cfRule>
  </conditionalFormatting>
  <conditionalFormatting sqref="J69">
    <cfRule type="expression" dxfId="411" priority="4693">
      <formula>$A76="PAID"</formula>
    </cfRule>
    <cfRule type="expression" dxfId="410" priority="4694">
      <formula>$E76="STORAGE"</formula>
    </cfRule>
    <cfRule type="expression" dxfId="409" priority="4695">
      <formula>$E76="LOLO"</formula>
    </cfRule>
    <cfRule type="expression" dxfId="408" priority="4696">
      <formula>$E76="THC"</formula>
    </cfRule>
  </conditionalFormatting>
  <conditionalFormatting sqref="J70">
    <cfRule type="expression" dxfId="407" priority="4802">
      <formula>#REF!="PAID"</formula>
    </cfRule>
    <cfRule type="expression" dxfId="406" priority="4803">
      <formula>#REF!="STORAGE"</formula>
    </cfRule>
    <cfRule type="expression" dxfId="405" priority="4804">
      <formula>#REF!="LOLO"</formula>
    </cfRule>
    <cfRule type="expression" dxfId="404" priority="4805">
      <formula>#REF!="THC"</formula>
    </cfRule>
  </conditionalFormatting>
  <conditionalFormatting sqref="J71">
    <cfRule type="duplicateValues" dxfId="403" priority="115"/>
    <cfRule type="duplicateValues" dxfId="402" priority="116"/>
    <cfRule type="duplicateValues" dxfId="401" priority="117"/>
  </conditionalFormatting>
  <conditionalFormatting sqref="J72">
    <cfRule type="duplicateValues" dxfId="400" priority="93"/>
    <cfRule type="duplicateValues" dxfId="399" priority="94"/>
    <cfRule type="duplicateValues" dxfId="398" priority="95"/>
  </conditionalFormatting>
  <conditionalFormatting sqref="J73:J75">
    <cfRule type="duplicateValues" dxfId="397" priority="158"/>
    <cfRule type="duplicateValues" dxfId="396" priority="159"/>
    <cfRule type="duplicateValues" dxfId="395" priority="160"/>
  </conditionalFormatting>
  <conditionalFormatting sqref="J76">
    <cfRule type="duplicateValues" dxfId="394" priority="4662"/>
    <cfRule type="duplicateValues" dxfId="393" priority="4663"/>
    <cfRule type="duplicateValues" dxfId="392" priority="4664"/>
  </conditionalFormatting>
  <conditionalFormatting sqref="J82:J1048576 J1:J2 J77:J79 J55 J52 J42:J46 J48">
    <cfRule type="duplicateValues" dxfId="391" priority="487"/>
  </conditionalFormatting>
  <conditionalFormatting sqref="J26:K35 E27:G37 K36 J37:K37 K38 J39:K45 J45:J46 J48 J52">
    <cfRule type="expression" dxfId="390" priority="462">
      <formula>$E26="STORAGE"</formula>
    </cfRule>
    <cfRule type="expression" dxfId="389" priority="463">
      <formula>$E26="LOLO"</formula>
    </cfRule>
    <cfRule type="expression" dxfId="388" priority="464">
      <formula>$E26="THC"</formula>
    </cfRule>
  </conditionalFormatting>
  <conditionalFormatting sqref="J26:K35 E27:G37 K36 J37:K37 K38">
    <cfRule type="expression" dxfId="387" priority="461">
      <formula>$A26="PAID"</formula>
    </cfRule>
  </conditionalFormatting>
  <conditionalFormatting sqref="J39:K46 J48:K48 K49:K50 K47">
    <cfRule type="expression" dxfId="386" priority="457">
      <formula>$A39="PAID"</formula>
    </cfRule>
  </conditionalFormatting>
  <conditionalFormatting sqref="J52:K52">
    <cfRule type="expression" dxfId="385" priority="433">
      <formula>$A52="PAID"</formula>
    </cfRule>
  </conditionalFormatting>
  <conditionalFormatting sqref="J53:K53">
    <cfRule type="expression" dxfId="384" priority="404">
      <formula>$E53="STORAGE"</formula>
    </cfRule>
    <cfRule type="expression" dxfId="383" priority="405">
      <formula>$E53="LOLO"</formula>
    </cfRule>
    <cfRule type="expression" dxfId="382" priority="406">
      <formula>$E53="THC"</formula>
    </cfRule>
  </conditionalFormatting>
  <conditionalFormatting sqref="J54:K59 N59:O60 P59:XFD65 K60:K61 M61:O65 J62:K63 J64:J68 J80">
    <cfRule type="expression" dxfId="381" priority="379">
      <formula>$E54="STORAGE"</formula>
    </cfRule>
    <cfRule type="expression" dxfId="380" priority="380">
      <formula>$E54="LOLO"</formula>
    </cfRule>
    <cfRule type="expression" dxfId="379" priority="381">
      <formula>$E54="THC"</formula>
    </cfRule>
  </conditionalFormatting>
  <conditionalFormatting sqref="J73:Q75 S73:W75">
    <cfRule type="expression" dxfId="378" priority="138">
      <formula>#REF!="PAID"</formula>
    </cfRule>
  </conditionalFormatting>
  <conditionalFormatting sqref="J73:Q75 S73:XFD75">
    <cfRule type="expression" dxfId="377" priority="135">
      <formula>#REF!="STORAGE"</formula>
    </cfRule>
    <cfRule type="expression" dxfId="376" priority="136">
      <formula>#REF!="LOLO"</formula>
    </cfRule>
    <cfRule type="expression" dxfId="375" priority="137">
      <formula>#REF!="THC"</formula>
    </cfRule>
  </conditionalFormatting>
  <conditionalFormatting sqref="K3:K20">
    <cfRule type="expression" dxfId="374" priority="357">
      <formula>$A3="PAID"</formula>
    </cfRule>
    <cfRule type="expression" dxfId="373" priority="358">
      <formula>$E3="STORAGE"</formula>
    </cfRule>
    <cfRule type="expression" dxfId="372" priority="359">
      <formula>$E3="LOLO"</formula>
    </cfRule>
    <cfRule type="expression" dxfId="371" priority="360">
      <formula>$E3="THC"</formula>
    </cfRule>
    <cfRule type="expression" dxfId="370" priority="361">
      <formula>$D3=$O$2</formula>
    </cfRule>
  </conditionalFormatting>
  <conditionalFormatting sqref="K21:K24 E21:G26 B77:O77 A78:O79">
    <cfRule type="expression" dxfId="369" priority="483">
      <formula>$E21="STORAGE"</formula>
    </cfRule>
    <cfRule type="expression" dxfId="368" priority="484">
      <formula>$E21="LOLO"</formula>
    </cfRule>
    <cfRule type="expression" dxfId="367" priority="485">
      <formula>$E21="THC"</formula>
    </cfRule>
  </conditionalFormatting>
  <conditionalFormatting sqref="K21:K24 E21:G26">
    <cfRule type="expression" dxfId="366" priority="482">
      <formula>$A21="PAID"</formula>
    </cfRule>
  </conditionalFormatting>
  <conditionalFormatting sqref="K25">
    <cfRule type="expression" dxfId="365" priority="468">
      <formula>$A25="PAID"</formula>
    </cfRule>
    <cfRule type="expression" dxfId="364" priority="469">
      <formula>$E25="STORAGE"</formula>
    </cfRule>
    <cfRule type="expression" dxfId="363" priority="470">
      <formula>$E25="LOLO"</formula>
    </cfRule>
    <cfRule type="expression" dxfId="362" priority="471">
      <formula>$E25="THC"</formula>
    </cfRule>
  </conditionalFormatting>
  <conditionalFormatting sqref="K46:K49 M62:M65">
    <cfRule type="expression" dxfId="361" priority="458">
      <formula>$E46="STORAGE"</formula>
    </cfRule>
    <cfRule type="expression" dxfId="360" priority="459">
      <formula>$E46="LOLO"</formula>
    </cfRule>
    <cfRule type="expression" dxfId="359" priority="460">
      <formula>$E46="THC"</formula>
    </cfRule>
  </conditionalFormatting>
  <conditionalFormatting sqref="K50:K52 J48 P3:W7 X3:XFD55 P8:Q17 T8:W17 M21:O57 J46 Y56:XFD56 X57:XFD57 N58:XFD58 M58:M60">
    <cfRule type="expression" dxfId="358" priority="452">
      <formula>$E3="STORAGE"</formula>
    </cfRule>
    <cfRule type="expression" dxfId="357" priority="453">
      <formula>$E3="LOLO"</formula>
    </cfRule>
    <cfRule type="expression" dxfId="356" priority="454">
      <formula>$E3="THC"</formula>
    </cfRule>
  </conditionalFormatting>
  <conditionalFormatting sqref="K55:K57">
    <cfRule type="expression" dxfId="355" priority="432">
      <formula>$A55="PAID"</formula>
    </cfRule>
  </conditionalFormatting>
  <conditionalFormatting sqref="K64:K70 J71:K71 M66:W71 B70">
    <cfRule type="expression" dxfId="354" priority="104">
      <formula>$A64="PAID"</formula>
    </cfRule>
  </conditionalFormatting>
  <conditionalFormatting sqref="K64:K70 J71:K71">
    <cfRule type="expression" dxfId="353" priority="101">
      <formula>$E64="STORAGE"</formula>
    </cfRule>
    <cfRule type="expression" dxfId="352" priority="102">
      <formula>$E64="LOLO"</formula>
    </cfRule>
    <cfRule type="expression" dxfId="351" priority="103">
      <formula>$E64="THC"</formula>
    </cfRule>
  </conditionalFormatting>
  <conditionalFormatting sqref="L4:L71">
    <cfRule type="expression" dxfId="350" priority="118">
      <formula>$E4="STORAGE"</formula>
    </cfRule>
    <cfRule type="expression" dxfId="349" priority="119">
      <formula>$E4="LOLO"</formula>
    </cfRule>
    <cfRule type="expression" dxfId="348" priority="120">
      <formula>$E4="THC"</formula>
    </cfRule>
    <cfRule type="expression" dxfId="347" priority="121">
      <formula>$A4="PAID"</formula>
    </cfRule>
    <cfRule type="expression" dxfId="346" priority="122">
      <formula>$M4=$M$1</formula>
    </cfRule>
    <cfRule type="expression" dxfId="345" priority="128">
      <formula>$D4=$O$2</formula>
    </cfRule>
  </conditionalFormatting>
  <conditionalFormatting sqref="L78:L79">
    <cfRule type="expression" dxfId="344" priority="494">
      <formula>#REF!=$M$1</formula>
    </cfRule>
  </conditionalFormatting>
  <conditionalFormatting sqref="L3:M3 M4:M20 L72 L76 L77:M77">
    <cfRule type="expression" dxfId="343" priority="367">
      <formula>$M3=$M$1</formula>
    </cfRule>
  </conditionalFormatting>
  <conditionalFormatting sqref="L3:M3 M4:M20">
    <cfRule type="expression" dxfId="342" priority="363">
      <formula>$E3="STORAGE"</formula>
    </cfRule>
    <cfRule type="expression" dxfId="341" priority="364">
      <formula>$E3="LOLO"</formula>
    </cfRule>
    <cfRule type="expression" dxfId="340" priority="365">
      <formula>$E3="THC"</formula>
    </cfRule>
    <cfRule type="expression" dxfId="339" priority="366">
      <formula>$A3="PAID"</formula>
    </cfRule>
  </conditionalFormatting>
  <conditionalFormatting sqref="L73:M75">
    <cfRule type="expression" dxfId="338" priority="139">
      <formula>#REF!=#REF!</formula>
    </cfRule>
  </conditionalFormatting>
  <conditionalFormatting sqref="M4:M60 M61:P65 J42:K46 J48:K48 J52:K52 J55 K23:K41 E23:G49 K47 K49:K50 L3:M3 P3:W7 P8:Q17 T8:W17 P18:W30 N21:O57 B23:B50 P31:Q31 P32:W44 P45:Q46 P47:W50 F50:G50 E50:E57 P51:Q51 B52 F52:G52 P52:W57 B55 F55:G55 K55:K57 G56:G57 N58:W58 J58:K59 E58:G65 N59:P60 Q59:W65 K60:K61 J62:K63">
    <cfRule type="expression" dxfId="337" priority="491">
      <formula>$D3=$O$2</formula>
    </cfRule>
  </conditionalFormatting>
  <conditionalFormatting sqref="M21:M65">
    <cfRule type="expression" dxfId="336" priority="489">
      <formula>$M21=$M$1</formula>
    </cfRule>
  </conditionalFormatting>
  <conditionalFormatting sqref="M66:M72 M76">
    <cfRule type="expression" dxfId="335" priority="105">
      <formula>$E66="STORAGE"</formula>
    </cfRule>
    <cfRule type="expression" dxfId="334" priority="106">
      <formula>$E66="LOLO"</formula>
    </cfRule>
    <cfRule type="expression" dxfId="333" priority="107">
      <formula>$E66="THC"</formula>
    </cfRule>
    <cfRule type="expression" dxfId="332" priority="109">
      <formula>$M66=$M$1</formula>
    </cfRule>
  </conditionalFormatting>
  <conditionalFormatting sqref="M66:W71 K64:K70">
    <cfRule type="expression" dxfId="331" priority="111">
      <formula>$D64=$O$2</formula>
    </cfRule>
  </conditionalFormatting>
  <conditionalFormatting sqref="N3:O20">
    <cfRule type="expression" dxfId="330" priority="353">
      <formula>$E3="STORAGE"</formula>
    </cfRule>
    <cfRule type="expression" dxfId="329" priority="354">
      <formula>$E3="LOLO"</formula>
    </cfRule>
    <cfRule type="expression" dxfId="328" priority="355">
      <formula>$E3="THC"</formula>
    </cfRule>
    <cfRule type="expression" dxfId="327" priority="356">
      <formula>$D3=$O$2</formula>
    </cfRule>
  </conditionalFormatting>
  <conditionalFormatting sqref="P18:W57 R72:R76">
    <cfRule type="expression" dxfId="326" priority="16">
      <formula>$E18="STORAGE"</formula>
    </cfRule>
    <cfRule type="expression" dxfId="325" priority="17">
      <formula>$E18="LOLO"</formula>
    </cfRule>
    <cfRule type="expression" dxfId="324" priority="18">
      <formula>$E18="THC"</formula>
    </cfRule>
  </conditionalFormatting>
  <conditionalFormatting sqref="R8:S12 R31:W31 R45:W46 R51:W51 R72:R76">
    <cfRule type="expression" dxfId="323" priority="20">
      <formula>$D8=$O$2</formula>
    </cfRule>
  </conditionalFormatting>
  <conditionalFormatting sqref="R8:S13">
    <cfRule type="expression" dxfId="322" priority="2">
      <formula>$E8="STORAGE"</formula>
    </cfRule>
    <cfRule type="expression" dxfId="321" priority="3">
      <formula>$E8="LOLO"</formula>
    </cfRule>
    <cfRule type="expression" dxfId="320" priority="4">
      <formula>$E8="THC"</formula>
    </cfRule>
  </conditionalFormatting>
  <conditionalFormatting sqref="R13:S13">
    <cfRule type="expression" dxfId="319" priority="5">
      <formula>$A13="PAID"</formula>
    </cfRule>
  </conditionalFormatting>
  <conditionalFormatting sqref="R14:S16">
    <cfRule type="expression" dxfId="318" priority="6">
      <formula>#REF!="STORAGE"</formula>
    </cfRule>
    <cfRule type="expression" dxfId="317" priority="7">
      <formula>#REF!="LOLO"</formula>
    </cfRule>
    <cfRule type="expression" dxfId="316" priority="8">
      <formula>#REF!="THC"</formula>
    </cfRule>
    <cfRule type="expression" dxfId="315" priority="9">
      <formula>#REF!="PAID"</formula>
    </cfRule>
    <cfRule type="expression" dxfId="314" priority="10">
      <formula>#REF!=#REF!</formula>
    </cfRule>
  </conditionalFormatting>
  <conditionalFormatting sqref="R17:S17 R13:S13">
    <cfRule type="expression" dxfId="313" priority="15">
      <formula>$D13=$O$2</formula>
    </cfRule>
  </conditionalFormatting>
  <conditionalFormatting sqref="R17:S17">
    <cfRule type="expression" dxfId="312" priority="11">
      <formula>$E17="STORAGE"</formula>
    </cfRule>
    <cfRule type="expression" dxfId="311" priority="12">
      <formula>$E17="LOLO"</formula>
    </cfRule>
    <cfRule type="expression" dxfId="310" priority="13">
      <formula>$E17="THC"</formula>
    </cfRule>
    <cfRule type="expression" dxfId="309" priority="14">
      <formula>$A17="PAID"</formula>
    </cfRule>
  </conditionalFormatting>
  <conditionalFormatting sqref="R31:W31 R45:W46 R51:W51 R72:R76 R8:S17">
    <cfRule type="expression" dxfId="308" priority="19">
      <formula>$A8="PAID"</formula>
    </cfRule>
  </conditionalFormatting>
  <conditionalFormatting sqref="X43:X48">
    <cfRule type="expression" dxfId="307" priority="4423">
      <formula>$A43="PAID"</formula>
    </cfRule>
    <cfRule type="expression" dxfId="306" priority="4424">
      <formula>$D43=$O$2</formula>
    </cfRule>
    <cfRule type="duplicateValues" dxfId="305" priority="4425"/>
    <cfRule type="duplicateValues" dxfId="304" priority="4426"/>
  </conditionalFormatting>
  <pageMargins left="0.7" right="0.7" top="0.75" bottom="0.75" header="0.3" footer="0.3"/>
  <pageSetup paperSize="9" scale="66" orientation="portrait" r:id="rId1"/>
  <rowBreaks count="1" manualBreakCount="1">
    <brk id="2" max="21" man="1"/>
  </rowBreaks>
  <colBreaks count="2" manualBreakCount="2">
    <brk id="7" max="82" man="1"/>
    <brk id="14" max="79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view="pageBreakPreview" topLeftCell="D1" zoomScale="70" zoomScaleNormal="70" zoomScaleSheetLayoutView="70" workbookViewId="0">
      <selection activeCell="O31" sqref="O31"/>
    </sheetView>
  </sheetViews>
  <sheetFormatPr defaultColWidth="14" defaultRowHeight="15" customHeight="1"/>
  <cols>
    <col min="1" max="1" width="14" style="9"/>
    <col min="2" max="2" width="7.7109375" style="9" customWidth="1"/>
    <col min="3" max="3" width="14" style="9"/>
    <col min="4" max="4" width="23.85546875" style="9" customWidth="1"/>
    <col min="5" max="5" width="11.5703125" style="9" customWidth="1"/>
    <col min="6" max="6" width="15.5703125" style="8" customWidth="1"/>
    <col min="7" max="7" width="18.42578125" style="9" customWidth="1"/>
    <col min="8" max="8" width="15.42578125" style="9" customWidth="1"/>
    <col min="9" max="9" width="20" style="9" customWidth="1"/>
    <col min="10" max="10" width="19.42578125" style="9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1" width="14" style="9"/>
    <col min="22" max="22" width="15.42578125" style="9" customWidth="1"/>
    <col min="23" max="23" width="60" style="8" bestFit="1" customWidth="1"/>
    <col min="24" max="16384" width="14" style="9"/>
  </cols>
  <sheetData>
    <row r="1" spans="1:24">
      <c r="A1" s="8"/>
      <c r="C1" s="10"/>
      <c r="D1" s="10"/>
      <c r="E1" s="5" t="s">
        <v>0</v>
      </c>
      <c r="F1" s="290"/>
      <c r="G1" s="6"/>
      <c r="H1" s="11"/>
      <c r="I1" s="12"/>
      <c r="J1" s="13"/>
      <c r="K1" s="13"/>
      <c r="L1" s="11"/>
      <c r="M1" s="11" t="s">
        <v>193</v>
      </c>
      <c r="V1" s="8"/>
    </row>
    <row r="2" spans="1:24" ht="47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1558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37" t="s">
        <v>1233</v>
      </c>
      <c r="Q2" s="123" t="s">
        <v>2</v>
      </c>
      <c r="R2" s="127" t="s">
        <v>17</v>
      </c>
      <c r="S2" s="128" t="s">
        <v>15</v>
      </c>
      <c r="T2" s="128" t="s">
        <v>16</v>
      </c>
      <c r="U2" s="128" t="s">
        <v>12</v>
      </c>
      <c r="V2" s="129" t="s">
        <v>194</v>
      </c>
      <c r="W2" s="123" t="s">
        <v>6</v>
      </c>
    </row>
    <row r="3" spans="1:24" ht="18" customHeight="1">
      <c r="A3" s="14" t="s">
        <v>207</v>
      </c>
      <c r="B3" s="15">
        <v>11</v>
      </c>
      <c r="C3" s="16" t="str">
        <f>INDEX(PORT!$B$2:$B$20,MATCH('08'!B3,PORT!$A$2:$A$20))</f>
        <v>SHV11</v>
      </c>
      <c r="D3" s="10" t="str">
        <f>INDEX(PORT!$C$2:$C$20,MATCH('08'!B3,PORT!$A$2:$A$20))</f>
        <v>SHV PORT</v>
      </c>
      <c r="E3" s="18" t="s">
        <v>1528</v>
      </c>
      <c r="F3" s="18">
        <v>46235</v>
      </c>
      <c r="G3" s="19" t="s">
        <v>10</v>
      </c>
      <c r="H3" s="49" t="s">
        <v>1556</v>
      </c>
      <c r="I3" s="49" t="s">
        <v>1557</v>
      </c>
      <c r="J3" s="142" t="s">
        <v>1546</v>
      </c>
      <c r="K3" s="194">
        <v>46237</v>
      </c>
      <c r="L3" s="21" t="str">
        <f>VLOOKUP(K3,'[8]Exchange Rate'!$A$3:$D$23,3,FALSE)</f>
        <v>4047</v>
      </c>
      <c r="M3" s="20" t="str">
        <f t="shared" ref="M3:M39" si="0">TEXT(K3,"dddd")</f>
        <v>Monday</v>
      </c>
      <c r="N3" s="26">
        <v>280.20999999999998</v>
      </c>
      <c r="O3" s="233">
        <v>0</v>
      </c>
      <c r="P3" s="233">
        <v>0</v>
      </c>
      <c r="Q3" s="22">
        <v>50</v>
      </c>
      <c r="R3" s="182">
        <v>150</v>
      </c>
      <c r="S3" s="182">
        <v>27.21</v>
      </c>
      <c r="T3" s="182">
        <f t="shared" ref="T3:T39" si="1">ROUND(R3*10%,2)</f>
        <v>15</v>
      </c>
      <c r="U3" s="182">
        <v>324.68</v>
      </c>
      <c r="V3" s="24">
        <f>(R3+S3+U3)-(N3+O3+Q3+P3)</f>
        <v>171.68</v>
      </c>
      <c r="W3" s="17"/>
    </row>
    <row r="4" spans="1:24" ht="18" customHeight="1">
      <c r="A4" s="14" t="s">
        <v>207</v>
      </c>
      <c r="B4" s="15">
        <v>1</v>
      </c>
      <c r="C4" s="16" t="str">
        <f>INDEX(PORT!$B$2:$B$20,MATCH('08'!B4,PORT!$A$2:$A$20))</f>
        <v>PNH01</v>
      </c>
      <c r="D4" s="10" t="str">
        <f>INDEX(PORT!$C$2:$C$20,MATCH('08'!B4,PORT!$A$2:$A$20))</f>
        <v>KTI AIR PORT</v>
      </c>
      <c r="E4" s="18" t="s">
        <v>1597</v>
      </c>
      <c r="F4" s="18">
        <v>46235</v>
      </c>
      <c r="G4" s="19" t="s">
        <v>351</v>
      </c>
      <c r="H4" s="49" t="s">
        <v>1566</v>
      </c>
      <c r="I4" s="49" t="s">
        <v>1567</v>
      </c>
      <c r="J4" s="142" t="s">
        <v>1554</v>
      </c>
      <c r="K4" s="194">
        <v>46237</v>
      </c>
      <c r="L4" s="21" t="str">
        <f>VLOOKUP(K4,'[8]Exchange Rate'!$A$3:$D$23,3,FALSE)</f>
        <v>4047</v>
      </c>
      <c r="M4" s="20" t="str">
        <f t="shared" si="0"/>
        <v>Monday</v>
      </c>
      <c r="N4" s="26">
        <v>262.49</v>
      </c>
      <c r="O4" s="233">
        <v>0</v>
      </c>
      <c r="P4" s="233">
        <v>0</v>
      </c>
      <c r="Q4" s="22">
        <v>50</v>
      </c>
      <c r="R4" s="182">
        <v>210</v>
      </c>
      <c r="S4" s="182">
        <v>142.49</v>
      </c>
      <c r="T4" s="182">
        <f t="shared" si="1"/>
        <v>21</v>
      </c>
      <c r="U4" s="182">
        <v>180</v>
      </c>
      <c r="V4" s="24">
        <f t="shared" ref="V4:V39" si="2">(R4+S4+U4)-(N4+O4+Q4+P4)</f>
        <v>220</v>
      </c>
      <c r="W4" s="17"/>
    </row>
    <row r="5" spans="1:24" ht="18" customHeight="1">
      <c r="A5" s="14" t="s">
        <v>207</v>
      </c>
      <c r="B5" s="15">
        <v>21</v>
      </c>
      <c r="C5" s="16" t="str">
        <f>INDEX(PORT!$B$2:$B$20,MATCH('08'!B5,PORT!$A$2:$A$20))</f>
        <v>PNH21</v>
      </c>
      <c r="D5" s="10" t="str">
        <f>INDEX(PORT!$C$2:$C$20,MATCH('08'!B5,PORT!$A$2:$A$20))</f>
        <v>OLAIR DRY PORT</v>
      </c>
      <c r="E5" s="18" t="s">
        <v>1541</v>
      </c>
      <c r="F5" s="18">
        <v>46238</v>
      </c>
      <c r="G5" s="19" t="s">
        <v>4</v>
      </c>
      <c r="H5" s="49" t="s">
        <v>1568</v>
      </c>
      <c r="I5" s="49" t="s">
        <v>1569</v>
      </c>
      <c r="J5" s="142" t="s">
        <v>1547</v>
      </c>
      <c r="K5" s="194">
        <v>46239</v>
      </c>
      <c r="L5" s="21" t="str">
        <f>VLOOKUP(K5,'[8]Exchange Rate'!$A$3:$D$23,3,FALSE)</f>
        <v>4053</v>
      </c>
      <c r="M5" s="20" t="str">
        <f t="shared" si="0"/>
        <v>Wednesday</v>
      </c>
      <c r="N5" s="26">
        <v>135</v>
      </c>
      <c r="O5" s="233">
        <v>176</v>
      </c>
      <c r="P5" s="233">
        <v>0</v>
      </c>
      <c r="Q5" s="22">
        <v>50</v>
      </c>
      <c r="R5" s="182">
        <v>150</v>
      </c>
      <c r="S5" s="182">
        <v>201</v>
      </c>
      <c r="T5" s="182">
        <f t="shared" si="1"/>
        <v>15</v>
      </c>
      <c r="U5" s="182">
        <v>159</v>
      </c>
      <c r="V5" s="24">
        <f t="shared" si="2"/>
        <v>149</v>
      </c>
      <c r="W5" s="17"/>
    </row>
    <row r="6" spans="1:24" s="37" customFormat="1" ht="18" customHeight="1">
      <c r="A6" s="14" t="s">
        <v>207</v>
      </c>
      <c r="B6" s="15">
        <v>21</v>
      </c>
      <c r="C6" s="16" t="str">
        <f>INDEX(PORT!$B$2:$B$20,MATCH('08'!B6,PORT!$A$2:$A$20))</f>
        <v>PNH21</v>
      </c>
      <c r="D6" s="10" t="str">
        <f>INDEX(PORT!$C$2:$C$20,MATCH('08'!B6,PORT!$A$2:$A$20))</f>
        <v>OLAIR DRY PORT</v>
      </c>
      <c r="E6" s="18" t="s">
        <v>1543</v>
      </c>
      <c r="F6" s="18">
        <v>46238</v>
      </c>
      <c r="G6" s="19" t="s">
        <v>10</v>
      </c>
      <c r="H6" s="49" t="s">
        <v>1570</v>
      </c>
      <c r="I6" s="49" t="s">
        <v>1571</v>
      </c>
      <c r="J6" s="142" t="s">
        <v>1548</v>
      </c>
      <c r="K6" s="194">
        <v>46239</v>
      </c>
      <c r="L6" s="21" t="str">
        <f>VLOOKUP(K6,'[8]Exchange Rate'!$A$3:$D$23,3,FALSE)</f>
        <v>4053</v>
      </c>
      <c r="M6" s="20" t="str">
        <f t="shared" si="0"/>
        <v>Wednesday</v>
      </c>
      <c r="N6" s="26">
        <v>112.7</v>
      </c>
      <c r="O6" s="233">
        <v>221.65</v>
      </c>
      <c r="P6" s="233">
        <v>0</v>
      </c>
      <c r="Q6" s="22">
        <v>50</v>
      </c>
      <c r="R6" s="182">
        <v>150</v>
      </c>
      <c r="S6" s="182">
        <v>247.35</v>
      </c>
      <c r="T6" s="182">
        <f t="shared" si="1"/>
        <v>15</v>
      </c>
      <c r="U6" s="182">
        <v>109.5</v>
      </c>
      <c r="V6" s="24">
        <f t="shared" si="2"/>
        <v>122.5</v>
      </c>
      <c r="W6" s="17"/>
    </row>
    <row r="7" spans="1:24" s="37" customFormat="1" ht="18" customHeight="1">
      <c r="A7" s="14" t="s">
        <v>207</v>
      </c>
      <c r="B7" s="15">
        <v>1</v>
      </c>
      <c r="C7" s="16" t="str">
        <f>INDEX(PORT!$B$2:$B$20,MATCH('08'!B7,PORT!$A$2:$A$20))</f>
        <v>PNH01</v>
      </c>
      <c r="D7" s="10" t="str">
        <f>INDEX(PORT!$C$2:$C$20,MATCH('08'!B7,PORT!$A$2:$A$20))</f>
        <v>KTI AIR PORT</v>
      </c>
      <c r="E7" s="18" t="s">
        <v>1544</v>
      </c>
      <c r="F7" s="18">
        <v>46238</v>
      </c>
      <c r="G7" s="19" t="s">
        <v>10</v>
      </c>
      <c r="H7" s="49" t="s">
        <v>1572</v>
      </c>
      <c r="I7" s="49" t="s">
        <v>1573</v>
      </c>
      <c r="J7" s="142" t="s">
        <v>1549</v>
      </c>
      <c r="K7" s="194">
        <v>46239</v>
      </c>
      <c r="L7" s="21" t="str">
        <f>VLOOKUP(K7,'[8]Exchange Rate'!$A$3:$D$23,3,FALSE)</f>
        <v>4053</v>
      </c>
      <c r="M7" s="20" t="str">
        <f t="shared" si="0"/>
        <v>Wednesday</v>
      </c>
      <c r="N7" s="26">
        <v>481.52</v>
      </c>
      <c r="O7" s="233">
        <v>77</v>
      </c>
      <c r="P7" s="233">
        <v>0</v>
      </c>
      <c r="Q7" s="22">
        <v>50</v>
      </c>
      <c r="R7" s="182">
        <v>265</v>
      </c>
      <c r="S7" s="182">
        <v>363.52</v>
      </c>
      <c r="T7" s="182">
        <f t="shared" si="1"/>
        <v>26.5</v>
      </c>
      <c r="U7" s="182">
        <v>314</v>
      </c>
      <c r="V7" s="24">
        <f t="shared" si="2"/>
        <v>334</v>
      </c>
      <c r="W7" s="17"/>
    </row>
    <row r="8" spans="1:24" s="37" customFormat="1" ht="18" customHeight="1">
      <c r="A8" s="14" t="s">
        <v>207</v>
      </c>
      <c r="B8" s="15">
        <v>1</v>
      </c>
      <c r="C8" s="16" t="str">
        <f>INDEX(PORT!$B$2:$B$20,MATCH('08'!B8,PORT!$A$2:$A$20))</f>
        <v>PNH01</v>
      </c>
      <c r="D8" s="10" t="str">
        <f>INDEX(PORT!$C$2:$C$20,MATCH('08'!B8,PORT!$A$2:$A$20))</f>
        <v>KTI AIR PORT</v>
      </c>
      <c r="E8" s="18" t="s">
        <v>1539</v>
      </c>
      <c r="F8" s="18">
        <v>46239</v>
      </c>
      <c r="G8" s="19" t="s">
        <v>4</v>
      </c>
      <c r="H8" s="49" t="s">
        <v>1574</v>
      </c>
      <c r="I8" s="49" t="s">
        <v>1575</v>
      </c>
      <c r="J8" s="142" t="s">
        <v>1550</v>
      </c>
      <c r="K8" s="194">
        <v>46240</v>
      </c>
      <c r="L8" s="21" t="str">
        <f>VLOOKUP(K8,'[8]Exchange Rate'!$A$3:$D$23,3,FALSE)</f>
        <v>4055</v>
      </c>
      <c r="M8" s="20" t="str">
        <f t="shared" si="0"/>
        <v>Thursday</v>
      </c>
      <c r="N8" s="26">
        <v>116.22</v>
      </c>
      <c r="O8" s="233">
        <v>0</v>
      </c>
      <c r="P8" s="233">
        <v>0</v>
      </c>
      <c r="Q8" s="22">
        <v>50</v>
      </c>
      <c r="R8" s="182">
        <v>150</v>
      </c>
      <c r="S8" s="182">
        <v>46.22</v>
      </c>
      <c r="T8" s="182">
        <f t="shared" si="1"/>
        <v>15</v>
      </c>
      <c r="U8" s="182">
        <v>60</v>
      </c>
      <c r="V8" s="24">
        <f t="shared" si="2"/>
        <v>90.000000000000028</v>
      </c>
      <c r="W8" s="17"/>
      <c r="X8" s="258"/>
    </row>
    <row r="9" spans="1:24" s="37" customFormat="1" ht="18" customHeight="1">
      <c r="A9" s="14" t="s">
        <v>207</v>
      </c>
      <c r="B9" s="15">
        <v>1</v>
      </c>
      <c r="C9" s="16" t="str">
        <f>INDEX(PORT!$B$2:$B$20,MATCH('08'!B9,PORT!$A$2:$A$20))</f>
        <v>PNH01</v>
      </c>
      <c r="D9" s="10" t="str">
        <f>INDEX(PORT!$C$2:$C$20,MATCH('08'!B9,PORT!$A$2:$A$20))</f>
        <v>KTI AIR PORT</v>
      </c>
      <c r="E9" s="18" t="s">
        <v>1540</v>
      </c>
      <c r="F9" s="18">
        <v>46239</v>
      </c>
      <c r="G9" s="19" t="s">
        <v>4</v>
      </c>
      <c r="H9" s="49" t="s">
        <v>1576</v>
      </c>
      <c r="I9" s="49" t="s">
        <v>1577</v>
      </c>
      <c r="J9" s="142" t="s">
        <v>1551</v>
      </c>
      <c r="K9" s="194">
        <v>46240</v>
      </c>
      <c r="L9" s="21" t="str">
        <f>VLOOKUP(K9,'[8]Exchange Rate'!$A$3:$D$23,3,FALSE)</f>
        <v>4055</v>
      </c>
      <c r="M9" s="20" t="str">
        <f t="shared" si="0"/>
        <v>Thursday</v>
      </c>
      <c r="N9" s="26">
        <v>106.89</v>
      </c>
      <c r="O9" s="233">
        <v>0</v>
      </c>
      <c r="P9" s="233">
        <v>0</v>
      </c>
      <c r="Q9" s="22">
        <v>50</v>
      </c>
      <c r="R9" s="182">
        <v>150</v>
      </c>
      <c r="S9" s="182">
        <v>36.89</v>
      </c>
      <c r="T9" s="182">
        <f t="shared" si="1"/>
        <v>15</v>
      </c>
      <c r="U9" s="182">
        <v>60</v>
      </c>
      <c r="V9" s="24">
        <f t="shared" si="2"/>
        <v>90</v>
      </c>
      <c r="W9" s="17"/>
    </row>
    <row r="10" spans="1:24" ht="18" customHeight="1">
      <c r="A10" s="14" t="s">
        <v>207</v>
      </c>
      <c r="B10" s="15">
        <v>1</v>
      </c>
      <c r="C10" s="16" t="str">
        <f>INDEX(PORT!$B$2:$B$20,MATCH('08'!B10,PORT!$A$2:$A$20))</f>
        <v>PNH01</v>
      </c>
      <c r="D10" s="10" t="str">
        <f>INDEX(PORT!$C$2:$C$20,MATCH('08'!B10,PORT!$A$2:$A$20))</f>
        <v>KTI AIR PORT</v>
      </c>
      <c r="E10" s="18" t="s">
        <v>1542</v>
      </c>
      <c r="F10" s="18">
        <v>46239</v>
      </c>
      <c r="G10" s="19" t="s">
        <v>4</v>
      </c>
      <c r="H10" s="49" t="s">
        <v>1578</v>
      </c>
      <c r="I10" s="49" t="s">
        <v>1579</v>
      </c>
      <c r="J10" s="142" t="s">
        <v>1552</v>
      </c>
      <c r="K10" s="194">
        <v>46240</v>
      </c>
      <c r="L10" s="21" t="str">
        <f>VLOOKUP(K10,'[8]Exchange Rate'!$A$3:$D$23,3,FALSE)</f>
        <v>4055</v>
      </c>
      <c r="M10" s="20" t="str">
        <f t="shared" si="0"/>
        <v>Thursday</v>
      </c>
      <c r="N10" s="26">
        <v>166.74</v>
      </c>
      <c r="O10" s="233">
        <v>0</v>
      </c>
      <c r="P10" s="233">
        <v>0</v>
      </c>
      <c r="Q10" s="22">
        <v>50</v>
      </c>
      <c r="R10" s="182">
        <v>150</v>
      </c>
      <c r="S10" s="182">
        <v>21.74</v>
      </c>
      <c r="T10" s="182">
        <f t="shared" si="1"/>
        <v>15</v>
      </c>
      <c r="U10" s="182">
        <v>196.75</v>
      </c>
      <c r="V10" s="24">
        <f t="shared" si="2"/>
        <v>151.75</v>
      </c>
      <c r="W10" s="17"/>
    </row>
    <row r="11" spans="1:24" s="37" customFormat="1" ht="18" customHeight="1">
      <c r="A11" s="14" t="s">
        <v>207</v>
      </c>
      <c r="B11" s="15">
        <v>1</v>
      </c>
      <c r="C11" s="16" t="str">
        <f>INDEX(PORT!$B$2:$B$20,MATCH('08'!B11,PORT!$A$2:$A$20))</f>
        <v>PNH01</v>
      </c>
      <c r="D11" s="10" t="str">
        <f>INDEX(PORT!$C$2:$C$20,MATCH('08'!B11,PORT!$A$2:$A$20))</f>
        <v>KTI AIR PORT</v>
      </c>
      <c r="E11" s="18" t="s">
        <v>1545</v>
      </c>
      <c r="F11" s="18">
        <v>46239</v>
      </c>
      <c r="G11" s="19" t="s">
        <v>10</v>
      </c>
      <c r="H11" s="49" t="s">
        <v>1580</v>
      </c>
      <c r="I11" s="49" t="s">
        <v>1581</v>
      </c>
      <c r="J11" s="142" t="s">
        <v>1553</v>
      </c>
      <c r="K11" s="194">
        <v>46240</v>
      </c>
      <c r="L11" s="21" t="str">
        <f>VLOOKUP(K11,'[8]Exchange Rate'!$A$3:$D$23,3,FALSE)</f>
        <v>4055</v>
      </c>
      <c r="M11" s="20" t="str">
        <f t="shared" si="0"/>
        <v>Thursday</v>
      </c>
      <c r="N11" s="26">
        <v>158.5</v>
      </c>
      <c r="O11" s="233">
        <v>0</v>
      </c>
      <c r="P11" s="233">
        <v>0</v>
      </c>
      <c r="Q11" s="22">
        <v>50</v>
      </c>
      <c r="R11" s="182">
        <v>150</v>
      </c>
      <c r="S11" s="182">
        <v>23.5</v>
      </c>
      <c r="T11" s="182">
        <f t="shared" si="1"/>
        <v>15</v>
      </c>
      <c r="U11" s="182">
        <v>130.75</v>
      </c>
      <c r="V11" s="24">
        <f t="shared" si="2"/>
        <v>95.75</v>
      </c>
      <c r="W11" s="17"/>
      <c r="X11" s="50"/>
    </row>
    <row r="12" spans="1:24" s="37" customFormat="1" ht="18" customHeight="1">
      <c r="A12" s="14" t="s">
        <v>207</v>
      </c>
      <c r="B12" s="15">
        <v>1</v>
      </c>
      <c r="C12" s="16" t="str">
        <f>INDEX(PORT!$B$2:$B$20,MATCH('08'!B12,PORT!$A$2:$A$20))</f>
        <v>PNH01</v>
      </c>
      <c r="D12" s="10" t="str">
        <f>INDEX(PORT!$C$2:$C$20,MATCH('08'!B12,PORT!$A$2:$A$20))</f>
        <v>KTI AIR PORT</v>
      </c>
      <c r="E12" s="18" t="s">
        <v>1598</v>
      </c>
      <c r="F12" s="18">
        <v>46240</v>
      </c>
      <c r="G12" s="19" t="s">
        <v>351</v>
      </c>
      <c r="H12" s="49" t="s">
        <v>1582</v>
      </c>
      <c r="I12" s="49" t="s">
        <v>1583</v>
      </c>
      <c r="J12" s="142" t="s">
        <v>1555</v>
      </c>
      <c r="K12" s="194">
        <v>46241</v>
      </c>
      <c r="L12" s="21" t="str">
        <f>VLOOKUP(K12,'[8]Exchange Rate'!$A$3:$D$23,3,FALSE)</f>
        <v>4054</v>
      </c>
      <c r="M12" s="20" t="str">
        <f t="shared" si="0"/>
        <v>Friday</v>
      </c>
      <c r="N12" s="26">
        <v>252.2</v>
      </c>
      <c r="O12" s="233">
        <v>0</v>
      </c>
      <c r="P12" s="233">
        <v>0</v>
      </c>
      <c r="Q12" s="22">
        <v>50</v>
      </c>
      <c r="R12" s="182">
        <v>210</v>
      </c>
      <c r="S12" s="182">
        <v>132.19999999999999</v>
      </c>
      <c r="T12" s="182">
        <f t="shared" si="1"/>
        <v>21</v>
      </c>
      <c r="U12" s="182">
        <v>180</v>
      </c>
      <c r="V12" s="24">
        <f t="shared" si="2"/>
        <v>220.00000000000006</v>
      </c>
      <c r="W12" s="17"/>
      <c r="X12" s="50"/>
    </row>
    <row r="13" spans="1:24" s="37" customFormat="1" ht="18" customHeight="1">
      <c r="A13" s="14" t="s">
        <v>207</v>
      </c>
      <c r="B13" s="15" t="s">
        <v>192</v>
      </c>
      <c r="C13" s="16" t="str">
        <f>INDEX(PORT!$B$2:$B$20,MATCH('08'!B13,PORT!$A$2:$A$20))</f>
        <v>SVR11</v>
      </c>
      <c r="D13" s="10" t="str">
        <f>INDEX(PORT!$C$2:$C$20,MATCH('08'!B13,PORT!$A$2:$A$20))</f>
        <v>BAVET CEO</v>
      </c>
      <c r="E13" s="18" t="s">
        <v>1602</v>
      </c>
      <c r="F13" s="18">
        <v>46242</v>
      </c>
      <c r="G13" s="19" t="s">
        <v>10</v>
      </c>
      <c r="H13" s="49" t="s">
        <v>1584</v>
      </c>
      <c r="I13" s="49" t="s">
        <v>1585</v>
      </c>
      <c r="J13" s="142" t="s">
        <v>1594</v>
      </c>
      <c r="K13" s="194">
        <v>46244</v>
      </c>
      <c r="L13" s="21" t="str">
        <f>VLOOKUP(K13,'[8]Exchange Rate'!$A$3:$D$23,3,FALSE)</f>
        <v>4053</v>
      </c>
      <c r="M13" s="20" t="str">
        <f t="shared" si="0"/>
        <v>Monday</v>
      </c>
      <c r="N13" s="26">
        <v>134</v>
      </c>
      <c r="O13" s="233">
        <v>0</v>
      </c>
      <c r="P13" s="233">
        <v>0</v>
      </c>
      <c r="Q13" s="22">
        <v>50</v>
      </c>
      <c r="R13" s="182">
        <v>230</v>
      </c>
      <c r="S13" s="182">
        <v>14</v>
      </c>
      <c r="T13" s="182">
        <f t="shared" si="1"/>
        <v>23</v>
      </c>
      <c r="U13" s="182">
        <v>55</v>
      </c>
      <c r="V13" s="24">
        <f t="shared" si="2"/>
        <v>115</v>
      </c>
      <c r="W13" s="17"/>
    </row>
    <row r="14" spans="1:24" s="50" customFormat="1" ht="18" customHeight="1">
      <c r="A14" s="14" t="s">
        <v>207</v>
      </c>
      <c r="B14" s="15">
        <v>19</v>
      </c>
      <c r="C14" s="16" t="str">
        <f>INDEX(PORT!$B$2:$B$20,MATCH('08'!B14,PORT!$A$2:$A$20))</f>
        <v>PNH19</v>
      </c>
      <c r="D14" s="10" t="str">
        <f>INDEX(PORT!$C$2:$C$20,MATCH('08'!B14,PORT!$A$2:$A$20))</f>
        <v>TEC SRUN DRYPORT</v>
      </c>
      <c r="E14" s="18" t="s">
        <v>1601</v>
      </c>
      <c r="F14" s="18">
        <v>46244</v>
      </c>
      <c r="G14" s="19" t="s">
        <v>10</v>
      </c>
      <c r="H14" s="49" t="s">
        <v>1586</v>
      </c>
      <c r="I14" s="49" t="s">
        <v>1587</v>
      </c>
      <c r="J14" s="142" t="s">
        <v>1595</v>
      </c>
      <c r="K14" s="194">
        <v>46245</v>
      </c>
      <c r="L14" s="21" t="str">
        <f>VLOOKUP(K14,'[8]Exchange Rate'!$A$3:$D$23,3,FALSE)</f>
        <v>4051</v>
      </c>
      <c r="M14" s="20" t="str">
        <f t="shared" si="0"/>
        <v>Tuesday</v>
      </c>
      <c r="N14" s="26">
        <v>113.1</v>
      </c>
      <c r="O14" s="233">
        <v>222.92</v>
      </c>
      <c r="P14" s="233">
        <v>0</v>
      </c>
      <c r="Q14" s="22">
        <v>50</v>
      </c>
      <c r="R14" s="182">
        <v>150</v>
      </c>
      <c r="S14" s="182">
        <v>249.02</v>
      </c>
      <c r="T14" s="182">
        <f t="shared" si="1"/>
        <v>15</v>
      </c>
      <c r="U14" s="182">
        <v>109.5</v>
      </c>
      <c r="V14" s="24">
        <f t="shared" si="2"/>
        <v>122.5</v>
      </c>
      <c r="W14" s="17"/>
      <c r="X14" s="9"/>
    </row>
    <row r="15" spans="1:24" s="50" customFormat="1" ht="18" customHeight="1">
      <c r="A15" s="14" t="s">
        <v>207</v>
      </c>
      <c r="B15" s="15">
        <v>19</v>
      </c>
      <c r="C15" s="16" t="str">
        <f>INDEX(PORT!$B$2:$B$20,MATCH('08'!B15,PORT!$A$2:$A$20))</f>
        <v>PNH19</v>
      </c>
      <c r="D15" s="10" t="str">
        <f>INDEX(PORT!$C$2:$C$20,MATCH('08'!B15,PORT!$A$2:$A$20))</f>
        <v>TEC SRUN DRYPORT</v>
      </c>
      <c r="E15" s="18" t="s">
        <v>1604</v>
      </c>
      <c r="F15" s="18">
        <v>46244</v>
      </c>
      <c r="G15" s="19" t="s">
        <v>4</v>
      </c>
      <c r="H15" s="49" t="s">
        <v>1588</v>
      </c>
      <c r="I15" s="49" t="s">
        <v>1589</v>
      </c>
      <c r="J15" s="142" t="s">
        <v>1592</v>
      </c>
      <c r="K15" s="194">
        <v>46245</v>
      </c>
      <c r="L15" s="21" t="str">
        <f>VLOOKUP(K15,'[8]Exchange Rate'!$A$3:$D$23,3,FALSE)</f>
        <v>4051</v>
      </c>
      <c r="M15" s="20" t="str">
        <f t="shared" si="0"/>
        <v>Tuesday</v>
      </c>
      <c r="N15" s="26">
        <v>136.1</v>
      </c>
      <c r="O15" s="233">
        <v>193.6</v>
      </c>
      <c r="P15" s="233">
        <v>0</v>
      </c>
      <c r="Q15" s="22">
        <v>50</v>
      </c>
      <c r="R15" s="182">
        <v>150</v>
      </c>
      <c r="S15" s="182">
        <v>219.7</v>
      </c>
      <c r="T15" s="182">
        <f t="shared" si="1"/>
        <v>15</v>
      </c>
      <c r="U15" s="182">
        <v>159</v>
      </c>
      <c r="V15" s="24">
        <f t="shared" si="2"/>
        <v>149.00000000000006</v>
      </c>
      <c r="W15" s="17"/>
      <c r="X15" s="9"/>
    </row>
    <row r="16" spans="1:24" s="37" customFormat="1" ht="16.5" customHeight="1">
      <c r="A16" s="14" t="s">
        <v>207</v>
      </c>
      <c r="B16" s="15">
        <v>1</v>
      </c>
      <c r="C16" s="16" t="str">
        <f>INDEX(PORT!$B$2:$B$20,MATCH('08'!B16,PORT!$A$2:$A$20))</f>
        <v>PNH01</v>
      </c>
      <c r="D16" s="10" t="str">
        <f>INDEX(PORT!$C$2:$C$20,MATCH('08'!B16,PORT!$A$2:$A$20))</f>
        <v>KTI AIR PORT</v>
      </c>
      <c r="E16" s="18" t="s">
        <v>1564</v>
      </c>
      <c r="F16" s="18">
        <v>46246</v>
      </c>
      <c r="G16" s="19" t="s">
        <v>351</v>
      </c>
      <c r="H16" s="49" t="s">
        <v>1605</v>
      </c>
      <c r="I16" s="49" t="s">
        <v>1606</v>
      </c>
      <c r="J16" s="167" t="s">
        <v>1590</v>
      </c>
      <c r="K16" s="194">
        <v>46247</v>
      </c>
      <c r="L16" s="21" t="str">
        <f>VLOOKUP(K16,'[8]Exchange Rate'!$A$3:$D$23,3,FALSE)</f>
        <v>4046</v>
      </c>
      <c r="M16" s="20" t="str">
        <f t="shared" si="0"/>
        <v>Thursday</v>
      </c>
      <c r="N16" s="26">
        <v>143.06</v>
      </c>
      <c r="O16" s="55">
        <v>0</v>
      </c>
      <c r="P16" s="55">
        <v>0</v>
      </c>
      <c r="Q16" s="22">
        <v>50</v>
      </c>
      <c r="R16" s="204">
        <v>175</v>
      </c>
      <c r="S16" s="204">
        <v>72.8</v>
      </c>
      <c r="T16" s="204">
        <f t="shared" si="1"/>
        <v>17.5</v>
      </c>
      <c r="U16" s="204">
        <v>180</v>
      </c>
      <c r="V16" s="24">
        <f t="shared" si="2"/>
        <v>234.74</v>
      </c>
      <c r="W16" s="17"/>
      <c r="X16" s="9"/>
    </row>
    <row r="17" spans="1:26" s="37" customFormat="1" ht="18" customHeight="1">
      <c r="A17" s="14" t="s">
        <v>207</v>
      </c>
      <c r="B17" s="15">
        <v>1</v>
      </c>
      <c r="C17" s="16" t="str">
        <f>INDEX(PORT!$B$2:$B$20,MATCH('08'!B17,PORT!$A$2:$A$20))</f>
        <v>PNH01</v>
      </c>
      <c r="D17" s="10" t="str">
        <f>INDEX(PORT!$C$2:$C$20,MATCH('08'!B17,PORT!$A$2:$A$20))</f>
        <v>KTI AIR PORT</v>
      </c>
      <c r="E17" s="18" t="s">
        <v>1620</v>
      </c>
      <c r="F17" s="18">
        <v>46246</v>
      </c>
      <c r="G17" s="19" t="s">
        <v>351</v>
      </c>
      <c r="H17" s="49" t="s">
        <v>1607</v>
      </c>
      <c r="I17" s="49" t="s">
        <v>1608</v>
      </c>
      <c r="J17" s="142" t="s">
        <v>1591</v>
      </c>
      <c r="K17" s="194">
        <v>46247</v>
      </c>
      <c r="L17" s="21" t="str">
        <f>VLOOKUP(K17,'[8]Exchange Rate'!$A$3:$D$23,3,FALSE)</f>
        <v>4046</v>
      </c>
      <c r="M17" s="20" t="str">
        <f t="shared" si="0"/>
        <v>Thursday</v>
      </c>
      <c r="N17" s="26">
        <v>143.06</v>
      </c>
      <c r="O17" s="233">
        <v>0</v>
      </c>
      <c r="P17" s="233">
        <v>0</v>
      </c>
      <c r="Q17" s="22">
        <v>50</v>
      </c>
      <c r="R17" s="182">
        <v>175</v>
      </c>
      <c r="S17" s="182">
        <v>73.06</v>
      </c>
      <c r="T17" s="182">
        <f t="shared" si="1"/>
        <v>17.5</v>
      </c>
      <c r="U17" s="182">
        <v>60</v>
      </c>
      <c r="V17" s="24">
        <f t="shared" si="2"/>
        <v>115</v>
      </c>
      <c r="W17" s="17"/>
      <c r="X17" s="9"/>
    </row>
    <row r="18" spans="1:26" s="37" customFormat="1" ht="18" customHeight="1">
      <c r="A18" s="14" t="s">
        <v>207</v>
      </c>
      <c r="B18" s="15">
        <v>11</v>
      </c>
      <c r="C18" s="16" t="str">
        <f>INDEX(PORT!$B$2:$B$20,MATCH('08'!B18,PORT!$A$2:$A$20))</f>
        <v>SHV11</v>
      </c>
      <c r="D18" s="10" t="str">
        <f>INDEX(PORT!$C$2:$C$20,MATCH('08'!B18,PORT!$A$2:$A$20))</f>
        <v>SHV PORT</v>
      </c>
      <c r="E18" s="18" t="s">
        <v>1565</v>
      </c>
      <c r="F18" s="18">
        <v>46246</v>
      </c>
      <c r="G18" s="19" t="s">
        <v>10</v>
      </c>
      <c r="H18" s="49" t="s">
        <v>1609</v>
      </c>
      <c r="I18" s="49" t="s">
        <v>1610</v>
      </c>
      <c r="J18" s="142" t="s">
        <v>1596</v>
      </c>
      <c r="K18" s="194">
        <v>46247</v>
      </c>
      <c r="L18" s="21" t="str">
        <f>VLOOKUP(K18,'[8]Exchange Rate'!$A$3:$D$23,3,FALSE)</f>
        <v>4046</v>
      </c>
      <c r="M18" s="20" t="str">
        <f t="shared" si="0"/>
        <v>Thursday</v>
      </c>
      <c r="N18" s="26">
        <v>262.17</v>
      </c>
      <c r="O18" s="233">
        <v>577.05999999999995</v>
      </c>
      <c r="P18" s="233">
        <v>0</v>
      </c>
      <c r="Q18" s="22">
        <v>50</v>
      </c>
      <c r="R18" s="182">
        <v>150</v>
      </c>
      <c r="S18" s="182">
        <v>599.23</v>
      </c>
      <c r="T18" s="182">
        <f t="shared" si="1"/>
        <v>15</v>
      </c>
      <c r="U18" s="182">
        <v>283.39999999999998</v>
      </c>
      <c r="V18" s="24">
        <f t="shared" si="2"/>
        <v>143.40000000000009</v>
      </c>
      <c r="W18" s="17"/>
    </row>
    <row r="19" spans="1:26" ht="18" customHeight="1">
      <c r="A19" s="14" t="s">
        <v>207</v>
      </c>
      <c r="B19" s="15">
        <v>4</v>
      </c>
      <c r="C19" s="16" t="str">
        <f>INDEX(PORT!$B$2:$B$20,MATCH('08'!B19,PORT!$A$2:$A$20))</f>
        <v>PNH04</v>
      </c>
      <c r="D19" s="10" t="str">
        <f>INDEX(PORT!$C$2:$C$20,MATCH('08'!B19,PORT!$A$2:$A$20))</f>
        <v>PNH PORT</v>
      </c>
      <c r="E19" s="18" t="s">
        <v>1603</v>
      </c>
      <c r="F19" s="18">
        <v>46248</v>
      </c>
      <c r="G19" s="19" t="s">
        <v>4</v>
      </c>
      <c r="H19" s="49" t="s">
        <v>1611</v>
      </c>
      <c r="I19" s="49" t="s">
        <v>1612</v>
      </c>
      <c r="J19" s="142" t="s">
        <v>1593</v>
      </c>
      <c r="K19" s="194">
        <v>46251</v>
      </c>
      <c r="L19" s="21" t="str">
        <f>VLOOKUP(K19,'[8]Exchange Rate'!$A$3:$D$23,3,FALSE)</f>
        <v>4044</v>
      </c>
      <c r="M19" s="20" t="str">
        <f t="shared" si="0"/>
        <v>Monday</v>
      </c>
      <c r="N19" s="26">
        <v>995.85</v>
      </c>
      <c r="O19" s="233">
        <v>0</v>
      </c>
      <c r="P19" s="233">
        <v>0</v>
      </c>
      <c r="Q19" s="22">
        <v>50</v>
      </c>
      <c r="R19" s="182">
        <v>460</v>
      </c>
      <c r="S19" s="182">
        <v>245.85</v>
      </c>
      <c r="T19" s="182">
        <f t="shared" si="1"/>
        <v>46</v>
      </c>
      <c r="U19" s="182">
        <v>1051.5</v>
      </c>
      <c r="V19" s="24">
        <f t="shared" si="2"/>
        <v>711.5</v>
      </c>
      <c r="W19" s="17"/>
      <c r="X19" s="50"/>
    </row>
    <row r="20" spans="1:26" ht="18" customHeight="1">
      <c r="A20" s="14" t="s">
        <v>207</v>
      </c>
      <c r="B20" s="143">
        <v>4</v>
      </c>
      <c r="C20" s="16" t="str">
        <f>INDEX(PORT!$B$2:$B$20,MATCH('08'!B20,PORT!$A$2:$A$20))</f>
        <v>PNH04</v>
      </c>
      <c r="D20" s="10" t="str">
        <f>INDEX(PORT!$C$2:$C$20,MATCH('08'!B20,PORT!$A$2:$A$20))</f>
        <v>PNH PORT</v>
      </c>
      <c r="E20" s="237" t="s">
        <v>1600</v>
      </c>
      <c r="F20" s="144">
        <v>46248</v>
      </c>
      <c r="G20" s="155" t="s">
        <v>10</v>
      </c>
      <c r="H20" s="49" t="s">
        <v>1613</v>
      </c>
      <c r="I20" s="49" t="s">
        <v>1614</v>
      </c>
      <c r="J20" s="142" t="s">
        <v>1617</v>
      </c>
      <c r="K20" s="147">
        <v>46251</v>
      </c>
      <c r="L20" s="21" t="str">
        <f>VLOOKUP(K20,'[8]Exchange Rate'!$A$3:$D$23,3,FALSE)</f>
        <v>4044</v>
      </c>
      <c r="M20" s="20" t="str">
        <f t="shared" si="0"/>
        <v>Monday</v>
      </c>
      <c r="N20" s="26">
        <v>408.75</v>
      </c>
      <c r="O20" s="233">
        <v>0</v>
      </c>
      <c r="P20" s="233">
        <v>0</v>
      </c>
      <c r="Q20" s="22">
        <v>50</v>
      </c>
      <c r="R20" s="182">
        <v>215</v>
      </c>
      <c r="S20" s="182">
        <v>111.75</v>
      </c>
      <c r="T20" s="182">
        <f t="shared" si="1"/>
        <v>21.5</v>
      </c>
      <c r="U20" s="182">
        <v>465</v>
      </c>
      <c r="V20" s="24">
        <f t="shared" si="2"/>
        <v>333</v>
      </c>
      <c r="W20" s="17"/>
    </row>
    <row r="21" spans="1:26" ht="18" customHeight="1">
      <c r="A21" s="14" t="s">
        <v>207</v>
      </c>
      <c r="B21" s="143">
        <v>1</v>
      </c>
      <c r="C21" s="16" t="str">
        <f>INDEX(PORT!$B$2:$B$20,MATCH('08'!B21,PORT!$A$2:$A$20))</f>
        <v>PNH01</v>
      </c>
      <c r="D21" s="10" t="str">
        <f>INDEX(PORT!$C$2:$C$20,MATCH('08'!B21,PORT!$A$2:$A$20))</f>
        <v>KTI AIR PORT</v>
      </c>
      <c r="E21" s="236" t="s">
        <v>1599</v>
      </c>
      <c r="F21" s="172">
        <v>46249</v>
      </c>
      <c r="G21" s="155" t="s">
        <v>351</v>
      </c>
      <c r="H21" s="49" t="s">
        <v>1615</v>
      </c>
      <c r="I21" s="49" t="s">
        <v>1616</v>
      </c>
      <c r="J21" s="142" t="s">
        <v>1618</v>
      </c>
      <c r="K21" s="195">
        <v>46251</v>
      </c>
      <c r="L21" s="21" t="str">
        <f>VLOOKUP(K21,'[8]Exchange Rate'!$A$3:$D$23,3,FALSE)</f>
        <v>4044</v>
      </c>
      <c r="M21" s="20" t="str">
        <f t="shared" si="0"/>
        <v>Monday</v>
      </c>
      <c r="N21" s="26">
        <v>142.53</v>
      </c>
      <c r="O21" s="233">
        <v>0</v>
      </c>
      <c r="P21" s="233">
        <v>0</v>
      </c>
      <c r="Q21" s="22">
        <v>50</v>
      </c>
      <c r="R21" s="182">
        <v>175</v>
      </c>
      <c r="S21" s="182">
        <v>72.53</v>
      </c>
      <c r="T21" s="182">
        <f t="shared" si="1"/>
        <v>17.5</v>
      </c>
      <c r="U21" s="182">
        <v>60</v>
      </c>
      <c r="V21" s="24">
        <f t="shared" si="2"/>
        <v>114.99999999999997</v>
      </c>
      <c r="W21" s="17"/>
      <c r="X21" s="37"/>
    </row>
    <row r="22" spans="1:26" ht="18" customHeight="1">
      <c r="A22" s="14" t="s">
        <v>207</v>
      </c>
      <c r="B22" s="143">
        <v>21</v>
      </c>
      <c r="C22" s="16" t="str">
        <f>INDEX(PORT!$B$2:$B$20,MATCH('08'!B22,PORT!$A$2:$A$20))</f>
        <v>PNH21</v>
      </c>
      <c r="D22" s="10" t="str">
        <f>INDEX(PORT!$C$2:$C$20,MATCH('08'!B22,PORT!$A$2:$A$20))</f>
        <v>OLAIR DRY PORT</v>
      </c>
      <c r="E22" s="236" t="s">
        <v>1622</v>
      </c>
      <c r="F22" s="144">
        <v>46252</v>
      </c>
      <c r="G22" s="155" t="s">
        <v>10</v>
      </c>
      <c r="H22" s="49" t="s">
        <v>1625</v>
      </c>
      <c r="I22" s="49" t="s">
        <v>1626</v>
      </c>
      <c r="J22" s="142" t="s">
        <v>1633</v>
      </c>
      <c r="K22" s="147">
        <v>46253</v>
      </c>
      <c r="L22" s="21" t="str">
        <f>VLOOKUP(K22,'[8]Exchange Rate'!$A$3:$D$23,3,FALSE)</f>
        <v>4043</v>
      </c>
      <c r="M22" s="20" t="str">
        <f t="shared" si="0"/>
        <v>Wednesday</v>
      </c>
      <c r="N22" s="26">
        <v>117.08</v>
      </c>
      <c r="O22" s="233">
        <v>242</v>
      </c>
      <c r="P22" s="233">
        <v>0</v>
      </c>
      <c r="Q22" s="22">
        <v>50</v>
      </c>
      <c r="R22" s="182">
        <v>150</v>
      </c>
      <c r="S22" s="182">
        <v>272.08</v>
      </c>
      <c r="T22" s="182">
        <f t="shared" si="1"/>
        <v>15</v>
      </c>
      <c r="U22" s="182">
        <v>109.5</v>
      </c>
      <c r="V22" s="24">
        <f t="shared" si="2"/>
        <v>122.49999999999994</v>
      </c>
      <c r="W22" s="17"/>
      <c r="X22" s="37"/>
    </row>
    <row r="23" spans="1:26" ht="18" customHeight="1">
      <c r="A23" s="14" t="s">
        <v>207</v>
      </c>
      <c r="B23" s="143">
        <v>1</v>
      </c>
      <c r="C23" s="16" t="str">
        <f>INDEX(PORT!$B$2:$B$20,MATCH('08'!B23,PORT!$A$2:$A$20))</f>
        <v>PNH01</v>
      </c>
      <c r="D23" s="10" t="str">
        <f>INDEX(PORT!$C$2:$C$20,MATCH('08'!B23,PORT!$A$2:$A$20))</f>
        <v>KTI AIR PORT</v>
      </c>
      <c r="E23" s="60" t="s">
        <v>1621</v>
      </c>
      <c r="F23" s="144">
        <v>46253</v>
      </c>
      <c r="G23" s="145" t="s">
        <v>351</v>
      </c>
      <c r="H23" s="49" t="s">
        <v>1627</v>
      </c>
      <c r="I23" s="49" t="s">
        <v>1628</v>
      </c>
      <c r="J23" s="142" t="s">
        <v>1634</v>
      </c>
      <c r="K23" s="147">
        <v>46254</v>
      </c>
      <c r="L23" s="21" t="str">
        <f>VLOOKUP(K23,'[8]Exchange Rate'!$A$3:$D$23,3,FALSE)</f>
        <v>4044</v>
      </c>
      <c r="M23" s="20" t="str">
        <f t="shared" si="0"/>
        <v>Thursday</v>
      </c>
      <c r="N23" s="26">
        <v>182.41</v>
      </c>
      <c r="O23" s="233">
        <v>0</v>
      </c>
      <c r="P23" s="233">
        <v>0</v>
      </c>
      <c r="Q23" s="22">
        <v>50</v>
      </c>
      <c r="R23" s="182">
        <v>175</v>
      </c>
      <c r="S23" s="182">
        <v>62.41</v>
      </c>
      <c r="T23" s="182">
        <f t="shared" si="1"/>
        <v>17.5</v>
      </c>
      <c r="U23" s="182">
        <v>180</v>
      </c>
      <c r="V23" s="24">
        <f t="shared" si="2"/>
        <v>184.99999999999997</v>
      </c>
      <c r="W23" s="17"/>
      <c r="X23" s="257"/>
      <c r="Y23" s="256"/>
      <c r="Z23" s="256"/>
    </row>
    <row r="24" spans="1:26" ht="18" customHeight="1">
      <c r="A24" s="14" t="s">
        <v>207</v>
      </c>
      <c r="B24" s="59">
        <v>11</v>
      </c>
      <c r="C24" s="16" t="str">
        <f>INDEX(PORT!$B$2:$B$20,MATCH('08'!B24,PORT!$A$2:$A$20))</f>
        <v>SHV11</v>
      </c>
      <c r="D24" s="10" t="str">
        <f>INDEX(PORT!$C$2:$C$20,MATCH('08'!B24,PORT!$A$2:$A$20))</f>
        <v>SHV PORT</v>
      </c>
      <c r="E24" s="60" t="s">
        <v>1623</v>
      </c>
      <c r="F24" s="54">
        <v>46254</v>
      </c>
      <c r="G24" s="19" t="s">
        <v>41</v>
      </c>
      <c r="H24" s="49" t="s">
        <v>1629</v>
      </c>
      <c r="I24" s="49" t="s">
        <v>1630</v>
      </c>
      <c r="J24" s="142" t="s">
        <v>1635</v>
      </c>
      <c r="K24" s="20">
        <v>46255</v>
      </c>
      <c r="L24" s="21" t="str">
        <f>VLOOKUP(K24,'[8]Exchange Rate'!$A$3:$D$23,3,FALSE)</f>
        <v>4046</v>
      </c>
      <c r="M24" s="20" t="str">
        <f t="shared" si="0"/>
        <v>Friday</v>
      </c>
      <c r="N24" s="26">
        <v>612.45000000000005</v>
      </c>
      <c r="O24" s="233">
        <v>464</v>
      </c>
      <c r="P24" s="233">
        <v>0</v>
      </c>
      <c r="Q24" s="22">
        <v>0</v>
      </c>
      <c r="R24" s="182">
        <v>180</v>
      </c>
      <c r="S24" s="182">
        <v>545.45000000000005</v>
      </c>
      <c r="T24" s="182">
        <f t="shared" si="1"/>
        <v>18</v>
      </c>
      <c r="U24" s="182">
        <v>687</v>
      </c>
      <c r="V24" s="24">
        <f t="shared" si="2"/>
        <v>336</v>
      </c>
      <c r="W24" s="17"/>
      <c r="X24" s="201"/>
    </row>
    <row r="25" spans="1:26" ht="18" customHeight="1">
      <c r="A25" s="14" t="s">
        <v>207</v>
      </c>
      <c r="B25" s="15">
        <v>11</v>
      </c>
      <c r="C25" s="16" t="str">
        <f>INDEX(PORT!$B$2:$B$20,MATCH('08'!B25,PORT!$A$2:$A$20))</f>
        <v>SHV11</v>
      </c>
      <c r="D25" s="10" t="str">
        <f>INDEX(PORT!$C$2:$C$20,MATCH('08'!B25,PORT!$A$2:$A$20))</f>
        <v>SHV PORT</v>
      </c>
      <c r="E25" s="18" t="s">
        <v>1624</v>
      </c>
      <c r="F25" s="18">
        <v>46255</v>
      </c>
      <c r="G25" s="19" t="s">
        <v>41</v>
      </c>
      <c r="H25" s="49" t="s">
        <v>1631</v>
      </c>
      <c r="I25" s="49" t="s">
        <v>1632</v>
      </c>
      <c r="J25" s="142" t="s">
        <v>1636</v>
      </c>
      <c r="K25" s="194">
        <v>46258</v>
      </c>
      <c r="L25" s="21" t="str">
        <f>VLOOKUP(K25,'[8]Exchange Rate'!$A$3:$D$23,3,FALSE)</f>
        <v>4047</v>
      </c>
      <c r="M25" s="20" t="str">
        <f t="shared" si="0"/>
        <v>Monday</v>
      </c>
      <c r="N25" s="26">
        <v>982.45</v>
      </c>
      <c r="O25" s="233">
        <v>355</v>
      </c>
      <c r="P25" s="233">
        <v>0</v>
      </c>
      <c r="Q25" s="22">
        <v>0</v>
      </c>
      <c r="R25" s="182">
        <v>180</v>
      </c>
      <c r="S25" s="182">
        <v>436.45</v>
      </c>
      <c r="T25" s="182">
        <f t="shared" si="1"/>
        <v>18</v>
      </c>
      <c r="U25" s="182">
        <v>1202</v>
      </c>
      <c r="V25" s="24">
        <f t="shared" si="2"/>
        <v>481</v>
      </c>
      <c r="W25" s="17"/>
      <c r="X25" s="12"/>
    </row>
    <row r="26" spans="1:26" ht="18" customHeight="1">
      <c r="A26" s="14" t="s">
        <v>207</v>
      </c>
      <c r="B26" s="151">
        <v>11</v>
      </c>
      <c r="C26" s="16" t="str">
        <f>INDEX(PORT!$B$2:$B$20,MATCH('08'!B26,PORT!$A$2:$A$20))</f>
        <v>SHV11</v>
      </c>
      <c r="D26" s="10" t="str">
        <f>INDEX(PORT!$C$2:$C$20,MATCH('08'!B26,PORT!$A$2:$A$20))</f>
        <v>SHV PORT</v>
      </c>
      <c r="E26" s="172" t="s">
        <v>1639</v>
      </c>
      <c r="F26" s="144">
        <v>46258</v>
      </c>
      <c r="G26" s="145" t="s">
        <v>41</v>
      </c>
      <c r="H26" s="49" t="s">
        <v>1651</v>
      </c>
      <c r="I26" s="49" t="s">
        <v>1652</v>
      </c>
      <c r="J26" s="142" t="s">
        <v>1640</v>
      </c>
      <c r="K26" s="260">
        <v>46259</v>
      </c>
      <c r="L26" s="21" t="str">
        <f>VLOOKUP(K26,'[8]Exchange Rate'!$A$3:$D$23,3,FALSE)</f>
        <v>4048</v>
      </c>
      <c r="M26" s="20" t="str">
        <f t="shared" si="0"/>
        <v>Tuesday</v>
      </c>
      <c r="N26" s="26">
        <v>650.20000000000005</v>
      </c>
      <c r="O26" s="233">
        <v>719.5</v>
      </c>
      <c r="P26" s="233">
        <v>0</v>
      </c>
      <c r="Q26" s="22">
        <v>0</v>
      </c>
      <c r="R26" s="182">
        <v>200</v>
      </c>
      <c r="S26" s="182">
        <v>833.95</v>
      </c>
      <c r="T26" s="182">
        <f t="shared" si="1"/>
        <v>20</v>
      </c>
      <c r="U26" s="182">
        <v>913.75</v>
      </c>
      <c r="V26" s="24">
        <f t="shared" si="2"/>
        <v>578</v>
      </c>
      <c r="W26" s="17"/>
      <c r="X26" s="12"/>
    </row>
    <row r="27" spans="1:26" ht="18" customHeight="1">
      <c r="A27" s="14" t="s">
        <v>207</v>
      </c>
      <c r="B27" s="59">
        <v>19</v>
      </c>
      <c r="C27" s="16" t="str">
        <f>INDEX(PORT!$B$2:$B$20,MATCH('08'!B27,PORT!$A$2:$A$20))</f>
        <v>PNH19</v>
      </c>
      <c r="D27" s="10" t="str">
        <f>INDEX(PORT!$C$2:$C$20,MATCH('08'!B27,PORT!$A$2:$A$20))</f>
        <v>TEC SRUN DRYPORT</v>
      </c>
      <c r="E27" s="60" t="s">
        <v>1671</v>
      </c>
      <c r="F27" s="54">
        <v>46258</v>
      </c>
      <c r="G27" s="19" t="s">
        <v>10</v>
      </c>
      <c r="H27" s="49" t="s">
        <v>1653</v>
      </c>
      <c r="I27" s="49" t="s">
        <v>1654</v>
      </c>
      <c r="J27" s="142" t="s">
        <v>1644</v>
      </c>
      <c r="K27" s="20">
        <v>46259</v>
      </c>
      <c r="L27" s="21" t="str">
        <f>VLOOKUP(K27,'[8]Exchange Rate'!$A$3:$D$23,3,FALSE)</f>
        <v>4048</v>
      </c>
      <c r="M27" s="20" t="str">
        <f t="shared" si="0"/>
        <v>Tuesday</v>
      </c>
      <c r="N27" s="26">
        <v>124.72</v>
      </c>
      <c r="O27" s="233">
        <v>380.31</v>
      </c>
      <c r="P27" s="233">
        <v>0</v>
      </c>
      <c r="Q27" s="22">
        <v>50</v>
      </c>
      <c r="R27" s="182">
        <v>150</v>
      </c>
      <c r="S27" s="182">
        <v>418.03</v>
      </c>
      <c r="T27" s="182">
        <f t="shared" si="1"/>
        <v>15</v>
      </c>
      <c r="U27" s="182">
        <v>109.5</v>
      </c>
      <c r="V27" s="24">
        <f t="shared" si="2"/>
        <v>122.5</v>
      </c>
      <c r="W27" s="17"/>
      <c r="X27" s="12"/>
    </row>
    <row r="28" spans="1:26" ht="18" customHeight="1">
      <c r="A28" s="14" t="s">
        <v>207</v>
      </c>
      <c r="B28" s="143">
        <v>1</v>
      </c>
      <c r="C28" s="16" t="str">
        <f>INDEX(PORT!$B$2:$B$20,MATCH('08'!B28,PORT!$A$2:$A$20))</f>
        <v>PNH01</v>
      </c>
      <c r="D28" s="10" t="str">
        <f>INDEX(PORT!$C$2:$C$20,MATCH('08'!B28,PORT!$A$2:$A$20))</f>
        <v>KTI AIR PORT</v>
      </c>
      <c r="E28" s="215" t="s">
        <v>1672</v>
      </c>
      <c r="F28" s="166">
        <v>46259</v>
      </c>
      <c r="G28" s="165" t="s">
        <v>10</v>
      </c>
      <c r="H28" s="49" t="s">
        <v>1655</v>
      </c>
      <c r="I28" s="49" t="s">
        <v>1656</v>
      </c>
      <c r="J28" s="142" t="s">
        <v>1645</v>
      </c>
      <c r="K28" s="261">
        <v>46260</v>
      </c>
      <c r="L28" s="21" t="str">
        <f>VLOOKUP(K28,'[8]Exchange Rate'!$A$3:$D$23,3,FALSE)</f>
        <v>4047</v>
      </c>
      <c r="M28" s="20" t="str">
        <f t="shared" si="0"/>
        <v>Wednesday</v>
      </c>
      <c r="N28" s="26">
        <v>178.48</v>
      </c>
      <c r="O28" s="233">
        <v>0</v>
      </c>
      <c r="P28" s="233">
        <v>0</v>
      </c>
      <c r="Q28" s="22">
        <v>50</v>
      </c>
      <c r="R28" s="182">
        <v>150</v>
      </c>
      <c r="S28" s="182">
        <v>43.48</v>
      </c>
      <c r="T28" s="182">
        <f t="shared" si="1"/>
        <v>15</v>
      </c>
      <c r="U28" s="182">
        <v>130.75</v>
      </c>
      <c r="V28" s="24">
        <f t="shared" si="2"/>
        <v>95.750000000000028</v>
      </c>
      <c r="W28" s="16"/>
      <c r="X28" s="12"/>
    </row>
    <row r="29" spans="1:26" ht="18" customHeight="1">
      <c r="A29" s="14" t="s">
        <v>207</v>
      </c>
      <c r="B29" s="197">
        <v>4</v>
      </c>
      <c r="C29" s="16" t="str">
        <f>INDEX(PORT!$B$2:$B$20,MATCH('08'!B29,PORT!$A$2:$A$20))</f>
        <v>PNH04</v>
      </c>
      <c r="D29" s="10" t="str">
        <f>INDEX(PORT!$C$2:$C$20,MATCH('08'!B29,PORT!$A$2:$A$20))</f>
        <v>PNH PORT</v>
      </c>
      <c r="E29" s="215" t="s">
        <v>1638</v>
      </c>
      <c r="F29" s="144">
        <v>46260</v>
      </c>
      <c r="G29" s="155" t="s">
        <v>41</v>
      </c>
      <c r="H29" s="49" t="s">
        <v>1657</v>
      </c>
      <c r="I29" s="49" t="s">
        <v>1658</v>
      </c>
      <c r="J29" s="142" t="s">
        <v>1641</v>
      </c>
      <c r="K29" s="147">
        <v>46261</v>
      </c>
      <c r="L29" s="21" t="str">
        <f>VLOOKUP(K29,'[8]Exchange Rate'!$A$3:$D$23,3,FALSE)</f>
        <v>4046</v>
      </c>
      <c r="M29" s="20" t="str">
        <f t="shared" si="0"/>
        <v>Thursday</v>
      </c>
      <c r="N29" s="26">
        <v>528.25</v>
      </c>
      <c r="O29" s="233">
        <v>505.5</v>
      </c>
      <c r="P29" s="233">
        <v>0</v>
      </c>
      <c r="Q29" s="22">
        <v>0</v>
      </c>
      <c r="R29" s="331">
        <v>242</v>
      </c>
      <c r="S29" s="331">
        <v>603.75</v>
      </c>
      <c r="T29" s="182">
        <f t="shared" si="1"/>
        <v>24.2</v>
      </c>
      <c r="U29" s="331">
        <v>703</v>
      </c>
      <c r="V29" s="24">
        <f t="shared" si="2"/>
        <v>515</v>
      </c>
      <c r="W29" s="29" t="s">
        <v>1688</v>
      </c>
    </row>
    <row r="30" spans="1:26" ht="18" customHeight="1">
      <c r="A30" s="14" t="s">
        <v>207</v>
      </c>
      <c r="B30" s="15">
        <v>1</v>
      </c>
      <c r="C30" s="16" t="str">
        <f>INDEX(PORT!$B$2:$B$20,MATCH('08'!B30,PORT!$A$2:$A$20))</f>
        <v>PNH01</v>
      </c>
      <c r="D30" s="10" t="str">
        <f>INDEX(PORT!$C$2:$C$20,MATCH('08'!B30,PORT!$A$2:$A$20))</f>
        <v>KTI AIR PORT</v>
      </c>
      <c r="E30" s="16" t="s">
        <v>1667</v>
      </c>
      <c r="F30" s="18">
        <v>46260</v>
      </c>
      <c r="G30" s="19" t="s">
        <v>351</v>
      </c>
      <c r="H30" s="49" t="s">
        <v>1659</v>
      </c>
      <c r="I30" s="49" t="s">
        <v>1660</v>
      </c>
      <c r="J30" s="142" t="s">
        <v>1647</v>
      </c>
      <c r="K30" s="194">
        <v>46261</v>
      </c>
      <c r="L30" s="21" t="str">
        <f>VLOOKUP(K30,'[8]Exchange Rate'!$A$3:$D$23,3,FALSE)</f>
        <v>4046</v>
      </c>
      <c r="M30" s="20" t="str">
        <f t="shared" si="0"/>
        <v>Thursday</v>
      </c>
      <c r="N30" s="26">
        <v>132.41</v>
      </c>
      <c r="O30" s="233">
        <v>0</v>
      </c>
      <c r="P30" s="233">
        <v>0</v>
      </c>
      <c r="Q30" s="22">
        <v>50</v>
      </c>
      <c r="R30" s="182">
        <v>175</v>
      </c>
      <c r="S30" s="182">
        <v>62.41</v>
      </c>
      <c r="T30" s="182">
        <f t="shared" si="1"/>
        <v>17.5</v>
      </c>
      <c r="U30" s="182">
        <v>60</v>
      </c>
      <c r="V30" s="24">
        <f t="shared" si="2"/>
        <v>114.99999999999997</v>
      </c>
      <c r="W30" s="17"/>
    </row>
    <row r="31" spans="1:26" ht="18" customHeight="1">
      <c r="A31" s="14" t="s">
        <v>207</v>
      </c>
      <c r="B31" s="59">
        <v>4</v>
      </c>
      <c r="C31" s="16" t="str">
        <f>INDEX(PORT!$B$2:$B$20,MATCH('08'!B31,PORT!$A$2:$A$20))</f>
        <v>PNH04</v>
      </c>
      <c r="D31" s="10" t="str">
        <f>INDEX(PORT!$C$2:$C$20,MATCH('08'!B31,PORT!$A$2:$A$20))</f>
        <v>PNH PORT</v>
      </c>
      <c r="E31" s="60" t="s">
        <v>1673</v>
      </c>
      <c r="F31" s="54">
        <v>46261</v>
      </c>
      <c r="G31" s="19" t="s">
        <v>4</v>
      </c>
      <c r="H31" s="49" t="s">
        <v>1661</v>
      </c>
      <c r="I31" s="49" t="s">
        <v>1662</v>
      </c>
      <c r="J31" s="142" t="s">
        <v>1679</v>
      </c>
      <c r="K31" s="20">
        <v>46262</v>
      </c>
      <c r="L31" s="21" t="str">
        <f>VLOOKUP(K31,'[8]Exchange Rate'!$A$3:$D$23,3,FALSE)</f>
        <v>4046</v>
      </c>
      <c r="M31" s="20" t="str">
        <f t="shared" si="0"/>
        <v>Friday</v>
      </c>
      <c r="N31" s="26">
        <v>547.75</v>
      </c>
      <c r="O31" s="233">
        <v>0</v>
      </c>
      <c r="P31" s="233">
        <v>0</v>
      </c>
      <c r="Q31" s="22">
        <v>50</v>
      </c>
      <c r="R31" s="182">
        <v>245</v>
      </c>
      <c r="S31" s="182">
        <v>147.75</v>
      </c>
      <c r="T31" s="182">
        <f t="shared" si="1"/>
        <v>24.5</v>
      </c>
      <c r="U31" s="182">
        <v>574</v>
      </c>
      <c r="V31" s="24">
        <f t="shared" si="2"/>
        <v>369</v>
      </c>
      <c r="W31" s="17"/>
    </row>
    <row r="32" spans="1:26" ht="18" customHeight="1">
      <c r="A32" s="14" t="s">
        <v>207</v>
      </c>
      <c r="B32" s="143">
        <v>11</v>
      </c>
      <c r="C32" s="16" t="str">
        <f>INDEX(PORT!$B$2:$B$20,MATCH('08'!B32,PORT!$A$2:$A$20))</f>
        <v>SHV11</v>
      </c>
      <c r="D32" s="10" t="str">
        <f>INDEX(PORT!$C$2:$C$20,MATCH('08'!B32,PORT!$A$2:$A$20))</f>
        <v>SHV PORT</v>
      </c>
      <c r="E32" s="215" t="s">
        <v>1642</v>
      </c>
      <c r="F32" s="153">
        <v>46262</v>
      </c>
      <c r="G32" s="155" t="s">
        <v>10</v>
      </c>
      <c r="H32" s="49" t="s">
        <v>1669</v>
      </c>
      <c r="I32" s="49" t="s">
        <v>1665</v>
      </c>
      <c r="J32" s="142" t="s">
        <v>1646</v>
      </c>
      <c r="K32" s="153">
        <v>46265</v>
      </c>
      <c r="L32" s="21" t="str">
        <f>VLOOKUP(K32,'[8]Exchange Rate'!$A$3:$D$23,3,FALSE)</f>
        <v>4047</v>
      </c>
      <c r="M32" s="20" t="str">
        <f t="shared" si="0"/>
        <v>Monday</v>
      </c>
      <c r="N32" s="26">
        <v>179.12</v>
      </c>
      <c r="O32" s="233">
        <v>292.12</v>
      </c>
      <c r="P32" s="233">
        <v>0</v>
      </c>
      <c r="Q32" s="22">
        <v>50</v>
      </c>
      <c r="R32" s="182">
        <v>150</v>
      </c>
      <c r="S32" s="182">
        <v>309.24</v>
      </c>
      <c r="T32" s="182">
        <f t="shared" si="1"/>
        <v>15</v>
      </c>
      <c r="U32" s="182">
        <v>145.05000000000001</v>
      </c>
      <c r="V32" s="24">
        <f t="shared" si="2"/>
        <v>83.049999999999955</v>
      </c>
      <c r="W32" s="17"/>
    </row>
    <row r="33" spans="1:24" s="201" customFormat="1" ht="18" customHeight="1">
      <c r="A33" s="14" t="s">
        <v>207</v>
      </c>
      <c r="B33" s="143">
        <v>1</v>
      </c>
      <c r="C33" s="16" t="str">
        <f>INDEX(PORT!$B$2:$B$20,MATCH('08'!B33,PORT!$A$2:$A$20))</f>
        <v>PNH01</v>
      </c>
      <c r="D33" s="10" t="str">
        <f>INDEX(PORT!$C$2:$C$20,MATCH('08'!B33,PORT!$A$2:$A$20))</f>
        <v>KTI AIR PORT</v>
      </c>
      <c r="E33" s="60" t="s">
        <v>1668</v>
      </c>
      <c r="F33" s="144">
        <v>46262</v>
      </c>
      <c r="G33" s="145" t="s">
        <v>351</v>
      </c>
      <c r="H33" s="49" t="s">
        <v>1675</v>
      </c>
      <c r="I33" s="49" t="s">
        <v>1676</v>
      </c>
      <c r="J33" s="142" t="s">
        <v>1670</v>
      </c>
      <c r="K33" s="147">
        <v>46265</v>
      </c>
      <c r="L33" s="21" t="str">
        <f>VLOOKUP(K33,'[8]Exchange Rate'!$A$3:$D$23,3,FALSE)</f>
        <v>4047</v>
      </c>
      <c r="M33" s="20" t="str">
        <f t="shared" si="0"/>
        <v>Monday</v>
      </c>
      <c r="N33" s="26">
        <v>249.38</v>
      </c>
      <c r="O33" s="233">
        <v>0</v>
      </c>
      <c r="P33" s="233">
        <v>0</v>
      </c>
      <c r="Q33" s="22">
        <v>50</v>
      </c>
      <c r="R33" s="182">
        <v>150</v>
      </c>
      <c r="S33" s="182">
        <v>49.38</v>
      </c>
      <c r="T33" s="182">
        <f t="shared" si="1"/>
        <v>15</v>
      </c>
      <c r="U33" s="182">
        <v>230.75</v>
      </c>
      <c r="V33" s="24">
        <f t="shared" si="2"/>
        <v>130.75</v>
      </c>
      <c r="W33" s="16" t="s">
        <v>1643</v>
      </c>
      <c r="X33" s="9"/>
    </row>
    <row r="34" spans="1:24" ht="18" customHeight="1">
      <c r="A34" s="14" t="s">
        <v>207</v>
      </c>
      <c r="B34" s="15">
        <v>1</v>
      </c>
      <c r="C34" s="16" t="str">
        <f>INDEX(PORT!$B$2:$B$20,MATCH('08'!B34,PORT!$A$2:$A$20))</f>
        <v>PNH01</v>
      </c>
      <c r="D34" s="10" t="str">
        <f>INDEX(PORT!$C$2:$C$20,MATCH('08'!B34,PORT!$A$2:$A$20))</f>
        <v>KTI AIR PORT</v>
      </c>
      <c r="E34" s="18" t="s">
        <v>1674</v>
      </c>
      <c r="F34" s="18">
        <v>46265</v>
      </c>
      <c r="G34" s="19" t="s">
        <v>4</v>
      </c>
      <c r="H34" s="49" t="s">
        <v>1677</v>
      </c>
      <c r="I34" s="49" t="s">
        <v>1678</v>
      </c>
      <c r="J34" s="142" t="s">
        <v>1680</v>
      </c>
      <c r="K34" s="194">
        <v>46265</v>
      </c>
      <c r="L34" s="21" t="str">
        <f>VLOOKUP(K34,'[8]Exchange Rate'!$A$3:$D$23,3,FALSE)</f>
        <v>4047</v>
      </c>
      <c r="M34" s="20" t="str">
        <f t="shared" si="0"/>
        <v>Monday</v>
      </c>
      <c r="N34" s="26">
        <v>95.81</v>
      </c>
      <c r="O34" s="233">
        <v>0</v>
      </c>
      <c r="P34" s="233">
        <v>0</v>
      </c>
      <c r="Q34" s="22">
        <v>50</v>
      </c>
      <c r="R34" s="182">
        <v>140</v>
      </c>
      <c r="S34" s="182">
        <v>25.81</v>
      </c>
      <c r="T34" s="182">
        <f t="shared" si="1"/>
        <v>14</v>
      </c>
      <c r="U34" s="182">
        <v>60</v>
      </c>
      <c r="V34" s="24">
        <f t="shared" si="2"/>
        <v>80</v>
      </c>
      <c r="W34" s="17"/>
    </row>
    <row r="35" spans="1:24" s="139" customFormat="1" ht="18" customHeight="1">
      <c r="A35" s="14"/>
      <c r="B35" s="59">
        <v>4</v>
      </c>
      <c r="C35" s="16" t="str">
        <f>INDEX(PORT!$B$2:$B$20,MATCH('08'!B35,PORT!$A$2:$A$20))</f>
        <v>PNH04</v>
      </c>
      <c r="D35" s="10" t="str">
        <f>INDEX(PORT!$C$2:$C$20,MATCH('08'!B35,PORT!$A$2:$A$20))</f>
        <v>PNH PORT</v>
      </c>
      <c r="E35" s="60" t="s">
        <v>1648</v>
      </c>
      <c r="F35" s="54">
        <v>46248</v>
      </c>
      <c r="G35" s="19" t="s">
        <v>41</v>
      </c>
      <c r="H35" s="49"/>
      <c r="I35" s="49" t="s">
        <v>1681</v>
      </c>
      <c r="J35" s="142" t="s">
        <v>1649</v>
      </c>
      <c r="K35" s="20">
        <v>46265</v>
      </c>
      <c r="L35" s="21" t="str">
        <f>VLOOKUP(K35,'[8]Exchange Rate'!$A$3:$D$23,3,FALSE)</f>
        <v>4047</v>
      </c>
      <c r="M35" s="20" t="str">
        <f t="shared" si="0"/>
        <v>Monday</v>
      </c>
      <c r="N35" s="26">
        <v>0</v>
      </c>
      <c r="O35" s="233">
        <v>1280.01</v>
      </c>
      <c r="P35" s="233">
        <v>0</v>
      </c>
      <c r="Q35" s="22">
        <v>0</v>
      </c>
      <c r="R35" s="182">
        <v>0</v>
      </c>
      <c r="S35" s="182">
        <v>1280.01</v>
      </c>
      <c r="T35" s="182">
        <f t="shared" si="1"/>
        <v>0</v>
      </c>
      <c r="U35" s="182">
        <v>174</v>
      </c>
      <c r="V35" s="24">
        <f t="shared" si="2"/>
        <v>174</v>
      </c>
      <c r="W35" s="17"/>
      <c r="X35" s="9"/>
    </row>
    <row r="36" spans="1:24" s="12" customFormat="1" ht="18" customHeight="1">
      <c r="A36" s="14"/>
      <c r="B36" s="59">
        <v>4</v>
      </c>
      <c r="C36" s="16" t="str">
        <f>INDEX(PORT!$B$2:$B$20,MATCH('08'!B36,PORT!$A$2:$A$20))</f>
        <v>PNH04</v>
      </c>
      <c r="D36" s="10" t="str">
        <f>INDEX(PORT!$C$2:$C$20,MATCH('08'!B36,PORT!$A$2:$A$20))</f>
        <v>PNH PORT</v>
      </c>
      <c r="E36" s="60" t="s">
        <v>1666</v>
      </c>
      <c r="F36" s="54">
        <v>46248</v>
      </c>
      <c r="G36" s="19" t="s">
        <v>41</v>
      </c>
      <c r="H36" s="49"/>
      <c r="I36" s="49" t="s">
        <v>1682</v>
      </c>
      <c r="J36" s="142" t="s">
        <v>1650</v>
      </c>
      <c r="K36" s="20">
        <v>46265</v>
      </c>
      <c r="L36" s="21" t="str">
        <f>VLOOKUP(K36,'[8]Exchange Rate'!$A$3:$D$23,3,FALSE)</f>
        <v>4047</v>
      </c>
      <c r="M36" s="20" t="str">
        <f t="shared" si="0"/>
        <v>Monday</v>
      </c>
      <c r="N36" s="26">
        <v>0</v>
      </c>
      <c r="O36" s="233">
        <v>557.75</v>
      </c>
      <c r="P36" s="233">
        <v>0</v>
      </c>
      <c r="Q36" s="22">
        <v>0</v>
      </c>
      <c r="R36" s="182">
        <v>0</v>
      </c>
      <c r="S36" s="182">
        <v>557.75</v>
      </c>
      <c r="T36" s="182">
        <f t="shared" si="1"/>
        <v>0</v>
      </c>
      <c r="U36" s="182">
        <v>160</v>
      </c>
      <c r="V36" s="24">
        <f t="shared" si="2"/>
        <v>160</v>
      </c>
      <c r="W36" s="17"/>
      <c r="X36" s="9"/>
    </row>
    <row r="37" spans="1:24" s="12" customFormat="1" ht="18" customHeight="1">
      <c r="A37" s="14"/>
      <c r="B37" s="59">
        <v>4</v>
      </c>
      <c r="C37" s="16" t="str">
        <f>INDEX(PORT!$B$2:$B$20,MATCH('08'!B37,PORT!$A$2:$A$20))</f>
        <v>PNH04</v>
      </c>
      <c r="D37" s="10" t="str">
        <f>INDEX(PORT!$C$2:$C$20,MATCH('08'!B37,PORT!$A$2:$A$20))</f>
        <v>PNH PORT</v>
      </c>
      <c r="E37" s="60" t="s">
        <v>1637</v>
      </c>
      <c r="F37" s="54">
        <v>46255</v>
      </c>
      <c r="G37" s="19" t="s">
        <v>41</v>
      </c>
      <c r="H37" s="49"/>
      <c r="I37" s="49" t="s">
        <v>1683</v>
      </c>
      <c r="J37" s="142" t="s">
        <v>1663</v>
      </c>
      <c r="K37" s="20">
        <v>46265</v>
      </c>
      <c r="L37" s="21" t="str">
        <f>VLOOKUP(K37,'[8]Exchange Rate'!$A$3:$D$23,3,FALSE)</f>
        <v>4047</v>
      </c>
      <c r="M37" s="20" t="str">
        <f t="shared" si="0"/>
        <v>Monday</v>
      </c>
      <c r="N37" s="26">
        <v>0</v>
      </c>
      <c r="O37" s="233">
        <v>708.15</v>
      </c>
      <c r="P37" s="233">
        <v>100</v>
      </c>
      <c r="Q37" s="22">
        <v>0</v>
      </c>
      <c r="R37" s="182">
        <v>0</v>
      </c>
      <c r="S37" s="182">
        <v>708.15</v>
      </c>
      <c r="T37" s="182">
        <f t="shared" si="1"/>
        <v>0</v>
      </c>
      <c r="U37" s="182">
        <v>529.5</v>
      </c>
      <c r="V37" s="24">
        <f t="shared" si="2"/>
        <v>429.50000000000011</v>
      </c>
      <c r="W37" s="315" t="s">
        <v>1686</v>
      </c>
      <c r="X37" s="9"/>
    </row>
    <row r="38" spans="1:24" s="12" customFormat="1" ht="18" customHeight="1">
      <c r="A38" s="14"/>
      <c r="B38" s="15">
        <v>4</v>
      </c>
      <c r="C38" s="16" t="str">
        <f>INDEX(PORT!$B$2:$B$20,MATCH('08'!B38,PORT!$A$2:$A$20))</f>
        <v>PNH04</v>
      </c>
      <c r="D38" s="10" t="str">
        <f>INDEX(PORT!$C$2:$C$20,MATCH('08'!B38,PORT!$A$2:$A$20))</f>
        <v>PNH PORT</v>
      </c>
      <c r="E38" s="216" t="s">
        <v>1692</v>
      </c>
      <c r="F38" s="18"/>
      <c r="G38" s="19" t="s">
        <v>41</v>
      </c>
      <c r="H38" s="49"/>
      <c r="I38" s="49" t="s">
        <v>1684</v>
      </c>
      <c r="J38" s="142" t="s">
        <v>1664</v>
      </c>
      <c r="K38" s="194">
        <v>46265</v>
      </c>
      <c r="L38" s="21" t="str">
        <f>VLOOKUP(K38,'[8]Exchange Rate'!$A$3:$D$23,3,FALSE)</f>
        <v>4047</v>
      </c>
      <c r="M38" s="20" t="str">
        <f t="shared" si="0"/>
        <v>Monday</v>
      </c>
      <c r="N38" s="26">
        <v>0</v>
      </c>
      <c r="O38" s="233">
        <v>374.65</v>
      </c>
      <c r="P38" s="233">
        <v>0</v>
      </c>
      <c r="Q38" s="22">
        <v>0</v>
      </c>
      <c r="R38" s="182">
        <v>0</v>
      </c>
      <c r="S38" s="182">
        <v>374.65</v>
      </c>
      <c r="T38" s="182">
        <f t="shared" si="1"/>
        <v>0</v>
      </c>
      <c r="U38" s="182">
        <v>141.5</v>
      </c>
      <c r="V38" s="24">
        <f t="shared" si="2"/>
        <v>141.5</v>
      </c>
      <c r="W38" s="17"/>
      <c r="X38" s="9"/>
    </row>
    <row r="39" spans="1:24" s="12" customFormat="1" ht="18" customHeight="1">
      <c r="A39" s="14"/>
      <c r="B39" s="15"/>
      <c r="C39" s="16"/>
      <c r="D39" s="310"/>
      <c r="E39" s="311"/>
      <c r="F39" s="312"/>
      <c r="G39" s="313" t="s">
        <v>41</v>
      </c>
      <c r="H39" s="314"/>
      <c r="I39" s="49"/>
      <c r="J39" s="142" t="s">
        <v>1685</v>
      </c>
      <c r="K39" s="194">
        <v>46265</v>
      </c>
      <c r="L39" s="21" t="str">
        <f>VLOOKUP(K39,'[8]Exchange Rate'!$A$3:$D$23,3,FALSE)</f>
        <v>4047</v>
      </c>
      <c r="M39" s="20" t="str">
        <f t="shared" si="0"/>
        <v>Monday</v>
      </c>
      <c r="N39" s="26">
        <v>0</v>
      </c>
      <c r="O39" s="233">
        <v>0</v>
      </c>
      <c r="P39" s="233">
        <v>0</v>
      </c>
      <c r="Q39" s="22">
        <v>0</v>
      </c>
      <c r="R39" s="182">
        <v>0</v>
      </c>
      <c r="S39" s="182">
        <v>0</v>
      </c>
      <c r="T39" s="182">
        <f t="shared" si="1"/>
        <v>0</v>
      </c>
      <c r="U39" s="182">
        <v>265</v>
      </c>
      <c r="V39" s="24">
        <f t="shared" si="2"/>
        <v>265</v>
      </c>
      <c r="W39" s="17" t="s">
        <v>1687</v>
      </c>
      <c r="X39" s="9"/>
    </row>
    <row r="40" spans="1:24" ht="15.75">
      <c r="A40" s="14"/>
      <c r="B40" s="15"/>
      <c r="C40" s="10"/>
      <c r="D40" s="65"/>
      <c r="E40" s="66" t="s">
        <v>9</v>
      </c>
      <c r="F40" s="66"/>
      <c r="G40" s="67"/>
      <c r="H40" s="68"/>
      <c r="I40" s="31"/>
      <c r="J40" s="63"/>
      <c r="K40" s="34"/>
      <c r="L40" s="21"/>
      <c r="M40" s="20"/>
      <c r="N40" s="26"/>
      <c r="O40" s="26"/>
      <c r="P40" s="26"/>
      <c r="Q40" s="35"/>
      <c r="R40" s="39"/>
      <c r="S40" s="39"/>
      <c r="T40" s="36"/>
      <c r="U40" s="39"/>
      <c r="V40" s="24"/>
      <c r="W40" s="31"/>
    </row>
    <row r="41" spans="1:24">
      <c r="A41" s="14"/>
      <c r="B41" s="15"/>
      <c r="C41" s="10"/>
      <c r="D41" s="10"/>
      <c r="E41" s="18" t="s">
        <v>349</v>
      </c>
      <c r="F41" s="18"/>
      <c r="G41" s="19"/>
      <c r="H41" s="61"/>
      <c r="I41" s="19"/>
      <c r="J41" s="62"/>
      <c r="K41" s="62"/>
      <c r="L41" s="21"/>
      <c r="M41" s="52"/>
      <c r="O41" s="52"/>
      <c r="P41" s="52"/>
      <c r="Q41" s="26"/>
      <c r="R41" s="42"/>
      <c r="S41" s="42"/>
      <c r="T41" s="42"/>
      <c r="U41" s="42"/>
      <c r="V41" s="24"/>
      <c r="W41" s="19"/>
    </row>
    <row r="42" spans="1:24">
      <c r="A42" s="14"/>
      <c r="B42" s="15"/>
      <c r="C42" s="10"/>
      <c r="D42" s="10"/>
      <c r="E42" s="18" t="s">
        <v>7</v>
      </c>
      <c r="F42" s="18"/>
      <c r="G42" s="19"/>
      <c r="H42" s="61"/>
      <c r="I42" s="19"/>
      <c r="J42" s="142"/>
      <c r="K42" s="62"/>
      <c r="L42" s="21"/>
      <c r="M42" s="52"/>
      <c r="O42" s="52"/>
      <c r="P42" s="52"/>
      <c r="Q42" s="26"/>
      <c r="R42" s="42"/>
      <c r="S42" s="42"/>
      <c r="T42" s="42"/>
      <c r="U42" s="42"/>
      <c r="V42" s="24"/>
      <c r="W42" s="19"/>
    </row>
    <row r="43" spans="1:24">
      <c r="A43" s="70"/>
      <c r="B43" s="70"/>
      <c r="C43" s="81"/>
      <c r="D43" s="82"/>
      <c r="E43" s="83"/>
      <c r="F43" s="84"/>
      <c r="G43" s="85"/>
      <c r="H43" s="75"/>
      <c r="I43" s="74"/>
      <c r="J43" s="289"/>
      <c r="K43" s="76"/>
      <c r="L43" s="77"/>
      <c r="M43" s="86"/>
      <c r="N43" s="133"/>
      <c r="O43" s="78"/>
      <c r="P43" s="78"/>
      <c r="Q43" s="78"/>
      <c r="R43" s="79"/>
      <c r="S43" s="79"/>
      <c r="T43" s="79"/>
      <c r="U43" s="79"/>
      <c r="V43" s="80"/>
      <c r="W43" s="74"/>
    </row>
    <row r="44" spans="1:24" ht="15.75">
      <c r="A44" s="88"/>
      <c r="B44" s="89">
        <f>SUBTOTAL(3,B3:B43)</f>
        <v>36</v>
      </c>
      <c r="C44" s="88"/>
      <c r="D44" s="90"/>
      <c r="E44" s="342" t="s">
        <v>3</v>
      </c>
      <c r="F44" s="343"/>
      <c r="G44" s="344"/>
      <c r="H44" s="91">
        <f>SUBTOTAL(3,H3:H43)</f>
        <v>32</v>
      </c>
      <c r="I44" s="91">
        <f>SUBTOTAL(3,I3:I43)</f>
        <v>36</v>
      </c>
      <c r="J44" s="91">
        <f>SUBTOTAL(3,J3:J43)</f>
        <v>37</v>
      </c>
      <c r="K44" s="92"/>
      <c r="L44" s="89"/>
      <c r="M44" s="89"/>
      <c r="N44" s="93">
        <f>SUM(N3:N43)</f>
        <v>9131.5999999999967</v>
      </c>
      <c r="O44" s="136">
        <f>SUBTOTAL(9,O3:O39)</f>
        <v>7347.2199999999993</v>
      </c>
      <c r="P44" s="136">
        <f>SUBTOTAL(9,P3:P39)</f>
        <v>100</v>
      </c>
      <c r="Q44" s="91">
        <f>SUBTOTAL(9,Q3:Q40)</f>
        <v>1400</v>
      </c>
      <c r="R44" s="91">
        <f>SUBTOTAL(9,R3:R38)</f>
        <v>5902</v>
      </c>
      <c r="S44" s="7">
        <f>SUBTOTAL(9,S3:S39)</f>
        <v>9630.8099999999977</v>
      </c>
      <c r="T44" s="7">
        <f>SUBTOTAL(9,T3:T39)</f>
        <v>590.20000000000005</v>
      </c>
      <c r="U44" s="7">
        <f>SUBTOTAL(9,U3:U39)</f>
        <v>10513.38</v>
      </c>
      <c r="V44" s="7">
        <f>SUBTOTAL(9,V3:V40)</f>
        <v>8067.37</v>
      </c>
      <c r="W44" s="89"/>
    </row>
    <row r="45" spans="1:24" ht="23.1" customHeight="1">
      <c r="B45" s="95"/>
      <c r="C45" s="96"/>
      <c r="D45" s="97"/>
      <c r="E45" s="98"/>
      <c r="F45" s="291"/>
      <c r="G45" s="8"/>
      <c r="H45" s="11"/>
      <c r="I45" s="99"/>
      <c r="J45" s="100"/>
      <c r="K45" s="100"/>
      <c r="M45" s="101" t="s">
        <v>207</v>
      </c>
      <c r="N45" s="102">
        <f>SUMIFS($N$3:$N$41,$A$3:$A$41,$M$45)-O46</f>
        <v>9131.5999999999967</v>
      </c>
      <c r="O45" s="103"/>
      <c r="P45" s="103"/>
      <c r="Q45" s="104"/>
      <c r="R45" s="105"/>
      <c r="S45" s="106"/>
      <c r="T45" s="107"/>
      <c r="U45" s="107"/>
      <c r="V45" s="108"/>
      <c r="W45" s="264"/>
    </row>
    <row r="46" spans="1:24" ht="23.1" customHeight="1">
      <c r="B46" s="95"/>
      <c r="C46" s="110"/>
      <c r="D46" s="111"/>
      <c r="E46" s="98"/>
      <c r="F46" s="291"/>
      <c r="G46" s="8"/>
      <c r="H46" s="11"/>
      <c r="I46" s="99"/>
      <c r="J46" s="100"/>
      <c r="K46" s="100"/>
      <c r="M46" s="112" t="s">
        <v>208</v>
      </c>
      <c r="N46" s="113">
        <f>SUMIFS($N$3:$N$41,$A$3:$A$41,$M$46)</f>
        <v>0</v>
      </c>
      <c r="O46" s="279"/>
      <c r="P46" s="279"/>
      <c r="Q46" s="280"/>
      <c r="R46" s="281"/>
      <c r="S46" s="181"/>
      <c r="T46" s="115"/>
      <c r="U46" s="115"/>
      <c r="V46" s="116"/>
    </row>
    <row r="47" spans="1:24">
      <c r="B47" s="95"/>
      <c r="C47" s="117"/>
      <c r="D47" s="118"/>
      <c r="E47" s="98"/>
      <c r="F47" s="291"/>
      <c r="G47" s="8"/>
      <c r="H47" s="11"/>
      <c r="I47" s="99"/>
      <c r="J47" s="100"/>
      <c r="K47" s="100"/>
      <c r="O47" s="254"/>
      <c r="P47" s="254"/>
      <c r="S47" s="115"/>
      <c r="T47" s="115"/>
      <c r="U47" s="115"/>
      <c r="V47" s="116"/>
    </row>
    <row r="48" spans="1:24" ht="15" customHeight="1">
      <c r="K48" s="303"/>
      <c r="L48" s="95"/>
      <c r="M48" s="139"/>
      <c r="N48" s="104"/>
    </row>
    <row r="49" spans="9:19" ht="15" customHeight="1">
      <c r="K49" s="303"/>
      <c r="L49" s="95"/>
      <c r="M49" s="304"/>
    </row>
    <row r="50" spans="9:19" ht="15" customHeight="1">
      <c r="K50" s="303"/>
      <c r="L50" s="95"/>
      <c r="M50" s="304"/>
      <c r="N50" s="239"/>
      <c r="O50" s="240"/>
      <c r="P50" s="240"/>
    </row>
    <row r="51" spans="9:19" ht="15" customHeight="1">
      <c r="J51" s="322" t="s">
        <v>1562</v>
      </c>
      <c r="K51" s="323"/>
      <c r="L51" s="324">
        <v>10000</v>
      </c>
      <c r="M51" s="139"/>
    </row>
    <row r="52" spans="9:19" ht="15" customHeight="1">
      <c r="I52" s="9" t="s">
        <v>579</v>
      </c>
      <c r="J52" s="325" t="s">
        <v>1694</v>
      </c>
      <c r="K52" s="326"/>
      <c r="L52" s="327">
        <f>L51-N45</f>
        <v>868.40000000000327</v>
      </c>
      <c r="M52" s="139"/>
      <c r="N52" s="282"/>
      <c r="O52" s="240"/>
      <c r="P52" s="240"/>
    </row>
    <row r="53" spans="9:19" ht="15" customHeight="1">
      <c r="J53" s="318" t="s">
        <v>1619</v>
      </c>
      <c r="K53" s="319"/>
      <c r="L53" s="320">
        <f>N46-L51</f>
        <v>-10000</v>
      </c>
      <c r="N53" s="283"/>
      <c r="O53" s="240"/>
      <c r="P53" s="240"/>
    </row>
    <row r="54" spans="9:19" ht="15" customHeight="1">
      <c r="J54" s="139"/>
      <c r="K54" s="303"/>
      <c r="L54" s="95"/>
      <c r="M54" s="304"/>
      <c r="N54" s="305"/>
      <c r="S54" s="104"/>
    </row>
    <row r="55" spans="9:19" ht="15" customHeight="1">
      <c r="J55" s="139"/>
      <c r="K55" s="303"/>
      <c r="L55" s="95"/>
      <c r="M55" s="304"/>
      <c r="N55" s="139"/>
    </row>
    <row r="56" spans="9:19" ht="15" customHeight="1">
      <c r="J56" s="139"/>
      <c r="K56" s="281"/>
      <c r="L56" s="95"/>
      <c r="M56" s="103"/>
      <c r="N56" s="139"/>
    </row>
    <row r="57" spans="9:19" ht="15" customHeight="1">
      <c r="J57" s="139"/>
      <c r="K57" s="306"/>
      <c r="L57" s="95"/>
      <c r="M57" s="103"/>
      <c r="N57" s="139"/>
      <c r="S57" s="104"/>
    </row>
    <row r="58" spans="9:19" ht="15" customHeight="1">
      <c r="Q58" s="9" t="s">
        <v>579</v>
      </c>
    </row>
    <row r="67" spans="6:6" ht="15" customHeight="1">
      <c r="F67" s="8" t="s">
        <v>440</v>
      </c>
    </row>
  </sheetData>
  <autoFilter ref="A2:W41">
    <sortState ref="A3:W74">
      <sortCondition ref="K3"/>
    </sortState>
  </autoFilter>
  <sortState ref="A3:W42">
    <sortCondition ref="K3"/>
  </sortState>
  <mergeCells count="1">
    <mergeCell ref="E44:G44"/>
  </mergeCells>
  <conditionalFormatting sqref="A40 V3:XFD3 L4:M31 V4:V39 P40:XFD41 P42:W42">
    <cfRule type="expression" dxfId="303" priority="150">
      <formula>$E3="STORAGE"</formula>
    </cfRule>
    <cfRule type="expression" dxfId="302" priority="151">
      <formula>$E3="LOLO"</formula>
    </cfRule>
    <cfRule type="expression" dxfId="301" priority="152">
      <formula>$E3="THC"</formula>
    </cfRule>
  </conditionalFormatting>
  <conditionalFormatting sqref="A3:D39 E34:G34 K33:K35 M34:Q39 L34:L41 H36:K39 B40:K40 M40:O41 A41:K41 A42:I42 K42:O42 H3:I35 I35:I39 W34:XFD39">
    <cfRule type="expression" dxfId="300" priority="186">
      <formula>$E3="STORAGE"</formula>
    </cfRule>
    <cfRule type="expression" dxfId="299" priority="187">
      <formula>$E3="LOLO"</formula>
    </cfRule>
    <cfRule type="expression" dxfId="298" priority="188">
      <formula>$E3="THC"</formula>
    </cfRule>
  </conditionalFormatting>
  <conditionalFormatting sqref="A3:Q39">
    <cfRule type="expression" dxfId="297" priority="75">
      <formula>$X3="PENDING"</formula>
    </cfRule>
  </conditionalFormatting>
  <conditionalFormatting sqref="A2:U39">
    <cfRule type="expression" dxfId="296" priority="1">
      <formula>$U$2="PENDING"</formula>
    </cfRule>
  </conditionalFormatting>
  <conditionalFormatting sqref="A40:XFD1000">
    <cfRule type="expression" dxfId="295" priority="107">
      <formula>$X40="PENDING"</formula>
    </cfRule>
  </conditionalFormatting>
  <conditionalFormatting sqref="E3:E19">
    <cfRule type="duplicateValues" dxfId="294" priority="196"/>
    <cfRule type="duplicateValues" dxfId="293" priority="197"/>
  </conditionalFormatting>
  <conditionalFormatting sqref="E20">
    <cfRule type="duplicateValues" dxfId="292" priority="198"/>
  </conditionalFormatting>
  <conditionalFormatting sqref="E24:E31 E34">
    <cfRule type="duplicateValues" dxfId="291" priority="179"/>
    <cfRule type="duplicateValues" dxfId="290" priority="180"/>
  </conditionalFormatting>
  <conditionalFormatting sqref="E32">
    <cfRule type="duplicateValues" dxfId="289" priority="130"/>
    <cfRule type="duplicateValues" dxfId="288" priority="131"/>
  </conditionalFormatting>
  <conditionalFormatting sqref="E33">
    <cfRule type="duplicateValues" dxfId="287" priority="113"/>
    <cfRule type="duplicateValues" dxfId="286" priority="114"/>
  </conditionalFormatting>
  <conditionalFormatting sqref="E35:E39 E20:E23">
    <cfRule type="duplicateValues" dxfId="285" priority="4968"/>
  </conditionalFormatting>
  <conditionalFormatting sqref="E35:E1048576 E21:E23 E1:E2">
    <cfRule type="duplicateValues" dxfId="284" priority="195"/>
  </conditionalFormatting>
  <conditionalFormatting sqref="E3:G19 K3:K19">
    <cfRule type="expression" dxfId="283" priority="164">
      <formula>$E3="STORAGE"</formula>
    </cfRule>
    <cfRule type="expression" dxfId="282" priority="165">
      <formula>$E3="LOLO"</formula>
    </cfRule>
    <cfRule type="expression" dxfId="281" priority="166">
      <formula>$E3="THC"</formula>
    </cfRule>
    <cfRule type="expression" dxfId="280" priority="167">
      <formula>$D3=$O$2</formula>
    </cfRule>
  </conditionalFormatting>
  <conditionalFormatting sqref="E20:G20 K20 B20">
    <cfRule type="expression" dxfId="279" priority="185">
      <formula>$C20=$N$2</formula>
    </cfRule>
  </conditionalFormatting>
  <conditionalFormatting sqref="E24:G31 J23:K26 K27:K28">
    <cfRule type="expression" dxfId="278" priority="175">
      <formula>$A23="PAID"</formula>
    </cfRule>
  </conditionalFormatting>
  <conditionalFormatting sqref="E32:G32 J32:K32">
    <cfRule type="expression" dxfId="277" priority="126">
      <formula>$A32="PAID"</formula>
    </cfRule>
  </conditionalFormatting>
  <conditionalFormatting sqref="E34:G39">
    <cfRule type="expression" dxfId="276" priority="108">
      <formula>$A34="PAID"</formula>
    </cfRule>
  </conditionalFormatting>
  <conditionalFormatting sqref="E35:G39">
    <cfRule type="expression" dxfId="275" priority="109">
      <formula>$D35=$O$2</formula>
    </cfRule>
    <cfRule type="expression" dxfId="274" priority="110">
      <formula>$E35="STORAGE"</formula>
    </cfRule>
    <cfRule type="expression" dxfId="273" priority="111">
      <formula>$E35="LOLO"</formula>
    </cfRule>
    <cfRule type="expression" dxfId="272" priority="112">
      <formula>$E35="THC"</formula>
    </cfRule>
  </conditionalFormatting>
  <conditionalFormatting sqref="H3:H39">
    <cfRule type="duplicateValues" dxfId="271" priority="4970"/>
    <cfRule type="duplicateValues" dxfId="270" priority="4971"/>
    <cfRule type="duplicateValues" dxfId="269" priority="4972"/>
  </conditionalFormatting>
  <conditionalFormatting sqref="H32">
    <cfRule type="duplicateValues" dxfId="268" priority="132"/>
    <cfRule type="duplicateValues" dxfId="267" priority="133"/>
    <cfRule type="duplicateValues" dxfId="266" priority="134"/>
    <cfRule type="expression" dxfId="265" priority="135">
      <formula>$D32=$O$2</formula>
    </cfRule>
  </conditionalFormatting>
  <conditionalFormatting sqref="H3:I39">
    <cfRule type="expression" dxfId="264" priority="4973">
      <formula>$D3=$O$2</formula>
    </cfRule>
  </conditionalFormatting>
  <conditionalFormatting sqref="H45:J50 H1:J2 H40:J41 H54:J1048576 H51:I53 H42:I43">
    <cfRule type="duplicateValues" dxfId="263" priority="192"/>
  </conditionalFormatting>
  <conditionalFormatting sqref="I3:I39">
    <cfRule type="duplicateValues" dxfId="262" priority="4975"/>
  </conditionalFormatting>
  <conditionalFormatting sqref="I45:I1048576 I1:I2 I40:I43">
    <cfRule type="duplicateValues" dxfId="261" priority="193"/>
  </conditionalFormatting>
  <conditionalFormatting sqref="I45:I1048576">
    <cfRule type="duplicateValues" dxfId="260" priority="190"/>
  </conditionalFormatting>
  <conditionalFormatting sqref="J3:J22 J29:K31 J42:J43">
    <cfRule type="expression" dxfId="259" priority="156">
      <formula>$E3="STORAGE"</formula>
    </cfRule>
    <cfRule type="expression" dxfId="258" priority="157">
      <formula>$E3="LOLO"</formula>
    </cfRule>
    <cfRule type="expression" dxfId="257" priority="158">
      <formula>$E3="THC"</formula>
    </cfRule>
  </conditionalFormatting>
  <conditionalFormatting sqref="J27:J28">
    <cfRule type="expression" dxfId="256" priority="140">
      <formula>$A27="PAID"</formula>
    </cfRule>
    <cfRule type="expression" dxfId="255" priority="141">
      <formula>$E27="STORAGE"</formula>
    </cfRule>
    <cfRule type="expression" dxfId="254" priority="142">
      <formula>$E27="LOLO"</formula>
    </cfRule>
    <cfRule type="expression" dxfId="253" priority="143">
      <formula>$E27="THC"</formula>
    </cfRule>
  </conditionalFormatting>
  <conditionalFormatting sqref="J37">
    <cfRule type="duplicateValues" dxfId="252" priority="207"/>
    <cfRule type="expression" dxfId="251" priority="208">
      <formula>$D37=$O$2</formula>
    </cfRule>
    <cfRule type="duplicateValues" dxfId="250" priority="209"/>
  </conditionalFormatting>
  <conditionalFormatting sqref="J43">
    <cfRule type="expression" dxfId="249" priority="173">
      <formula>$A43="PAID"</formula>
    </cfRule>
  </conditionalFormatting>
  <conditionalFormatting sqref="J45:J50 J1:J2 J40:J41 J54:J1048576">
    <cfRule type="duplicateValues" dxfId="248" priority="189"/>
  </conditionalFormatting>
  <conditionalFormatting sqref="J23:K26 E24:G31 K27:K28">
    <cfRule type="expression" dxfId="247" priority="176">
      <formula>$E23="STORAGE"</formula>
    </cfRule>
    <cfRule type="expression" dxfId="246" priority="177">
      <formula>$E23="LOLO"</formula>
    </cfRule>
    <cfRule type="expression" dxfId="245" priority="178">
      <formula>$E23="THC"</formula>
    </cfRule>
  </conditionalFormatting>
  <conditionalFormatting sqref="J29:K31 J42 J3:J22">
    <cfRule type="expression" dxfId="244" priority="155">
      <formula>$A3="PAID"</formula>
    </cfRule>
  </conditionalFormatting>
  <conditionalFormatting sqref="J32:K32 E32:G33 J33:J35">
    <cfRule type="expression" dxfId="243" priority="127">
      <formula>$E32="STORAGE"</formula>
    </cfRule>
    <cfRule type="expression" dxfId="242" priority="128">
      <formula>$E32="LOLO"</formula>
    </cfRule>
    <cfRule type="expression" dxfId="241" priority="129">
      <formula>$E32="THC"</formula>
    </cfRule>
  </conditionalFormatting>
  <conditionalFormatting sqref="K20:K21 E20:G23">
    <cfRule type="expression" dxfId="240" priority="147">
      <formula>$E20="STORAGE"</formula>
    </cfRule>
    <cfRule type="expression" dxfId="239" priority="148">
      <formula>$E20="LOLO"</formula>
    </cfRule>
    <cfRule type="expression" dxfId="238" priority="149">
      <formula>$E20="THC"</formula>
    </cfRule>
  </conditionalFormatting>
  <conditionalFormatting sqref="K22">
    <cfRule type="expression" dxfId="237" priority="181">
      <formula>$A22="PAID"</formula>
    </cfRule>
    <cfRule type="expression" dxfId="236" priority="182">
      <formula>$E22="STORAGE"</formula>
    </cfRule>
    <cfRule type="expression" dxfId="235" priority="183">
      <formula>$E22="LOLO"</formula>
    </cfRule>
    <cfRule type="expression" dxfId="234" priority="184">
      <formula>$E22="THC"</formula>
    </cfRule>
  </conditionalFormatting>
  <conditionalFormatting sqref="L34:L41 A40 H3:I35 A3:D39 L32:Q33 J33:K35 I35:I39 H36:K39">
    <cfRule type="expression" dxfId="233" priority="118">
      <formula>$A3="PAID"</formula>
    </cfRule>
  </conditionalFormatting>
  <conditionalFormatting sqref="L42">
    <cfRule type="expression" dxfId="232" priority="194">
      <formula>#REF!=$M$1</formula>
    </cfRule>
  </conditionalFormatting>
  <conditionalFormatting sqref="L3:M3 M4:M31">
    <cfRule type="expression" dxfId="231" priority="159">
      <formula>$E3="STORAGE"</formula>
    </cfRule>
    <cfRule type="expression" dxfId="230" priority="160">
      <formula>$E3="LOLO"</formula>
    </cfRule>
    <cfRule type="expression" dxfId="229" priority="161">
      <formula>$E3="THC"</formula>
    </cfRule>
    <cfRule type="expression" dxfId="228" priority="162">
      <formula>$A3="PAID"</formula>
    </cfRule>
  </conditionalFormatting>
  <conditionalFormatting sqref="L3:M31 M34:M40 L34:L41">
    <cfRule type="expression" dxfId="227" priority="163">
      <formula>$M3=$M$1</formula>
    </cfRule>
  </conditionalFormatting>
  <conditionalFormatting sqref="L4:M31 K33:Q39 M40:P40 B40:L41 N3:O31 P4:Q31 E21:G31 E33:G34 Q40:W42 B3:B19 C3:D39 B42:I42 K42:L42">
    <cfRule type="expression" dxfId="226" priority="168">
      <formula>$D3=$O$2</formula>
    </cfRule>
  </conditionalFormatting>
  <conditionalFormatting sqref="L32:M33">
    <cfRule type="expression" dxfId="225" priority="124">
      <formula>$M32=$M$1</formula>
    </cfRule>
  </conditionalFormatting>
  <conditionalFormatting sqref="L4:Q31 K3:K21 E3:G23 E33:G33">
    <cfRule type="expression" dxfId="224" priority="153">
      <formula>$A3="PAID"</formula>
    </cfRule>
  </conditionalFormatting>
  <conditionalFormatting sqref="L32:Q32 B21:B39 E32:G32">
    <cfRule type="expression" dxfId="223" priority="125">
      <formula>$D21=$O$2</formula>
    </cfRule>
  </conditionalFormatting>
  <conditionalFormatting sqref="L32:S33">
    <cfRule type="expression" dxfId="222" priority="37">
      <formula>$E32="STORAGE"</formula>
    </cfRule>
    <cfRule type="expression" dxfId="221" priority="38">
      <formula>$E32="LOLO"</formula>
    </cfRule>
    <cfRule type="expression" dxfId="220" priority="39">
      <formula>$E32="THC"</formula>
    </cfRule>
  </conditionalFormatting>
  <conditionalFormatting sqref="M4:M31 K21:K31 L3:M3">
    <cfRule type="expression" dxfId="219" priority="154">
      <formula>$D3=$O$2</formula>
    </cfRule>
  </conditionalFormatting>
  <conditionalFormatting sqref="M32 K32">
    <cfRule type="expression" dxfId="218" priority="119">
      <formula>$D32=$O$2</formula>
    </cfRule>
  </conditionalFormatting>
  <conditionalFormatting sqref="M32:M39">
    <cfRule type="expression" dxfId="217" priority="120">
      <formula>$E32="STORAGE"</formula>
    </cfRule>
    <cfRule type="expression" dxfId="216" priority="121">
      <formula>$E32="LOLO"</formula>
    </cfRule>
    <cfRule type="expression" dxfId="215" priority="122">
      <formula>$E32="THC"</formula>
    </cfRule>
    <cfRule type="expression" dxfId="214" priority="123">
      <formula>$A32="PAID"</formula>
    </cfRule>
  </conditionalFormatting>
  <conditionalFormatting sqref="M34:Q39">
    <cfRule type="expression" dxfId="213" priority="76">
      <formula>$A34="PAID"</formula>
    </cfRule>
  </conditionalFormatting>
  <conditionalFormatting sqref="N3:Q3 V3:W3 V4:V39">
    <cfRule type="expression" dxfId="212" priority="174">
      <formula>$A3="PAID"</formula>
    </cfRule>
  </conditionalFormatting>
  <conditionalFormatting sqref="N3:S31">
    <cfRule type="expression" dxfId="211" priority="42">
      <formula>$E3="STORAGE"</formula>
    </cfRule>
    <cfRule type="expression" dxfId="210" priority="43">
      <formula>$E3="LOLO"</formula>
    </cfRule>
    <cfRule type="expression" dxfId="209" priority="44">
      <formula>$E3="THC"</formula>
    </cfRule>
  </conditionalFormatting>
  <conditionalFormatting sqref="P3:Q3 V3:W3 V4:V39">
    <cfRule type="expression" dxfId="208" priority="191">
      <formula>$D3=$O$2</formula>
    </cfRule>
  </conditionalFormatting>
  <conditionalFormatting sqref="R3:S27 R29:S39">
    <cfRule type="expression" dxfId="207" priority="36">
      <formula>$X3="PENDING"</formula>
    </cfRule>
  </conditionalFormatting>
  <conditionalFormatting sqref="R3:S31">
    <cfRule type="expression" dxfId="206" priority="45">
      <formula>$A3="PAID"</formula>
    </cfRule>
    <cfRule type="expression" dxfId="205" priority="46">
      <formula>$D3=$O$2</formula>
    </cfRule>
  </conditionalFormatting>
  <conditionalFormatting sqref="R28:S28">
    <cfRule type="expression" dxfId="204" priority="52">
      <formula>#REF!="PENDING"</formula>
    </cfRule>
  </conditionalFormatting>
  <conditionalFormatting sqref="R32:S39">
    <cfRule type="expression" dxfId="203" priority="40">
      <formula>$A32="PAID"</formula>
    </cfRule>
    <cfRule type="expression" dxfId="202" priority="41">
      <formula>$D32=$O$2</formula>
    </cfRule>
  </conditionalFormatting>
  <conditionalFormatting sqref="R34:S39">
    <cfRule type="expression" dxfId="201" priority="48">
      <formula>$E34="STORAGE"</formula>
    </cfRule>
    <cfRule type="expression" dxfId="200" priority="49">
      <formula>$E34="LOLO"</formula>
    </cfRule>
    <cfRule type="expression" dxfId="199" priority="50">
      <formula>$E34="THC"</formula>
    </cfRule>
  </conditionalFormatting>
  <conditionalFormatting sqref="T3:T39 V3:XFD39">
    <cfRule type="expression" dxfId="198" priority="69">
      <formula>$X3="PENDING"</formula>
    </cfRule>
  </conditionalFormatting>
  <conditionalFormatting sqref="T3:T39 W4:W39">
    <cfRule type="expression" dxfId="197" priority="74">
      <formula>$D3=$O$2</formula>
    </cfRule>
  </conditionalFormatting>
  <conditionalFormatting sqref="T34:T39">
    <cfRule type="expression" dxfId="196" priority="78">
      <formula>$E34="STORAGE"</formula>
    </cfRule>
    <cfRule type="expression" dxfId="195" priority="79">
      <formula>$E34="LOLO"</formula>
    </cfRule>
    <cfRule type="expression" dxfId="194" priority="80">
      <formula>$E34="THC"</formula>
    </cfRule>
  </conditionalFormatting>
  <conditionalFormatting sqref="T3:U33">
    <cfRule type="expression" dxfId="193" priority="3">
      <formula>$E3="STORAGE"</formula>
    </cfRule>
    <cfRule type="expression" dxfId="192" priority="4">
      <formula>$E3="LOLO"</formula>
    </cfRule>
    <cfRule type="expression" dxfId="191" priority="5">
      <formula>$E3="THC"</formula>
    </cfRule>
  </conditionalFormatting>
  <conditionalFormatting sqref="U3:U27 U29:U39">
    <cfRule type="expression" dxfId="190" priority="2">
      <formula>$X3="PENDING"</formula>
    </cfRule>
  </conditionalFormatting>
  <conditionalFormatting sqref="U3:U39">
    <cfRule type="expression" dxfId="189" priority="6">
      <formula>$A3="PAID"</formula>
    </cfRule>
    <cfRule type="expression" dxfId="188" priority="7">
      <formula>$D3=$O$2</formula>
    </cfRule>
  </conditionalFormatting>
  <conditionalFormatting sqref="U28">
    <cfRule type="expression" dxfId="187" priority="18">
      <formula>#REF!="PENDING"</formula>
    </cfRule>
  </conditionalFormatting>
  <conditionalFormatting sqref="U34:U39">
    <cfRule type="expression" dxfId="186" priority="14">
      <formula>$E34="STORAGE"</formula>
    </cfRule>
    <cfRule type="expression" dxfId="185" priority="15">
      <formula>$E34="LOLO"</formula>
    </cfRule>
    <cfRule type="expression" dxfId="184" priority="16">
      <formula>$E34="THC"</formula>
    </cfRule>
  </conditionalFormatting>
  <conditionalFormatting sqref="W4:W39 T3:T39">
    <cfRule type="expression" dxfId="183" priority="73">
      <formula>$A3="PAID"</formula>
    </cfRule>
  </conditionalFormatting>
  <conditionalFormatting sqref="W4:XFD33">
    <cfRule type="expression" dxfId="182" priority="70">
      <formula>$E4="STORAGE"</formula>
    </cfRule>
    <cfRule type="expression" dxfId="181" priority="71">
      <formula>$E4="LOLO"</formula>
    </cfRule>
    <cfRule type="expression" dxfId="180" priority="72">
      <formula>$E4="THC"</formula>
    </cfRule>
  </conditionalFormatting>
  <pageMargins left="0.7" right="0.7" top="0.75" bottom="0.75" header="0.3" footer="0.3"/>
  <pageSetup paperSize="9" scale="66" orientation="portrait" r:id="rId1"/>
  <rowBreaks count="1" manualBreakCount="1">
    <brk id="2" max="21" man="1"/>
  </rowBreaks>
  <colBreaks count="2" manualBreakCount="2">
    <brk id="7" max="82" man="1"/>
    <brk id="14" max="79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4" id="{5125D8CA-69A6-468E-BD76-AFA050F6FF13}">
            <xm:f>'06'!$E79="STORAGE"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expression" priority="145" id="{6A7374BA-2659-4FBF-9D52-05A7C25E5C23}">
            <xm:f>'06'!$E79="LOLO"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14:cfRule type="expression" priority="146" id="{F6E6722B-75C5-4651-96AE-0C63692D07DA}">
            <xm:f>'06'!$E79="THC"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X42:XFD42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view="pageBreakPreview" zoomScale="70" zoomScaleNormal="70" zoomScaleSheetLayoutView="70" workbookViewId="0">
      <selection activeCell="S14" sqref="S14"/>
    </sheetView>
  </sheetViews>
  <sheetFormatPr defaultColWidth="14" defaultRowHeight="15" customHeight="1"/>
  <cols>
    <col min="1" max="3" width="14" style="9"/>
    <col min="4" max="4" width="23.85546875" style="9" customWidth="1"/>
    <col min="5" max="5" width="30.42578125" style="9" customWidth="1"/>
    <col min="6" max="6" width="15.5703125" style="8" customWidth="1"/>
    <col min="7" max="7" width="18.42578125" style="9" customWidth="1"/>
    <col min="8" max="8" width="15.42578125" style="9" customWidth="1"/>
    <col min="9" max="9" width="20" style="9" customWidth="1"/>
    <col min="10" max="10" width="15.42578125" style="9" bestFit="1" customWidth="1"/>
    <col min="11" max="11" width="17" style="120" customWidth="1"/>
    <col min="12" max="12" width="14" style="8"/>
    <col min="13" max="13" width="14" style="9"/>
    <col min="14" max="14" width="14.42578125" style="9" bestFit="1" customWidth="1"/>
    <col min="15" max="21" width="14" style="9"/>
    <col min="22" max="22" width="15.42578125" style="9" customWidth="1"/>
    <col min="23" max="23" width="46.85546875" style="8" bestFit="1" customWidth="1"/>
    <col min="24" max="16384" width="14" style="9"/>
  </cols>
  <sheetData>
    <row r="1" spans="1:24">
      <c r="A1" s="8"/>
      <c r="C1" s="10"/>
      <c r="D1" s="10"/>
      <c r="E1" s="5" t="s">
        <v>0</v>
      </c>
      <c r="F1" s="290"/>
      <c r="G1" s="6"/>
      <c r="H1" s="11"/>
      <c r="I1" s="12"/>
      <c r="J1" s="13"/>
      <c r="K1" s="13"/>
      <c r="L1" s="11"/>
      <c r="M1" s="11" t="s">
        <v>193</v>
      </c>
      <c r="V1" s="8"/>
    </row>
    <row r="2" spans="1:24" ht="47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352" t="s">
        <v>1845</v>
      </c>
      <c r="L2" s="121" t="s">
        <v>31</v>
      </c>
      <c r="M2" s="121" t="s">
        <v>34</v>
      </c>
      <c r="N2" s="121" t="s">
        <v>201</v>
      </c>
      <c r="O2" s="137" t="s">
        <v>7</v>
      </c>
      <c r="P2" s="137" t="s">
        <v>1233</v>
      </c>
      <c r="Q2" s="123" t="s">
        <v>2</v>
      </c>
      <c r="R2" s="127" t="s">
        <v>17</v>
      </c>
      <c r="S2" s="128" t="s">
        <v>15</v>
      </c>
      <c r="T2" s="128" t="s">
        <v>16</v>
      </c>
      <c r="U2" s="128" t="s">
        <v>12</v>
      </c>
      <c r="V2" s="129" t="s">
        <v>194</v>
      </c>
      <c r="W2" s="123" t="s">
        <v>6</v>
      </c>
    </row>
    <row r="3" spans="1:24" ht="18" customHeight="1">
      <c r="A3" s="14" t="s">
        <v>208</v>
      </c>
      <c r="B3" s="143">
        <v>1</v>
      </c>
      <c r="C3" s="16" t="str">
        <f>INDEX(PORT!$B$2:$B$20,MATCH('09'!B3,PORT!$A$2:$A$20))</f>
        <v>PNH01</v>
      </c>
      <c r="D3" s="10" t="str">
        <f>INDEX(PORT!$C$2:$C$20,MATCH('09'!B3,PORT!$A$2:$A$20))</f>
        <v>KTI AIR PORT</v>
      </c>
      <c r="E3" s="172" t="s">
        <v>1702</v>
      </c>
      <c r="F3" s="172">
        <v>46267</v>
      </c>
      <c r="G3" s="155" t="s">
        <v>10</v>
      </c>
      <c r="H3" s="49" t="s">
        <v>1705</v>
      </c>
      <c r="I3" s="49" t="s">
        <v>1706</v>
      </c>
      <c r="J3" s="167" t="s">
        <v>1740</v>
      </c>
      <c r="K3" s="260">
        <v>46268</v>
      </c>
      <c r="L3" s="21" t="str">
        <f>VLOOKUP(K3,'[9]Exchange Rate'!$A$3:$D$26,3,FALSE)</f>
        <v>4047</v>
      </c>
      <c r="M3" s="20" t="str">
        <f t="shared" ref="M3:M39" si="0">TEXT(K3,"dddd")</f>
        <v>Thursday</v>
      </c>
      <c r="N3" s="148">
        <v>172.23</v>
      </c>
      <c r="O3" s="233">
        <v>0</v>
      </c>
      <c r="P3" s="233">
        <v>0</v>
      </c>
      <c r="Q3" s="22">
        <v>50</v>
      </c>
      <c r="R3" s="182"/>
      <c r="S3" s="182"/>
      <c r="T3" s="182"/>
      <c r="U3" s="182"/>
      <c r="V3" s="24">
        <f t="shared" ref="V3:V39" si="1">(R3+S3+U3)-(N3+O3+Q3+P3)</f>
        <v>-222.23</v>
      </c>
      <c r="W3" s="216"/>
    </row>
    <row r="4" spans="1:24" ht="18" customHeight="1">
      <c r="A4" s="14" t="s">
        <v>208</v>
      </c>
      <c r="B4" s="143">
        <v>4</v>
      </c>
      <c r="C4" s="16" t="str">
        <f>INDEX(PORT!$B$2:$B$20,MATCH('09'!B4,PORT!$A$2:$A$20))</f>
        <v>PNH04</v>
      </c>
      <c r="D4" s="10" t="str">
        <f>INDEX(PORT!$C$2:$C$20,MATCH('09'!B4,PORT!$A$2:$A$20))</f>
        <v>PNH PORT</v>
      </c>
      <c r="E4" s="235" t="s">
        <v>1693</v>
      </c>
      <c r="F4" s="235">
        <v>46267</v>
      </c>
      <c r="G4" s="316" t="s">
        <v>10</v>
      </c>
      <c r="H4" s="49" t="s">
        <v>1707</v>
      </c>
      <c r="I4" s="49" t="s">
        <v>1708</v>
      </c>
      <c r="J4" s="167" t="s">
        <v>1741</v>
      </c>
      <c r="K4" s="317">
        <v>46268</v>
      </c>
      <c r="L4" s="21" t="str">
        <f>VLOOKUP(K4,'[9]Exchange Rate'!$A$3:$D$26,3,FALSE)</f>
        <v>4047</v>
      </c>
      <c r="M4" s="20" t="str">
        <f t="shared" si="0"/>
        <v>Thursday</v>
      </c>
      <c r="N4" s="148">
        <v>440.25</v>
      </c>
      <c r="O4" s="233">
        <v>0</v>
      </c>
      <c r="P4" s="233"/>
      <c r="Q4" s="22">
        <v>50</v>
      </c>
      <c r="R4" s="182"/>
      <c r="S4" s="182"/>
      <c r="T4" s="182"/>
      <c r="U4" s="182"/>
      <c r="V4" s="24">
        <f t="shared" si="1"/>
        <v>-490.25</v>
      </c>
      <c r="W4" s="16"/>
    </row>
    <row r="5" spans="1:24" ht="18" customHeight="1">
      <c r="A5" s="14" t="s">
        <v>208</v>
      </c>
      <c r="B5" s="151">
        <v>4</v>
      </c>
      <c r="C5" s="16" t="str">
        <f>INDEX(PORT!$B$2:$B$20,MATCH('09'!B5,PORT!$A$2:$A$20))</f>
        <v>PNH04</v>
      </c>
      <c r="D5" s="10" t="str">
        <f>INDEX(PORT!$C$2:$C$20,MATCH('09'!B5,PORT!$A$2:$A$20))</f>
        <v>PNH PORT</v>
      </c>
      <c r="E5" s="215" t="s">
        <v>1695</v>
      </c>
      <c r="F5" s="166">
        <v>46267</v>
      </c>
      <c r="G5" s="165" t="s">
        <v>41</v>
      </c>
      <c r="H5" s="49" t="s">
        <v>1709</v>
      </c>
      <c r="I5" s="49" t="s">
        <v>1710</v>
      </c>
      <c r="J5" s="167" t="s">
        <v>1747</v>
      </c>
      <c r="K5" s="166">
        <v>46268</v>
      </c>
      <c r="L5" s="21" t="str">
        <f>VLOOKUP(K5,'[9]Exchange Rate'!$A$3:$D$26,3,FALSE)</f>
        <v>4047</v>
      </c>
      <c r="M5" s="20" t="str">
        <f t="shared" si="0"/>
        <v>Thursday</v>
      </c>
      <c r="N5" s="148">
        <v>532.75</v>
      </c>
      <c r="O5" s="233">
        <v>539</v>
      </c>
      <c r="P5" s="233">
        <v>0</v>
      </c>
      <c r="Q5" s="22">
        <v>0</v>
      </c>
      <c r="R5" s="182"/>
      <c r="S5" s="182"/>
      <c r="T5" s="182"/>
      <c r="U5" s="182"/>
      <c r="V5" s="24">
        <f t="shared" si="1"/>
        <v>-1071.75</v>
      </c>
      <c r="W5" s="29"/>
    </row>
    <row r="6" spans="1:24" ht="18" customHeight="1">
      <c r="A6" s="14" t="s">
        <v>208</v>
      </c>
      <c r="B6" s="15">
        <v>1</v>
      </c>
      <c r="C6" s="16" t="str">
        <f>INDEX(PORT!$B$2:$B$20,MATCH('09'!B6,PORT!$A$2:$A$20))</f>
        <v>PNH01</v>
      </c>
      <c r="D6" s="10" t="str">
        <f>INDEX(PORT!$C$2:$C$20,MATCH('09'!B6,PORT!$A$2:$A$20))</f>
        <v>KTI AIR PORT</v>
      </c>
      <c r="E6" s="18" t="s">
        <v>1689</v>
      </c>
      <c r="F6" s="18">
        <v>46272</v>
      </c>
      <c r="G6" s="19" t="s">
        <v>4</v>
      </c>
      <c r="H6" s="49" t="s">
        <v>1711</v>
      </c>
      <c r="I6" s="49" t="s">
        <v>1712</v>
      </c>
      <c r="J6" s="167" t="s">
        <v>1735</v>
      </c>
      <c r="K6" s="194">
        <v>46273</v>
      </c>
      <c r="L6" s="21" t="str">
        <f>VLOOKUP(K6,'[9]Exchange Rate'!$A$3:$D$26,3,FALSE)</f>
        <v>4050</v>
      </c>
      <c r="M6" s="20" t="str">
        <f t="shared" si="0"/>
        <v>Tuesday</v>
      </c>
      <c r="N6" s="26">
        <v>122.29</v>
      </c>
      <c r="O6" s="233">
        <v>0</v>
      </c>
      <c r="P6" s="233">
        <v>0</v>
      </c>
      <c r="Q6" s="22">
        <v>50</v>
      </c>
      <c r="R6" s="182"/>
      <c r="S6" s="182"/>
      <c r="T6" s="182"/>
      <c r="U6" s="182"/>
      <c r="V6" s="24">
        <f t="shared" si="1"/>
        <v>-172.29000000000002</v>
      </c>
      <c r="W6" s="19"/>
    </row>
    <row r="7" spans="1:24" ht="18" customHeight="1">
      <c r="A7" s="14" t="s">
        <v>208</v>
      </c>
      <c r="B7" s="143">
        <v>1</v>
      </c>
      <c r="C7" s="16" t="str">
        <f>INDEX(PORT!$B$2:$B$20,MATCH('09'!B7,PORT!$A$2:$A$20))</f>
        <v>PNH01</v>
      </c>
      <c r="D7" s="10" t="str">
        <f>INDEX(PORT!$C$2:$C$20,MATCH('09'!B7,PORT!$A$2:$A$20))</f>
        <v>KTI AIR PORT</v>
      </c>
      <c r="E7" s="236" t="s">
        <v>1690</v>
      </c>
      <c r="F7" s="172">
        <v>46272</v>
      </c>
      <c r="G7" s="155" t="s">
        <v>4</v>
      </c>
      <c r="H7" s="49" t="s">
        <v>1713</v>
      </c>
      <c r="I7" s="49" t="s">
        <v>1714</v>
      </c>
      <c r="J7" s="167" t="s">
        <v>1736</v>
      </c>
      <c r="K7" s="260">
        <v>46273</v>
      </c>
      <c r="L7" s="21" t="str">
        <f>VLOOKUP(K7,'[9]Exchange Rate'!$A$3:$D$26,3,FALSE)</f>
        <v>4050</v>
      </c>
      <c r="M7" s="20" t="str">
        <f t="shared" si="0"/>
        <v>Tuesday</v>
      </c>
      <c r="N7" s="148">
        <v>120.45</v>
      </c>
      <c r="O7" s="233">
        <v>0</v>
      </c>
      <c r="P7" s="233"/>
      <c r="Q7" s="22">
        <v>50</v>
      </c>
      <c r="R7" s="182"/>
      <c r="S7" s="182"/>
      <c r="T7" s="182"/>
      <c r="U7" s="182"/>
      <c r="V7" s="24">
        <f t="shared" si="1"/>
        <v>-170.45</v>
      </c>
      <c r="W7" s="31"/>
    </row>
    <row r="8" spans="1:24" s="37" customFormat="1" ht="18" customHeight="1">
      <c r="A8" s="14" t="s">
        <v>208</v>
      </c>
      <c r="B8" s="15"/>
      <c r="C8" s="16"/>
      <c r="D8" s="10" t="s">
        <v>1751</v>
      </c>
      <c r="E8" s="18" t="s">
        <v>1699</v>
      </c>
      <c r="F8" s="18">
        <v>46272</v>
      </c>
      <c r="G8" s="19" t="s">
        <v>4</v>
      </c>
      <c r="H8" s="49" t="s">
        <v>1715</v>
      </c>
      <c r="I8" s="49" t="s">
        <v>1716</v>
      </c>
      <c r="J8" s="167" t="s">
        <v>1737</v>
      </c>
      <c r="K8" s="194">
        <v>46273</v>
      </c>
      <c r="L8" s="21" t="str">
        <f>VLOOKUP(K8,'[9]Exchange Rate'!$A$3:$D$26,3,FALSE)</f>
        <v>4050</v>
      </c>
      <c r="M8" s="20" t="str">
        <f t="shared" si="0"/>
        <v>Tuesday</v>
      </c>
      <c r="N8" s="26">
        <v>165.56</v>
      </c>
      <c r="O8" s="233">
        <v>235.29</v>
      </c>
      <c r="P8" s="233"/>
      <c r="Q8" s="22">
        <v>50</v>
      </c>
      <c r="R8" s="182"/>
      <c r="S8" s="182"/>
      <c r="T8" s="182"/>
      <c r="U8" s="182"/>
      <c r="V8" s="24">
        <f t="shared" si="1"/>
        <v>-450.85</v>
      </c>
      <c r="W8" s="19"/>
      <c r="X8" s="9"/>
    </row>
    <row r="9" spans="1:24" s="37" customFormat="1" ht="18" customHeight="1">
      <c r="A9" s="14" t="s">
        <v>208</v>
      </c>
      <c r="B9" s="143"/>
      <c r="C9" s="16"/>
      <c r="D9" s="10" t="s">
        <v>1751</v>
      </c>
      <c r="E9" s="172" t="s">
        <v>1701</v>
      </c>
      <c r="F9" s="172">
        <v>46272</v>
      </c>
      <c r="G9" s="250" t="s">
        <v>10</v>
      </c>
      <c r="H9" s="49" t="s">
        <v>1717</v>
      </c>
      <c r="I9" s="49" t="s">
        <v>1718</v>
      </c>
      <c r="J9" s="167" t="s">
        <v>1742</v>
      </c>
      <c r="K9" s="260">
        <v>46273</v>
      </c>
      <c r="L9" s="21" t="str">
        <f>VLOOKUP(K9,'[9]Exchange Rate'!$A$3:$D$26,3,FALSE)</f>
        <v>4050</v>
      </c>
      <c r="M9" s="20" t="str">
        <f t="shared" si="0"/>
        <v>Tuesday</v>
      </c>
      <c r="N9" s="148">
        <v>142.93</v>
      </c>
      <c r="O9" s="233">
        <v>247.17</v>
      </c>
      <c r="P9" s="233"/>
      <c r="Q9" s="22">
        <v>50</v>
      </c>
      <c r="R9" s="182"/>
      <c r="S9" s="182"/>
      <c r="T9" s="182"/>
      <c r="U9" s="182"/>
      <c r="V9" s="24">
        <f t="shared" si="1"/>
        <v>-440.1</v>
      </c>
      <c r="W9" s="155"/>
      <c r="X9" s="9"/>
    </row>
    <row r="10" spans="1:24" s="50" customFormat="1" ht="18" customHeight="1">
      <c r="A10" s="14" t="s">
        <v>208</v>
      </c>
      <c r="B10" s="143">
        <v>11</v>
      </c>
      <c r="C10" s="16" t="str">
        <f>INDEX(PORT!$B$2:$B$20,MATCH('09'!B10,PORT!$A$2:$A$20))</f>
        <v>SHV11</v>
      </c>
      <c r="D10" s="10" t="str">
        <f>INDEX(PORT!$C$2:$C$20,MATCH('09'!B10,PORT!$A$2:$A$20))</f>
        <v>SHV PORT</v>
      </c>
      <c r="E10" s="236" t="s">
        <v>1691</v>
      </c>
      <c r="F10" s="172">
        <v>46272</v>
      </c>
      <c r="G10" s="155" t="s">
        <v>10</v>
      </c>
      <c r="H10" s="49" t="s">
        <v>1719</v>
      </c>
      <c r="I10" s="49" t="s">
        <v>1720</v>
      </c>
      <c r="J10" s="167" t="s">
        <v>1743</v>
      </c>
      <c r="K10" s="260">
        <v>46273</v>
      </c>
      <c r="L10" s="21" t="str">
        <f>VLOOKUP(K10,'[9]Exchange Rate'!$A$3:$D$26,3,FALSE)</f>
        <v>4050</v>
      </c>
      <c r="M10" s="20" t="str">
        <f t="shared" si="0"/>
        <v>Tuesday</v>
      </c>
      <c r="N10" s="148">
        <v>155.12</v>
      </c>
      <c r="O10" s="233">
        <v>298.08</v>
      </c>
      <c r="P10" s="233"/>
      <c r="Q10" s="22">
        <v>50</v>
      </c>
      <c r="R10" s="182"/>
      <c r="S10" s="182"/>
      <c r="T10" s="182"/>
      <c r="U10" s="182"/>
      <c r="V10" s="24">
        <f t="shared" si="1"/>
        <v>-503.2</v>
      </c>
      <c r="W10" s="49"/>
      <c r="X10" s="9"/>
    </row>
    <row r="11" spans="1:24" s="50" customFormat="1" ht="18" customHeight="1">
      <c r="A11" s="14" t="s">
        <v>208</v>
      </c>
      <c r="B11" s="15">
        <v>4</v>
      </c>
      <c r="C11" s="16" t="str">
        <f>INDEX(PORT!$B$2:$B$20,MATCH('09'!B11,PORT!$A$2:$A$20))</f>
        <v>PNH04</v>
      </c>
      <c r="D11" s="10" t="str">
        <f>INDEX(PORT!$C$2:$C$20,MATCH('09'!B11,PORT!$A$2:$A$20))</f>
        <v>PNH PORT</v>
      </c>
      <c r="E11" s="16" t="s">
        <v>1696</v>
      </c>
      <c r="F11" s="18">
        <v>46274</v>
      </c>
      <c r="G11" s="19" t="s">
        <v>41</v>
      </c>
      <c r="H11" s="49" t="s">
        <v>1721</v>
      </c>
      <c r="I11" s="49" t="s">
        <v>1722</v>
      </c>
      <c r="J11" s="167" t="s">
        <v>1748</v>
      </c>
      <c r="K11" s="194">
        <v>46275</v>
      </c>
      <c r="L11" s="21" t="str">
        <f>VLOOKUP(K11,'[9]Exchange Rate'!$A$3:$D$26,3,FALSE)</f>
        <v>4052</v>
      </c>
      <c r="M11" s="20" t="str">
        <f t="shared" si="0"/>
        <v>Thursday</v>
      </c>
      <c r="N11" s="22">
        <v>532.75</v>
      </c>
      <c r="O11" s="233">
        <v>266.2</v>
      </c>
      <c r="P11" s="233">
        <v>0</v>
      </c>
      <c r="Q11" s="22">
        <v>0</v>
      </c>
      <c r="R11" s="182"/>
      <c r="S11" s="182"/>
      <c r="T11" s="182"/>
      <c r="U11" s="182"/>
      <c r="V11" s="24">
        <f t="shared" si="1"/>
        <v>-798.95</v>
      </c>
      <c r="W11" s="19"/>
      <c r="X11" s="9"/>
    </row>
    <row r="12" spans="1:24" s="37" customFormat="1" ht="18" customHeight="1">
      <c r="A12" s="14" t="s">
        <v>208</v>
      </c>
      <c r="B12" s="143">
        <v>11</v>
      </c>
      <c r="C12" s="16" t="str">
        <f>INDEX(PORT!$B$2:$B$20,MATCH('09'!B12,PORT!$A$2:$A$20))</f>
        <v>SHV11</v>
      </c>
      <c r="D12" s="10" t="str">
        <f>INDEX(PORT!$C$2:$C$20,MATCH('09'!B12,PORT!$A$2:$A$20))</f>
        <v>SHV PORT</v>
      </c>
      <c r="E12" s="215" t="s">
        <v>1704</v>
      </c>
      <c r="F12" s="166">
        <v>46274</v>
      </c>
      <c r="G12" s="155" t="s">
        <v>10</v>
      </c>
      <c r="H12" s="49" t="s">
        <v>1723</v>
      </c>
      <c r="I12" s="49" t="s">
        <v>1724</v>
      </c>
      <c r="J12" s="167" t="s">
        <v>1744</v>
      </c>
      <c r="K12" s="166">
        <v>46275</v>
      </c>
      <c r="L12" s="21" t="str">
        <f>VLOOKUP(K12,'[9]Exchange Rate'!$A$3:$D$26,3,FALSE)</f>
        <v>4052</v>
      </c>
      <c r="M12" s="20" t="str">
        <f t="shared" si="0"/>
        <v>Thursday</v>
      </c>
      <c r="N12" s="148">
        <v>336.58</v>
      </c>
      <c r="O12" s="233">
        <v>747.34</v>
      </c>
      <c r="P12" s="233"/>
      <c r="Q12" s="22">
        <v>50</v>
      </c>
      <c r="R12" s="182"/>
      <c r="S12" s="182"/>
      <c r="T12" s="182"/>
      <c r="U12" s="182"/>
      <c r="V12" s="24">
        <f t="shared" si="1"/>
        <v>-1133.92</v>
      </c>
      <c r="W12" s="19"/>
      <c r="X12" s="9"/>
    </row>
    <row r="13" spans="1:24" s="37" customFormat="1" ht="18" customHeight="1">
      <c r="A13" s="14" t="s">
        <v>208</v>
      </c>
      <c r="B13" s="143">
        <v>4</v>
      </c>
      <c r="C13" s="16" t="str">
        <f>INDEX(PORT!$B$2:$B$20,MATCH('09'!B13,PORT!$A$2:$A$20))</f>
        <v>PNH04</v>
      </c>
      <c r="D13" s="10" t="str">
        <f>INDEX(PORT!$C$2:$C$20,MATCH('09'!B13,PORT!$A$2:$A$20))</f>
        <v>PNH PORT</v>
      </c>
      <c r="E13" s="209" t="s">
        <v>1698</v>
      </c>
      <c r="F13" s="172">
        <v>46275</v>
      </c>
      <c r="G13" s="155" t="s">
        <v>4</v>
      </c>
      <c r="H13" s="49" t="s">
        <v>1725</v>
      </c>
      <c r="I13" s="49" t="s">
        <v>1726</v>
      </c>
      <c r="J13" s="167" t="s">
        <v>1738</v>
      </c>
      <c r="K13" s="195">
        <v>46276</v>
      </c>
      <c r="L13" s="21" t="str">
        <f>VLOOKUP(K13,'[9]Exchange Rate'!$A$3:$D$26,3,FALSE)</f>
        <v>4052</v>
      </c>
      <c r="M13" s="20" t="str">
        <f t="shared" si="0"/>
        <v>Friday</v>
      </c>
      <c r="N13" s="161">
        <v>547.75</v>
      </c>
      <c r="O13" s="233">
        <v>0</v>
      </c>
      <c r="P13" s="233"/>
      <c r="Q13" s="22">
        <v>50</v>
      </c>
      <c r="R13" s="182"/>
      <c r="S13" s="182"/>
      <c r="T13" s="182"/>
      <c r="U13" s="182"/>
      <c r="V13" s="24">
        <f t="shared" si="1"/>
        <v>-597.75</v>
      </c>
      <c r="W13" s="19"/>
      <c r="X13" s="9"/>
    </row>
    <row r="14" spans="1:24" s="37" customFormat="1" ht="18" customHeight="1">
      <c r="A14" s="14" t="s">
        <v>208</v>
      </c>
      <c r="B14" s="143">
        <v>4</v>
      </c>
      <c r="C14" s="16" t="str">
        <f>INDEX(PORT!$B$2:$B$20,MATCH('09'!B14,PORT!$A$2:$A$20))</f>
        <v>PNH04</v>
      </c>
      <c r="D14" s="10" t="str">
        <f>INDEX(PORT!$C$2:$C$20,MATCH('09'!B14,PORT!$A$2:$A$20))</f>
        <v>PNH PORT</v>
      </c>
      <c r="E14" s="18" t="s">
        <v>1700</v>
      </c>
      <c r="F14" s="172">
        <v>46275</v>
      </c>
      <c r="G14" s="155" t="s">
        <v>10</v>
      </c>
      <c r="H14" s="49" t="s">
        <v>1727</v>
      </c>
      <c r="I14" s="49" t="s">
        <v>1728</v>
      </c>
      <c r="J14" s="167" t="s">
        <v>1745</v>
      </c>
      <c r="K14" s="260">
        <v>46276</v>
      </c>
      <c r="L14" s="21" t="str">
        <f>VLOOKUP(K14,'[9]Exchange Rate'!$A$3:$D$26,3,FALSE)</f>
        <v>4052</v>
      </c>
      <c r="M14" s="20" t="str">
        <f t="shared" si="0"/>
        <v>Friday</v>
      </c>
      <c r="N14" s="148">
        <v>440.25</v>
      </c>
      <c r="O14" s="233">
        <v>0</v>
      </c>
      <c r="P14" s="233"/>
      <c r="Q14" s="22">
        <v>50</v>
      </c>
      <c r="R14" s="182"/>
      <c r="S14" s="182"/>
      <c r="T14" s="182"/>
      <c r="U14" s="182"/>
      <c r="V14" s="24">
        <f t="shared" si="1"/>
        <v>-490.25</v>
      </c>
      <c r="W14" s="140"/>
      <c r="X14" s="9"/>
    </row>
    <row r="15" spans="1:24" ht="18" customHeight="1">
      <c r="A15" s="14" t="s">
        <v>208</v>
      </c>
      <c r="B15" s="143">
        <v>4</v>
      </c>
      <c r="C15" s="16" t="str">
        <f>INDEX(PORT!$B$2:$B$20,MATCH('09'!B15,PORT!$A$2:$A$20))</f>
        <v>PNH04</v>
      </c>
      <c r="D15" s="10" t="str">
        <f>INDEX(PORT!$C$2:$C$20,MATCH('09'!B15,PORT!$A$2:$A$20))</f>
        <v>PNH PORT</v>
      </c>
      <c r="E15" s="236" t="s">
        <v>1697</v>
      </c>
      <c r="F15" s="172">
        <v>46276</v>
      </c>
      <c r="G15" s="155" t="s">
        <v>41</v>
      </c>
      <c r="H15" s="49" t="s">
        <v>1729</v>
      </c>
      <c r="I15" s="49" t="s">
        <v>1730</v>
      </c>
      <c r="J15" s="167" t="s">
        <v>1749</v>
      </c>
      <c r="K15" s="260">
        <v>46279</v>
      </c>
      <c r="L15" s="21" t="str">
        <f>VLOOKUP(K15,'[9]Exchange Rate'!$A$3:$D$26,3,FALSE)</f>
        <v>4052</v>
      </c>
      <c r="M15" s="20" t="str">
        <f t="shared" si="0"/>
        <v>Monday</v>
      </c>
      <c r="N15" s="148">
        <v>532.75</v>
      </c>
      <c r="O15" s="233">
        <v>539</v>
      </c>
      <c r="P15" s="233">
        <v>0</v>
      </c>
      <c r="Q15" s="22">
        <v>0</v>
      </c>
      <c r="R15" s="182"/>
      <c r="S15" s="182"/>
      <c r="T15" s="182"/>
      <c r="U15" s="182"/>
      <c r="V15" s="24">
        <f t="shared" si="1"/>
        <v>-1071.75</v>
      </c>
      <c r="W15" s="17"/>
    </row>
    <row r="16" spans="1:24" ht="18" customHeight="1">
      <c r="A16" s="14" t="s">
        <v>208</v>
      </c>
      <c r="B16" s="15">
        <v>1</v>
      </c>
      <c r="C16" s="16" t="str">
        <f>INDEX(PORT!$B$2:$B$20,MATCH('09'!B16,PORT!$A$2:$A$20))</f>
        <v>PNH01</v>
      </c>
      <c r="D16" s="10" t="str">
        <f>INDEX(PORT!$C$2:$C$20,MATCH('09'!B16,PORT!$A$2:$A$20))</f>
        <v>KTI AIR PORT</v>
      </c>
      <c r="E16" s="172" t="s">
        <v>1703</v>
      </c>
      <c r="F16" s="18">
        <v>46276</v>
      </c>
      <c r="G16" s="19" t="s">
        <v>10</v>
      </c>
      <c r="H16" s="49" t="s">
        <v>1731</v>
      </c>
      <c r="I16" s="49" t="s">
        <v>1732</v>
      </c>
      <c r="J16" s="167" t="s">
        <v>1746</v>
      </c>
      <c r="K16" s="194">
        <v>46279</v>
      </c>
      <c r="L16" s="21" t="str">
        <f>VLOOKUP(K16,'[9]Exchange Rate'!$A$3:$D$26,3,FALSE)</f>
        <v>4052</v>
      </c>
      <c r="M16" s="20" t="str">
        <f t="shared" si="0"/>
        <v>Monday</v>
      </c>
      <c r="N16" s="26">
        <v>108.15</v>
      </c>
      <c r="O16" s="233">
        <v>0</v>
      </c>
      <c r="P16" s="233"/>
      <c r="Q16" s="22">
        <v>50</v>
      </c>
      <c r="R16" s="182"/>
      <c r="S16" s="182"/>
      <c r="T16" s="182"/>
      <c r="U16" s="182"/>
      <c r="V16" s="24">
        <f t="shared" si="1"/>
        <v>-158.15</v>
      </c>
      <c r="W16" s="19"/>
    </row>
    <row r="17" spans="1:26" ht="18" customHeight="1">
      <c r="A17" s="14" t="s">
        <v>208</v>
      </c>
      <c r="B17" s="143">
        <v>11</v>
      </c>
      <c r="C17" s="16" t="str">
        <f>INDEX(PORT!$B$2:$B$20,MATCH('09'!B17,PORT!$A$2:$A$20))</f>
        <v>SHV11</v>
      </c>
      <c r="D17" s="10" t="str">
        <f>INDEX(PORT!$C$2:$C$20,MATCH('09'!B17,PORT!$A$2:$A$20))</f>
        <v>SHV PORT</v>
      </c>
      <c r="E17" s="209" t="s">
        <v>1750</v>
      </c>
      <c r="F17" s="172">
        <v>46277</v>
      </c>
      <c r="G17" s="155" t="s">
        <v>4</v>
      </c>
      <c r="H17" s="49" t="s">
        <v>1733</v>
      </c>
      <c r="I17" s="49" t="s">
        <v>1734</v>
      </c>
      <c r="J17" s="167" t="s">
        <v>1739</v>
      </c>
      <c r="K17" s="195">
        <v>46279</v>
      </c>
      <c r="L17" s="21" t="str">
        <f>VLOOKUP(K17,'[9]Exchange Rate'!$A$3:$D$26,3,FALSE)</f>
        <v>4052</v>
      </c>
      <c r="M17" s="20" t="str">
        <f t="shared" si="0"/>
        <v>Monday</v>
      </c>
      <c r="N17" s="161">
        <v>183.68</v>
      </c>
      <c r="O17" s="233">
        <v>304.99</v>
      </c>
      <c r="P17" s="233"/>
      <c r="Q17" s="22">
        <v>50</v>
      </c>
      <c r="R17" s="182"/>
      <c r="S17" s="182"/>
      <c r="T17" s="182"/>
      <c r="U17" s="182"/>
      <c r="V17" s="24">
        <f t="shared" si="1"/>
        <v>-538.67000000000007</v>
      </c>
      <c r="W17" s="19"/>
    </row>
    <row r="18" spans="1:26" ht="18" customHeight="1">
      <c r="A18" s="14" t="s">
        <v>208</v>
      </c>
      <c r="B18" s="151" t="s">
        <v>192</v>
      </c>
      <c r="C18" s="16" t="str">
        <f>INDEX(PORT!$B$2:$B$20,MATCH('09'!B18,PORT!$A$2:$A$20))</f>
        <v>SVR11</v>
      </c>
      <c r="D18" s="10" t="str">
        <f>INDEX(PORT!$C$2:$C$20,MATCH('09'!B18,PORT!$A$2:$A$20))</f>
        <v>BAVET CEO</v>
      </c>
      <c r="E18" s="172" t="s">
        <v>1835</v>
      </c>
      <c r="F18" s="172">
        <v>46281</v>
      </c>
      <c r="G18" s="155" t="s">
        <v>10</v>
      </c>
      <c r="H18" s="49" t="s">
        <v>1756</v>
      </c>
      <c r="I18" s="49" t="s">
        <v>1757</v>
      </c>
      <c r="J18" s="167" t="s">
        <v>1771</v>
      </c>
      <c r="K18" s="260">
        <v>46282</v>
      </c>
      <c r="L18" s="21" t="str">
        <f>VLOOKUP(K18,'[9]Exchange Rate'!$A$3:$D$26,3,FALSE)</f>
        <v>4053</v>
      </c>
      <c r="M18" s="20" t="str">
        <f t="shared" si="0"/>
        <v>Thursday</v>
      </c>
      <c r="N18" s="148">
        <v>133.75</v>
      </c>
      <c r="O18" s="233">
        <v>0</v>
      </c>
      <c r="P18" s="233"/>
      <c r="Q18" s="22">
        <v>50</v>
      </c>
      <c r="R18" s="182"/>
      <c r="S18" s="182"/>
      <c r="T18" s="182"/>
      <c r="U18" s="182"/>
      <c r="V18" s="24">
        <f t="shared" si="1"/>
        <v>-183.75</v>
      </c>
      <c r="W18" s="29"/>
    </row>
    <row r="19" spans="1:26" ht="18" customHeight="1">
      <c r="A19" s="14" t="s">
        <v>208</v>
      </c>
      <c r="B19" s="143">
        <v>4</v>
      </c>
      <c r="C19" s="16" t="str">
        <f>INDEX(PORT!$B$2:$B$20,MATCH('09'!B19,PORT!$A$2:$A$20))</f>
        <v>PNH04</v>
      </c>
      <c r="D19" s="10" t="str">
        <f>INDEX(PORT!$C$2:$C$20,MATCH('09'!B19,PORT!$A$2:$A$20))</f>
        <v>PNH PORT</v>
      </c>
      <c r="E19" s="236" t="s">
        <v>1754</v>
      </c>
      <c r="F19" s="172">
        <v>46282</v>
      </c>
      <c r="G19" s="155" t="s">
        <v>10</v>
      </c>
      <c r="H19" s="49" t="s">
        <v>1758</v>
      </c>
      <c r="I19" s="49" t="s">
        <v>1759</v>
      </c>
      <c r="J19" s="167" t="s">
        <v>1772</v>
      </c>
      <c r="K19" s="195">
        <v>46283</v>
      </c>
      <c r="L19" s="21" t="str">
        <f>VLOOKUP(K19,'[9]Exchange Rate'!$A$3:$D$26,3,FALSE)</f>
        <v>4053</v>
      </c>
      <c r="M19" s="20" t="str">
        <f t="shared" si="0"/>
        <v>Friday</v>
      </c>
      <c r="N19" s="161">
        <v>460.75</v>
      </c>
      <c r="O19" s="233">
        <v>0</v>
      </c>
      <c r="P19" s="233"/>
      <c r="Q19" s="22">
        <v>50</v>
      </c>
      <c r="R19" s="182"/>
      <c r="S19" s="182"/>
      <c r="T19" s="182"/>
      <c r="U19" s="182"/>
      <c r="V19" s="24">
        <f t="shared" si="1"/>
        <v>-510.75</v>
      </c>
      <c r="W19" s="19"/>
    </row>
    <row r="20" spans="1:26" ht="18" customHeight="1">
      <c r="A20" s="14" t="s">
        <v>208</v>
      </c>
      <c r="B20" s="143">
        <v>4</v>
      </c>
      <c r="C20" s="16" t="str">
        <f>INDEX(PORT!$B$2:$B$20,MATCH('09'!B21,PORT!$A$2:$A$20))</f>
        <v>PNH19</v>
      </c>
      <c r="D20" s="10" t="str">
        <f>INDEX(PORT!$C$2:$C$20,MATCH('09'!B21,PORT!$A$2:$A$20))</f>
        <v>TEC SRUN DRYPORT</v>
      </c>
      <c r="E20" s="60" t="s">
        <v>1782</v>
      </c>
      <c r="F20" s="172">
        <v>46283</v>
      </c>
      <c r="G20" s="155" t="s">
        <v>41</v>
      </c>
      <c r="H20" s="49" t="s">
        <v>1760</v>
      </c>
      <c r="I20" s="49" t="s">
        <v>1761</v>
      </c>
      <c r="J20" s="167" t="s">
        <v>1824</v>
      </c>
      <c r="K20" s="260">
        <v>46286</v>
      </c>
      <c r="L20" s="21" t="str">
        <f>VLOOKUP(K20,'[9]Exchange Rate'!$A$3:$D$26,3,FALSE)</f>
        <v>4054</v>
      </c>
      <c r="M20" s="20" t="str">
        <f t="shared" si="0"/>
        <v>Monday</v>
      </c>
      <c r="N20" s="148">
        <v>553.95000000000005</v>
      </c>
      <c r="O20" s="140">
        <v>539</v>
      </c>
      <c r="P20" s="233">
        <v>0</v>
      </c>
      <c r="Q20" s="22">
        <v>0</v>
      </c>
      <c r="R20" s="182"/>
      <c r="S20" s="182"/>
      <c r="T20" s="182"/>
      <c r="U20" s="182"/>
      <c r="V20" s="24">
        <f t="shared" si="1"/>
        <v>-1092.95</v>
      </c>
      <c r="W20" s="49"/>
    </row>
    <row r="21" spans="1:26" ht="18" customHeight="1">
      <c r="A21" s="14" t="s">
        <v>208</v>
      </c>
      <c r="B21" s="143">
        <v>19</v>
      </c>
      <c r="C21" s="16" t="str">
        <f>INDEX(PORT!$B$2:$B$20,MATCH('09'!B20,PORT!$A$2:$A$20))</f>
        <v>PNH04</v>
      </c>
      <c r="D21" s="10" t="str">
        <f>INDEX(PORT!$C$2:$C$20,MATCH('09'!B20,PORT!$A$2:$A$20))</f>
        <v>PNH PORT</v>
      </c>
      <c r="E21" s="215" t="s">
        <v>1834</v>
      </c>
      <c r="F21" s="166">
        <v>46284</v>
      </c>
      <c r="G21" s="165" t="s">
        <v>10</v>
      </c>
      <c r="H21" s="49" t="s">
        <v>1762</v>
      </c>
      <c r="I21" s="49" t="s">
        <v>1763</v>
      </c>
      <c r="J21" s="167" t="s">
        <v>1773</v>
      </c>
      <c r="K21" s="261">
        <v>46286</v>
      </c>
      <c r="L21" s="21" t="str">
        <f>VLOOKUP(K21,'[9]Exchange Rate'!$A$3:$D$26,3,FALSE)</f>
        <v>4054</v>
      </c>
      <c r="M21" s="20" t="str">
        <f t="shared" si="0"/>
        <v>Monday</v>
      </c>
      <c r="N21" s="148">
        <v>111.1</v>
      </c>
      <c r="O21" s="233">
        <v>227.88</v>
      </c>
      <c r="P21" s="233"/>
      <c r="Q21" s="22">
        <v>50</v>
      </c>
      <c r="R21" s="182"/>
      <c r="S21" s="182"/>
      <c r="T21" s="182"/>
      <c r="U21" s="182"/>
      <c r="V21" s="24">
        <f t="shared" si="1"/>
        <v>-388.98</v>
      </c>
      <c r="W21" s="31"/>
      <c r="Y21" s="256"/>
      <c r="Z21" s="256"/>
    </row>
    <row r="22" spans="1:26" ht="18" customHeight="1">
      <c r="A22" s="14" t="s">
        <v>208</v>
      </c>
      <c r="B22" s="59">
        <v>11</v>
      </c>
      <c r="C22" s="16" t="str">
        <f>INDEX(PORT!$B$2:$B$20,MATCH('09'!B22,PORT!$A$2:$A$20))</f>
        <v>SHV11</v>
      </c>
      <c r="D22" s="10" t="str">
        <f>INDEX(PORT!$C$2:$C$20,MATCH('09'!B22,PORT!$A$2:$A$20))</f>
        <v>SHV PORT</v>
      </c>
      <c r="E22" s="60" t="s">
        <v>1785</v>
      </c>
      <c r="F22" s="54">
        <v>46284</v>
      </c>
      <c r="G22" s="19" t="s">
        <v>41</v>
      </c>
      <c r="H22" s="49" t="s">
        <v>1764</v>
      </c>
      <c r="I22" s="49" t="s">
        <v>1765</v>
      </c>
      <c r="J22" s="167" t="s">
        <v>1825</v>
      </c>
      <c r="K22" s="20">
        <v>46286</v>
      </c>
      <c r="L22" s="21" t="str">
        <f>VLOOKUP(K22,'[9]Exchange Rate'!$A$3:$D$26,3,FALSE)</f>
        <v>4054</v>
      </c>
      <c r="M22" s="20" t="str">
        <f t="shared" si="0"/>
        <v>Monday</v>
      </c>
      <c r="N22" s="26">
        <v>768.2</v>
      </c>
      <c r="O22" s="233">
        <v>691.5</v>
      </c>
      <c r="P22" s="233">
        <v>0</v>
      </c>
      <c r="Q22" s="22">
        <v>0</v>
      </c>
      <c r="R22" s="182"/>
      <c r="S22" s="182"/>
      <c r="T22" s="182"/>
      <c r="U22" s="182"/>
      <c r="V22" s="24">
        <f t="shared" si="1"/>
        <v>-1459.7</v>
      </c>
      <c r="W22" s="208"/>
    </row>
    <row r="23" spans="1:26" ht="18" customHeight="1">
      <c r="A23" s="14" t="s">
        <v>208</v>
      </c>
      <c r="B23" s="59">
        <v>19</v>
      </c>
      <c r="C23" s="16" t="str">
        <f>INDEX(PORT!$B$2:$B$20,MATCH('09'!B23,PORT!$A$2:$A$20))</f>
        <v>PNH19</v>
      </c>
      <c r="D23" s="10" t="str">
        <f>INDEX(PORT!$C$2:$C$20,MATCH('09'!B23,PORT!$A$2:$A$20))</f>
        <v>TEC SRUN DRYPORT</v>
      </c>
      <c r="E23" s="60" t="s">
        <v>1792</v>
      </c>
      <c r="F23" s="54">
        <v>46284</v>
      </c>
      <c r="G23" s="19" t="s">
        <v>4</v>
      </c>
      <c r="H23" s="49" t="s">
        <v>1766</v>
      </c>
      <c r="I23" s="49" t="s">
        <v>1767</v>
      </c>
      <c r="J23" s="167" t="s">
        <v>1768</v>
      </c>
      <c r="K23" s="20">
        <v>46286</v>
      </c>
      <c r="L23" s="21" t="str">
        <f>VLOOKUP(K23,'[9]Exchange Rate'!$A$3:$D$26,3,FALSE)</f>
        <v>4054</v>
      </c>
      <c r="M23" s="20" t="str">
        <f t="shared" si="0"/>
        <v>Monday</v>
      </c>
      <c r="N23" s="26">
        <v>136.1</v>
      </c>
      <c r="O23" s="233">
        <v>201.27</v>
      </c>
      <c r="P23" s="233"/>
      <c r="Q23" s="22">
        <v>50</v>
      </c>
      <c r="R23" s="182"/>
      <c r="S23" s="182"/>
      <c r="T23" s="182"/>
      <c r="U23" s="182"/>
      <c r="V23" s="24">
        <f t="shared" si="1"/>
        <v>-387.37</v>
      </c>
      <c r="W23" s="58"/>
    </row>
    <row r="24" spans="1:26" ht="18" customHeight="1">
      <c r="A24" s="14" t="s">
        <v>208</v>
      </c>
      <c r="B24" s="15">
        <v>11</v>
      </c>
      <c r="C24" s="16" t="str">
        <f>INDEX(PORT!$B$2:$B$20,MATCH('09'!B24,PORT!$A$2:$A$20))</f>
        <v>SHV11</v>
      </c>
      <c r="D24" s="10" t="str">
        <f>INDEX(PORT!$C$2:$C$20,MATCH('09'!B24,PORT!$A$2:$A$20))</f>
        <v>SHV PORT</v>
      </c>
      <c r="E24" s="18" t="s">
        <v>1784</v>
      </c>
      <c r="F24" s="18">
        <v>46284</v>
      </c>
      <c r="G24" s="19" t="s">
        <v>41</v>
      </c>
      <c r="H24" s="49" t="s">
        <v>1793</v>
      </c>
      <c r="I24" s="49" t="s">
        <v>1794</v>
      </c>
      <c r="J24" s="167" t="s">
        <v>1826</v>
      </c>
      <c r="K24" s="194">
        <v>46286</v>
      </c>
      <c r="L24" s="21" t="str">
        <f>VLOOKUP(K24,'[9]Exchange Rate'!$A$3:$D$26,3,FALSE)</f>
        <v>4054</v>
      </c>
      <c r="M24" s="20" t="str">
        <f t="shared" si="0"/>
        <v>Monday</v>
      </c>
      <c r="N24" s="26">
        <v>736.2</v>
      </c>
      <c r="O24" s="233">
        <v>691.5</v>
      </c>
      <c r="P24" s="233">
        <v>0</v>
      </c>
      <c r="Q24" s="22">
        <v>0</v>
      </c>
      <c r="R24" s="182"/>
      <c r="S24" s="182"/>
      <c r="T24" s="182"/>
      <c r="U24" s="182"/>
      <c r="V24" s="24">
        <f t="shared" si="1"/>
        <v>-1427.7</v>
      </c>
      <c r="W24" s="19"/>
    </row>
    <row r="25" spans="1:26" ht="18" customHeight="1">
      <c r="A25" s="14" t="s">
        <v>208</v>
      </c>
      <c r="B25" s="143">
        <v>1</v>
      </c>
      <c r="C25" s="16" t="str">
        <f>INDEX(PORT!$B$2:$B$20,MATCH('09'!B25,PORT!$A$2:$A$20))</f>
        <v>PNH01</v>
      </c>
      <c r="D25" s="10" t="str">
        <f>INDEX(PORT!$C$2:$C$20,MATCH('09'!B25,PORT!$A$2:$A$20))</f>
        <v>KTI AIR PORT</v>
      </c>
      <c r="E25" s="60" t="s">
        <v>1789</v>
      </c>
      <c r="F25" s="172">
        <v>46286</v>
      </c>
      <c r="G25" s="155" t="s">
        <v>351</v>
      </c>
      <c r="H25" s="49" t="s">
        <v>1795</v>
      </c>
      <c r="I25" s="49" t="s">
        <v>1796</v>
      </c>
      <c r="J25" s="167" t="s">
        <v>1822</v>
      </c>
      <c r="K25" s="260">
        <v>46287</v>
      </c>
      <c r="L25" s="21" t="str">
        <f>VLOOKUP(K25,'[9]Exchange Rate'!$A$3:$D$26,3,FALSE)</f>
        <v>4055</v>
      </c>
      <c r="M25" s="20" t="str">
        <f t="shared" si="0"/>
        <v>Tuesday</v>
      </c>
      <c r="N25" s="148">
        <v>257.64999999999998</v>
      </c>
      <c r="O25" s="141">
        <v>0</v>
      </c>
      <c r="P25" s="233"/>
      <c r="Q25" s="22">
        <v>50</v>
      </c>
      <c r="R25" s="182"/>
      <c r="S25" s="182"/>
      <c r="T25" s="182"/>
      <c r="U25" s="182"/>
      <c r="V25" s="24">
        <f t="shared" si="1"/>
        <v>-307.64999999999998</v>
      </c>
      <c r="W25" s="267"/>
    </row>
    <row r="26" spans="1:26" ht="18" customHeight="1">
      <c r="A26" s="14" t="s">
        <v>208</v>
      </c>
      <c r="B26" s="143">
        <v>21</v>
      </c>
      <c r="C26" s="16" t="str">
        <f>INDEX(PORT!$B$2:$B$20,MATCH('09'!B26,PORT!$A$2:$A$20))</f>
        <v>PNH21</v>
      </c>
      <c r="D26" s="10" t="str">
        <f>INDEX(PORT!$C$2:$C$20,MATCH('09'!B26,PORT!$A$2:$A$20))</f>
        <v>OLAIR DRY PORT</v>
      </c>
      <c r="E26" s="18" t="s">
        <v>1833</v>
      </c>
      <c r="F26" s="18">
        <v>46287</v>
      </c>
      <c r="G26" s="19" t="s">
        <v>10</v>
      </c>
      <c r="H26" s="49" t="s">
        <v>1797</v>
      </c>
      <c r="I26" s="49" t="s">
        <v>1798</v>
      </c>
      <c r="J26" s="167" t="s">
        <v>1774</v>
      </c>
      <c r="K26" s="194">
        <v>46288</v>
      </c>
      <c r="L26" s="21" t="str">
        <f>VLOOKUP(K26,'[9]Exchange Rate'!$A$3:$D$26,3,FALSE)</f>
        <v>4056</v>
      </c>
      <c r="M26" s="20" t="str">
        <f t="shared" si="0"/>
        <v>Wednesday</v>
      </c>
      <c r="N26" s="26">
        <v>113.34</v>
      </c>
      <c r="O26" s="233">
        <v>238.15</v>
      </c>
      <c r="P26" s="233"/>
      <c r="Q26" s="22">
        <v>50</v>
      </c>
      <c r="R26" s="182"/>
      <c r="S26" s="182"/>
      <c r="T26" s="182"/>
      <c r="U26" s="182"/>
      <c r="V26" s="24">
        <f t="shared" si="1"/>
        <v>-401.49</v>
      </c>
      <c r="W26" s="19"/>
    </row>
    <row r="27" spans="1:26" ht="18" customHeight="1">
      <c r="A27" s="14" t="s">
        <v>208</v>
      </c>
      <c r="B27" s="15">
        <v>21</v>
      </c>
      <c r="C27" s="16" t="str">
        <f>INDEX(PORT!$B$2:$B$20,MATCH('09'!B27,PORT!$A$2:$A$20))</f>
        <v>PNH21</v>
      </c>
      <c r="D27" s="10" t="str">
        <f>INDEX(PORT!$C$2:$C$20,MATCH('09'!B27,PORT!$A$2:$A$20))</f>
        <v>OLAIR DRY PORT</v>
      </c>
      <c r="E27" s="18" t="s">
        <v>1791</v>
      </c>
      <c r="F27" s="18">
        <v>46287</v>
      </c>
      <c r="G27" s="19" t="s">
        <v>4</v>
      </c>
      <c r="H27" s="49" t="s">
        <v>1799</v>
      </c>
      <c r="I27" s="49" t="s">
        <v>1800</v>
      </c>
      <c r="J27" s="167" t="s">
        <v>1769</v>
      </c>
      <c r="K27" s="194">
        <v>46288</v>
      </c>
      <c r="L27" s="21" t="str">
        <f>VLOOKUP(K27,'[9]Exchange Rate'!$A$3:$D$26,3,FALSE)</f>
        <v>4056</v>
      </c>
      <c r="M27" s="20" t="str">
        <f t="shared" si="0"/>
        <v>Wednesday</v>
      </c>
      <c r="N27" s="26">
        <v>140.85</v>
      </c>
      <c r="O27" s="233">
        <v>253.83</v>
      </c>
      <c r="P27" s="233"/>
      <c r="Q27" s="22">
        <v>50</v>
      </c>
      <c r="R27" s="182"/>
      <c r="S27" s="182"/>
      <c r="T27" s="182"/>
      <c r="U27" s="182"/>
      <c r="V27" s="24">
        <f t="shared" si="1"/>
        <v>-444.68</v>
      </c>
      <c r="W27" s="19"/>
    </row>
    <row r="28" spans="1:26" ht="18" customHeight="1">
      <c r="A28" s="14" t="s">
        <v>208</v>
      </c>
      <c r="B28" s="143">
        <v>1</v>
      </c>
      <c r="C28" s="16" t="str">
        <f>INDEX(PORT!$B$2:$B$20,MATCH('09'!B28,PORT!$A$2:$A$20))</f>
        <v>PNH01</v>
      </c>
      <c r="D28" s="10" t="str">
        <f>INDEX(PORT!$C$2:$C$20,MATCH('09'!B28,PORT!$A$2:$A$20))</f>
        <v>KTI AIR PORT</v>
      </c>
      <c r="E28" s="236" t="s">
        <v>1831</v>
      </c>
      <c r="F28" s="172">
        <v>46290</v>
      </c>
      <c r="G28" s="155" t="s">
        <v>10</v>
      </c>
      <c r="H28" s="49" t="s">
        <v>1801</v>
      </c>
      <c r="I28" s="49" t="s">
        <v>1802</v>
      </c>
      <c r="J28" s="167" t="s">
        <v>1775</v>
      </c>
      <c r="K28" s="260">
        <v>46293</v>
      </c>
      <c r="L28" s="21" t="str">
        <f>VLOOKUP(K28,'[9]Exchange Rate'!$A$3:$D$26,3,FALSE)</f>
        <v>4057</v>
      </c>
      <c r="M28" s="20" t="str">
        <f t="shared" si="0"/>
        <v>Monday</v>
      </c>
      <c r="N28" s="148">
        <v>94.93</v>
      </c>
      <c r="O28" s="233">
        <v>0</v>
      </c>
      <c r="P28" s="233"/>
      <c r="Q28" s="22">
        <v>50</v>
      </c>
      <c r="R28" s="182"/>
      <c r="S28" s="182"/>
      <c r="T28" s="182"/>
      <c r="U28" s="182"/>
      <c r="V28" s="24">
        <f t="shared" si="1"/>
        <v>-144.93</v>
      </c>
      <c r="W28" s="58"/>
    </row>
    <row r="29" spans="1:26" ht="18" customHeight="1">
      <c r="A29" s="14" t="s">
        <v>208</v>
      </c>
      <c r="B29" s="197">
        <v>4</v>
      </c>
      <c r="C29" s="16" t="str">
        <f>INDEX(PORT!$B$2:$B$20,MATCH('09'!B29,PORT!$A$2:$A$20))</f>
        <v>PNH04</v>
      </c>
      <c r="D29" s="10" t="str">
        <f>INDEX(PORT!$C$2:$C$20,MATCH('09'!B29,PORT!$A$2:$A$20))</f>
        <v>PNH PORT</v>
      </c>
      <c r="E29" s="215" t="s">
        <v>1832</v>
      </c>
      <c r="F29" s="172">
        <v>46290</v>
      </c>
      <c r="G29" s="155" t="s">
        <v>10</v>
      </c>
      <c r="H29" s="49" t="s">
        <v>1803</v>
      </c>
      <c r="I29" s="49" t="s">
        <v>1804</v>
      </c>
      <c r="J29" s="167" t="s">
        <v>1776</v>
      </c>
      <c r="K29" s="260">
        <v>46293</v>
      </c>
      <c r="L29" s="21" t="str">
        <f>VLOOKUP(K29,'[9]Exchange Rate'!$A$3:$D$26,3,FALSE)</f>
        <v>4057</v>
      </c>
      <c r="M29" s="20" t="str">
        <f t="shared" si="0"/>
        <v>Monday</v>
      </c>
      <c r="N29" s="148">
        <v>461.75</v>
      </c>
      <c r="O29" s="233">
        <v>0</v>
      </c>
      <c r="P29" s="233"/>
      <c r="Q29" s="22">
        <v>50</v>
      </c>
      <c r="R29" s="182"/>
      <c r="S29" s="182"/>
      <c r="T29" s="182"/>
      <c r="U29" s="182"/>
      <c r="V29" s="24">
        <f t="shared" si="1"/>
        <v>-511.75</v>
      </c>
      <c r="W29" s="29"/>
    </row>
    <row r="30" spans="1:26" ht="18" customHeight="1">
      <c r="A30" s="14" t="s">
        <v>208</v>
      </c>
      <c r="B30" s="143">
        <v>11</v>
      </c>
      <c r="C30" s="16" t="str">
        <f>INDEX(PORT!$B$2:$B$20,MATCH('09'!B30,PORT!$A$2:$A$20))</f>
        <v>SHV11</v>
      </c>
      <c r="D30" s="10" t="str">
        <f>INDEX(PORT!$C$2:$C$20,MATCH('09'!B30,PORT!$A$2:$A$20))</f>
        <v>SHV PORT</v>
      </c>
      <c r="E30" s="237" t="s">
        <v>1755</v>
      </c>
      <c r="F30" s="172">
        <v>46290</v>
      </c>
      <c r="G30" s="155" t="s">
        <v>10</v>
      </c>
      <c r="H30" s="49" t="s">
        <v>1805</v>
      </c>
      <c r="I30" s="49" t="s">
        <v>1806</v>
      </c>
      <c r="J30" s="167" t="s">
        <v>1777</v>
      </c>
      <c r="K30" s="260">
        <v>46293</v>
      </c>
      <c r="L30" s="21" t="str">
        <f>VLOOKUP(K30,'[9]Exchange Rate'!$A$3:$D$26,3,FALSE)</f>
        <v>4057</v>
      </c>
      <c r="M30" s="20" t="str">
        <f t="shared" si="0"/>
        <v>Monday</v>
      </c>
      <c r="N30" s="148">
        <v>306.89999999999998</v>
      </c>
      <c r="O30" s="233">
        <v>689.98</v>
      </c>
      <c r="P30" s="233"/>
      <c r="Q30" s="22">
        <v>50</v>
      </c>
      <c r="R30" s="182"/>
      <c r="S30" s="182"/>
      <c r="T30" s="182"/>
      <c r="U30" s="182"/>
      <c r="V30" s="24">
        <f t="shared" si="1"/>
        <v>-1046.8800000000001</v>
      </c>
      <c r="W30" s="31"/>
    </row>
    <row r="31" spans="1:26" ht="18" customHeight="1">
      <c r="A31" s="14" t="s">
        <v>208</v>
      </c>
      <c r="B31" s="59">
        <v>4</v>
      </c>
      <c r="C31" s="16" t="str">
        <f>INDEX(PORT!$B$2:$B$20,MATCH('09'!B31,PORT!$A$2:$A$20))</f>
        <v>PNH04</v>
      </c>
      <c r="D31" s="10" t="str">
        <f>INDEX(PORT!$C$2:$C$20,MATCH('09'!B31,PORT!$A$2:$A$20))</f>
        <v>PNH PORT</v>
      </c>
      <c r="E31" s="60" t="s">
        <v>1790</v>
      </c>
      <c r="F31" s="54">
        <v>46290</v>
      </c>
      <c r="G31" s="19" t="s">
        <v>4</v>
      </c>
      <c r="H31" s="49" t="s">
        <v>1807</v>
      </c>
      <c r="I31" s="49" t="s">
        <v>1808</v>
      </c>
      <c r="J31" s="167" t="s">
        <v>1770</v>
      </c>
      <c r="K31" s="20">
        <v>46293</v>
      </c>
      <c r="L31" s="21" t="str">
        <f>VLOOKUP(K31,'[9]Exchange Rate'!$A$3:$D$26,3,FALSE)</f>
        <v>4057</v>
      </c>
      <c r="M31" s="20" t="str">
        <f t="shared" si="0"/>
        <v>Monday</v>
      </c>
      <c r="N31" s="26">
        <v>547.75</v>
      </c>
      <c r="O31" s="233">
        <v>0</v>
      </c>
      <c r="P31" s="233"/>
      <c r="Q31" s="22">
        <v>50</v>
      </c>
      <c r="R31" s="182"/>
      <c r="S31" s="182"/>
      <c r="T31" s="182"/>
      <c r="U31" s="182"/>
      <c r="V31" s="24">
        <f t="shared" si="1"/>
        <v>-597.75</v>
      </c>
      <c r="W31" s="58"/>
    </row>
    <row r="32" spans="1:26" s="139" customFormat="1" ht="18" customHeight="1">
      <c r="A32" s="14" t="s">
        <v>208</v>
      </c>
      <c r="B32" s="15">
        <v>4</v>
      </c>
      <c r="C32" s="16" t="str">
        <f>INDEX(PORT!$B$2:$B$20,MATCH('09'!B32,PORT!$A$2:$A$20))</f>
        <v>PNH04</v>
      </c>
      <c r="D32" s="10" t="str">
        <f>INDEX(PORT!$C$2:$C$20,MATCH('09'!B32,PORT!$A$2:$A$20))</f>
        <v>PNH PORT</v>
      </c>
      <c r="E32" s="16" t="s">
        <v>1783</v>
      </c>
      <c r="F32" s="18">
        <v>46290</v>
      </c>
      <c r="G32" s="19" t="s">
        <v>41</v>
      </c>
      <c r="H32" s="49" t="s">
        <v>1809</v>
      </c>
      <c r="I32" s="49" t="s">
        <v>1810</v>
      </c>
      <c r="J32" s="167" t="s">
        <v>1827</v>
      </c>
      <c r="K32" s="194">
        <v>46293</v>
      </c>
      <c r="L32" s="21" t="str">
        <f>VLOOKUP(K32,'[9]Exchange Rate'!$A$3:$D$26,3,FALSE)</f>
        <v>4057</v>
      </c>
      <c r="M32" s="20" t="str">
        <f t="shared" si="0"/>
        <v>Monday</v>
      </c>
      <c r="N32" s="22">
        <v>597.75</v>
      </c>
      <c r="O32" s="233">
        <v>539</v>
      </c>
      <c r="P32" s="233">
        <v>0</v>
      </c>
      <c r="Q32" s="22">
        <v>0</v>
      </c>
      <c r="R32" s="182"/>
      <c r="S32" s="182"/>
      <c r="T32" s="182"/>
      <c r="U32" s="182"/>
      <c r="V32" s="24">
        <f t="shared" si="1"/>
        <v>-1136.75</v>
      </c>
      <c r="W32" s="17"/>
      <c r="X32" s="9"/>
    </row>
    <row r="33" spans="1:24" s="201" customFormat="1" ht="18" customHeight="1">
      <c r="A33" s="14" t="s">
        <v>208</v>
      </c>
      <c r="B33" s="59">
        <v>11</v>
      </c>
      <c r="C33" s="16" t="str">
        <f>INDEX(PORT!$B$2:$B$20,MATCH('09'!B33,PORT!$A$2:$A$20))</f>
        <v>SHV11</v>
      </c>
      <c r="D33" s="10" t="str">
        <f>INDEX(PORT!$C$2:$C$20,MATCH('09'!B33,PORT!$A$2:$A$20))</f>
        <v>SHV PORT</v>
      </c>
      <c r="E33" s="60" t="s">
        <v>1786</v>
      </c>
      <c r="F33" s="54">
        <v>46290</v>
      </c>
      <c r="G33" s="19" t="s">
        <v>41</v>
      </c>
      <c r="H33" s="49" t="s">
        <v>1811</v>
      </c>
      <c r="I33" s="49" t="s">
        <v>1812</v>
      </c>
      <c r="J33" s="167" t="s">
        <v>1828</v>
      </c>
      <c r="K33" s="20">
        <v>46293</v>
      </c>
      <c r="L33" s="21" t="str">
        <f>VLOOKUP(K33,'[9]Exchange Rate'!$A$3:$D$26,3,FALSE)</f>
        <v>4057</v>
      </c>
      <c r="M33" s="20" t="str">
        <f t="shared" si="0"/>
        <v>Monday</v>
      </c>
      <c r="N33" s="26">
        <v>614.95000000000005</v>
      </c>
      <c r="O33" s="233">
        <v>479.5</v>
      </c>
      <c r="P33" s="233">
        <v>0</v>
      </c>
      <c r="Q33" s="22">
        <v>0</v>
      </c>
      <c r="R33" s="182"/>
      <c r="S33" s="182"/>
      <c r="T33" s="182"/>
      <c r="U33" s="182"/>
      <c r="V33" s="24">
        <f t="shared" si="1"/>
        <v>-1094.45</v>
      </c>
      <c r="W33" s="60"/>
      <c r="X33" s="9"/>
    </row>
    <row r="34" spans="1:24" s="12" customFormat="1" ht="18" customHeight="1">
      <c r="A34" s="14" t="s">
        <v>208</v>
      </c>
      <c r="B34" s="59">
        <v>11</v>
      </c>
      <c r="C34" s="16" t="str">
        <f>INDEX(PORT!$B$2:$B$20,MATCH('09'!B34,PORT!$A$2:$A$20))</f>
        <v>SHV11</v>
      </c>
      <c r="D34" s="10" t="str">
        <f>INDEX(PORT!$C$2:$C$20,MATCH('09'!B34,PORT!$A$2:$A$20))</f>
        <v>SHV PORT</v>
      </c>
      <c r="E34" s="60" t="s">
        <v>1787</v>
      </c>
      <c r="F34" s="54">
        <v>46290</v>
      </c>
      <c r="G34" s="19" t="s">
        <v>41</v>
      </c>
      <c r="H34" s="49" t="s">
        <v>1813</v>
      </c>
      <c r="I34" s="49" t="s">
        <v>1814</v>
      </c>
      <c r="J34" s="167" t="s">
        <v>1829</v>
      </c>
      <c r="K34" s="20">
        <v>46293</v>
      </c>
      <c r="L34" s="21" t="str">
        <f>VLOOKUP(K34,'[9]Exchange Rate'!$A$3:$D$26,3,FALSE)</f>
        <v>4057</v>
      </c>
      <c r="M34" s="20" t="str">
        <f t="shared" si="0"/>
        <v>Monday</v>
      </c>
      <c r="N34" s="26">
        <v>696.2</v>
      </c>
      <c r="O34" s="233">
        <v>599.5</v>
      </c>
      <c r="P34" s="233">
        <v>0</v>
      </c>
      <c r="Q34" s="22">
        <v>0</v>
      </c>
      <c r="R34" s="182"/>
      <c r="S34" s="182"/>
      <c r="T34" s="182"/>
      <c r="U34" s="182"/>
      <c r="V34" s="24">
        <f t="shared" si="1"/>
        <v>-1295.7</v>
      </c>
      <c r="W34" s="208"/>
      <c r="X34" s="9"/>
    </row>
    <row r="35" spans="1:24" s="12" customFormat="1" ht="18" customHeight="1">
      <c r="A35" s="14" t="s">
        <v>208</v>
      </c>
      <c r="B35" s="143">
        <v>11</v>
      </c>
      <c r="C35" s="16" t="str">
        <f>INDEX(PORT!$B$2:$B$20,MATCH('09'!B35,PORT!$A$2:$A$20))</f>
        <v>SHV11</v>
      </c>
      <c r="D35" s="10" t="str">
        <f>INDEX(PORT!$C$2:$C$20,MATCH('09'!B35,PORT!$A$2:$A$20))</f>
        <v>SHV PORT</v>
      </c>
      <c r="E35" s="60" t="s">
        <v>1778</v>
      </c>
      <c r="F35" s="172">
        <v>46294</v>
      </c>
      <c r="G35" s="155" t="s">
        <v>10</v>
      </c>
      <c r="H35" s="49" t="s">
        <v>1815</v>
      </c>
      <c r="I35" s="49" t="s">
        <v>1816</v>
      </c>
      <c r="J35" s="167" t="s">
        <v>1781</v>
      </c>
      <c r="K35" s="260">
        <v>46295</v>
      </c>
      <c r="L35" s="21" t="str">
        <f>VLOOKUP(K35,'[9]Exchange Rate'!$A$3:$D$26,3,FALSE)</f>
        <v>4055</v>
      </c>
      <c r="M35" s="20" t="str">
        <f t="shared" si="0"/>
        <v>Wednesday</v>
      </c>
      <c r="N35" s="148">
        <v>167.43</v>
      </c>
      <c r="O35" s="140">
        <v>204.82</v>
      </c>
      <c r="P35" s="233"/>
      <c r="Q35" s="22">
        <v>50</v>
      </c>
      <c r="R35" s="182"/>
      <c r="S35" s="182"/>
      <c r="T35" s="182"/>
      <c r="U35" s="182"/>
      <c r="V35" s="24">
        <f t="shared" si="1"/>
        <v>-422.25</v>
      </c>
      <c r="W35" s="49"/>
      <c r="X35" s="9"/>
    </row>
    <row r="36" spans="1:24" s="12" customFormat="1" ht="18" customHeight="1">
      <c r="A36" s="14" t="s">
        <v>208</v>
      </c>
      <c r="B36" s="59">
        <v>11</v>
      </c>
      <c r="C36" s="16" t="str">
        <f>INDEX(PORT!$B$2:$B$20,MATCH('09'!B36,PORT!$A$2:$A$20))</f>
        <v>SHV11</v>
      </c>
      <c r="D36" s="10" t="str">
        <f>INDEX(PORT!$C$2:$C$20,MATCH('09'!B36,PORT!$A$2:$A$20))</f>
        <v>SHV PORT</v>
      </c>
      <c r="E36" s="60" t="s">
        <v>1779</v>
      </c>
      <c r="F36" s="54">
        <v>46294</v>
      </c>
      <c r="G36" s="19" t="s">
        <v>4</v>
      </c>
      <c r="H36" s="49" t="s">
        <v>1817</v>
      </c>
      <c r="I36" s="49" t="s">
        <v>1818</v>
      </c>
      <c r="J36" s="167" t="s">
        <v>1780</v>
      </c>
      <c r="K36" s="20">
        <v>46295</v>
      </c>
      <c r="L36" s="21" t="str">
        <f>VLOOKUP(K36,'[9]Exchange Rate'!$A$3:$D$26,3,FALSE)</f>
        <v>4055</v>
      </c>
      <c r="M36" s="20" t="str">
        <f t="shared" si="0"/>
        <v>Wednesday</v>
      </c>
      <c r="N36" s="26">
        <v>199.12</v>
      </c>
      <c r="O36" s="233">
        <v>267.43</v>
      </c>
      <c r="P36" s="233"/>
      <c r="Q36" s="22">
        <v>50</v>
      </c>
      <c r="R36" s="182"/>
      <c r="S36" s="182"/>
      <c r="T36" s="182"/>
      <c r="U36" s="182"/>
      <c r="V36" s="24">
        <f t="shared" si="1"/>
        <v>-516.54999999999995</v>
      </c>
      <c r="W36" s="60"/>
      <c r="X36" s="9"/>
    </row>
    <row r="37" spans="1:24" s="12" customFormat="1" ht="18" customHeight="1">
      <c r="A37" s="14" t="s">
        <v>208</v>
      </c>
      <c r="B37" s="59">
        <v>1</v>
      </c>
      <c r="C37" s="16" t="str">
        <f>INDEX(PORT!$B$2:$B$20,MATCH('09'!B37,PORT!$A$2:$A$20))</f>
        <v>PNH01</v>
      </c>
      <c r="D37" s="10" t="str">
        <f>INDEX(PORT!$C$2:$C$20,MATCH('09'!B37,PORT!$A$2:$A$20))</f>
        <v>KTI AIR PORT</v>
      </c>
      <c r="E37" s="60" t="s">
        <v>1788</v>
      </c>
      <c r="F37" s="54">
        <v>46295</v>
      </c>
      <c r="G37" s="19" t="s">
        <v>351</v>
      </c>
      <c r="H37" s="49" t="s">
        <v>1819</v>
      </c>
      <c r="I37" s="49" t="s">
        <v>1820</v>
      </c>
      <c r="J37" s="167" t="s">
        <v>1823</v>
      </c>
      <c r="K37" s="20">
        <v>46295</v>
      </c>
      <c r="L37" s="21" t="str">
        <f>VLOOKUP(K37,'[9]Exchange Rate'!$A$3:$D$26,3,FALSE)</f>
        <v>4055</v>
      </c>
      <c r="M37" s="20" t="str">
        <f t="shared" si="0"/>
        <v>Wednesday</v>
      </c>
      <c r="N37" s="26">
        <v>192.52</v>
      </c>
      <c r="O37" s="233">
        <v>0</v>
      </c>
      <c r="P37" s="233"/>
      <c r="Q37" s="22">
        <v>50</v>
      </c>
      <c r="R37" s="182"/>
      <c r="S37" s="182"/>
      <c r="T37" s="182"/>
      <c r="U37" s="182"/>
      <c r="V37" s="24">
        <f t="shared" si="1"/>
        <v>-242.52</v>
      </c>
      <c r="W37" s="60"/>
      <c r="X37" s="9"/>
    </row>
    <row r="38" spans="1:24" s="12" customFormat="1" ht="18" customHeight="1">
      <c r="A38" s="14"/>
      <c r="B38" s="59">
        <v>4</v>
      </c>
      <c r="C38" s="16" t="str">
        <f>INDEX(PORT!$B$2:$B$20,MATCH('09'!B38,PORT!$A$2:$A$20))</f>
        <v>PNH04</v>
      </c>
      <c r="D38" s="10" t="str">
        <f>INDEX(PORT!$C$2:$C$20,MATCH('09'!B38,PORT!$A$2:$A$20))</f>
        <v>PNH PORT</v>
      </c>
      <c r="E38" s="295" t="s">
        <v>1836</v>
      </c>
      <c r="F38" s="54">
        <v>46295</v>
      </c>
      <c r="G38" s="19" t="s">
        <v>41</v>
      </c>
      <c r="H38" s="49"/>
      <c r="I38" s="49" t="s">
        <v>1821</v>
      </c>
      <c r="J38" s="167" t="s">
        <v>1830</v>
      </c>
      <c r="K38" s="20">
        <v>46295</v>
      </c>
      <c r="L38" s="21" t="str">
        <f>VLOOKUP(K38,'[9]Exchange Rate'!$A$3:$D$26,3,FALSE)</f>
        <v>4055</v>
      </c>
      <c r="M38" s="20" t="str">
        <f t="shared" si="0"/>
        <v>Wednesday</v>
      </c>
      <c r="N38" s="26">
        <v>0</v>
      </c>
      <c r="O38" s="233">
        <v>703.26</v>
      </c>
      <c r="P38" s="233">
        <v>0</v>
      </c>
      <c r="Q38" s="22">
        <v>0</v>
      </c>
      <c r="R38" s="182"/>
      <c r="S38" s="182"/>
      <c r="T38" s="182"/>
      <c r="U38" s="182"/>
      <c r="V38" s="24">
        <f t="shared" si="1"/>
        <v>-703.26</v>
      </c>
      <c r="W38" s="293"/>
      <c r="X38" s="9"/>
    </row>
    <row r="39" spans="1:24" s="12" customFormat="1" ht="18" customHeight="1">
      <c r="A39" s="14"/>
      <c r="B39" s="59"/>
      <c r="C39" s="16"/>
      <c r="D39" s="10"/>
      <c r="E39" s="296"/>
      <c r="F39" s="54"/>
      <c r="G39" s="19" t="s">
        <v>41</v>
      </c>
      <c r="H39" s="49"/>
      <c r="I39" s="49"/>
      <c r="J39" s="167" t="s">
        <v>1837</v>
      </c>
      <c r="K39" s="20">
        <v>46295</v>
      </c>
      <c r="L39" s="21" t="str">
        <f>VLOOKUP(K39,'[9]Exchange Rate'!$A$3:$D$26,3,FALSE)</f>
        <v>4055</v>
      </c>
      <c r="M39" s="20" t="str">
        <f t="shared" si="0"/>
        <v>Wednesday</v>
      </c>
      <c r="N39" s="26">
        <v>0</v>
      </c>
      <c r="O39" s="233">
        <v>0</v>
      </c>
      <c r="P39" s="233">
        <v>0</v>
      </c>
      <c r="Q39" s="22">
        <v>0</v>
      </c>
      <c r="R39" s="182"/>
      <c r="S39" s="182"/>
      <c r="T39" s="182"/>
      <c r="U39" s="182"/>
      <c r="V39" s="24">
        <f t="shared" si="1"/>
        <v>0</v>
      </c>
      <c r="W39" s="60"/>
      <c r="X39" s="9"/>
    </row>
    <row r="40" spans="1:24" ht="15.75">
      <c r="A40" s="14"/>
      <c r="B40" s="15"/>
      <c r="C40" s="10"/>
      <c r="D40" s="65"/>
      <c r="E40" s="66" t="s">
        <v>9</v>
      </c>
      <c r="F40" s="66"/>
      <c r="G40" s="67"/>
      <c r="H40" s="68"/>
      <c r="I40" s="31"/>
      <c r="J40" s="63"/>
      <c r="K40" s="34"/>
      <c r="L40" s="32"/>
      <c r="M40" s="20"/>
      <c r="N40" s="26"/>
      <c r="O40" s="26"/>
      <c r="P40" s="26"/>
      <c r="Q40" s="35"/>
      <c r="R40" s="39"/>
      <c r="S40" s="39"/>
      <c r="T40" s="36"/>
      <c r="U40" s="39"/>
      <c r="V40" s="24"/>
      <c r="W40" s="31"/>
    </row>
    <row r="41" spans="1:24">
      <c r="A41" s="14"/>
      <c r="B41" s="15"/>
      <c r="C41" s="10"/>
      <c r="D41" s="10"/>
      <c r="E41" s="18" t="s">
        <v>349</v>
      </c>
      <c r="F41" s="18"/>
      <c r="G41" s="19"/>
      <c r="H41" s="61"/>
      <c r="I41" s="19"/>
      <c r="J41" s="62"/>
      <c r="K41" s="62"/>
      <c r="L41" s="21"/>
      <c r="M41" s="52"/>
      <c r="O41" s="52"/>
      <c r="P41" s="52"/>
      <c r="Q41" s="26"/>
      <c r="R41" s="42"/>
      <c r="S41" s="42"/>
      <c r="T41" s="42"/>
      <c r="U41" s="42"/>
      <c r="V41" s="24"/>
      <c r="W41" s="19"/>
    </row>
    <row r="42" spans="1:24">
      <c r="A42" s="14"/>
      <c r="B42" s="15"/>
      <c r="C42" s="10"/>
      <c r="D42" s="51"/>
      <c r="E42" s="18" t="s">
        <v>7</v>
      </c>
      <c r="F42" s="18"/>
      <c r="G42" s="19"/>
      <c r="H42" s="61"/>
      <c r="I42" s="19"/>
      <c r="J42" s="62"/>
      <c r="K42" s="62"/>
      <c r="L42" s="69"/>
      <c r="M42" s="52"/>
      <c r="N42" s="52"/>
      <c r="O42" s="52"/>
      <c r="P42" s="52"/>
      <c r="Q42" s="26"/>
      <c r="R42" s="42"/>
      <c r="S42" s="42"/>
      <c r="T42" s="42"/>
      <c r="U42" s="42"/>
      <c r="V42" s="24"/>
      <c r="W42" s="19"/>
    </row>
    <row r="43" spans="1:24">
      <c r="A43" s="70"/>
      <c r="B43" s="70"/>
      <c r="C43" s="81"/>
      <c r="D43" s="82"/>
      <c r="E43" s="83"/>
      <c r="F43" s="84"/>
      <c r="G43" s="85"/>
      <c r="H43" s="75"/>
      <c r="I43" s="74"/>
      <c r="J43" s="76"/>
      <c r="K43" s="76"/>
      <c r="L43" s="77"/>
      <c r="M43" s="86"/>
      <c r="N43" s="133"/>
      <c r="O43" s="78"/>
      <c r="P43" s="78"/>
      <c r="Q43" s="78"/>
      <c r="R43" s="79"/>
      <c r="S43" s="79"/>
      <c r="T43" s="79"/>
      <c r="U43" s="79"/>
      <c r="V43" s="80"/>
      <c r="W43" s="74"/>
    </row>
    <row r="44" spans="1:24" ht="15.75">
      <c r="A44" s="88"/>
      <c r="B44" s="89">
        <f>SUBTOTAL(3,B3:B43)</f>
        <v>34</v>
      </c>
      <c r="C44" s="88"/>
      <c r="D44" s="90"/>
      <c r="E44" s="342" t="s">
        <v>3</v>
      </c>
      <c r="F44" s="343"/>
      <c r="G44" s="344"/>
      <c r="H44" s="91">
        <f>SUBTOTAL(3,H3:H43)</f>
        <v>35</v>
      </c>
      <c r="I44" s="91">
        <f>SUBTOTAL(3,I3:I43)</f>
        <v>36</v>
      </c>
      <c r="J44" s="91">
        <f>SUBTOTAL(3,J3:J43)</f>
        <v>37</v>
      </c>
      <c r="K44" s="92"/>
      <c r="L44" s="89"/>
      <c r="M44" s="89"/>
      <c r="N44" s="93">
        <f>SUM(N3:N42)</f>
        <v>11824.680000000004</v>
      </c>
      <c r="O44" s="136">
        <f>SUBTOTAL(9,O3:O39)</f>
        <v>9503.69</v>
      </c>
      <c r="P44" s="136">
        <f>SUBTOTAL(9,P3:P39)</f>
        <v>0</v>
      </c>
      <c r="Q44" s="91">
        <f>SUBTOTAL(9,Q3:Q40)</f>
        <v>1300</v>
      </c>
      <c r="R44" s="91">
        <f>SUBTOTAL(9,R3:R39)</f>
        <v>0</v>
      </c>
      <c r="S44" s="7">
        <f>SUBTOTAL(9,S3:S39)</f>
        <v>0</v>
      </c>
      <c r="T44" s="7">
        <f>SUBTOTAL(9,T3:T39)</f>
        <v>0</v>
      </c>
      <c r="U44" s="7">
        <f>SUBTOTAL(9,U3:U39)</f>
        <v>0</v>
      </c>
      <c r="V44" s="7">
        <f>SUBTOTAL(9,V3:V42)</f>
        <v>-22628.370000000003</v>
      </c>
      <c r="W44" s="89"/>
    </row>
    <row r="45" spans="1:24" ht="23.1" customHeight="1">
      <c r="B45" s="95"/>
      <c r="C45" s="96"/>
      <c r="D45" s="97"/>
      <c r="E45" s="98"/>
      <c r="F45" s="291"/>
      <c r="G45" s="8"/>
      <c r="H45" s="11"/>
      <c r="I45" s="99"/>
      <c r="J45" s="100"/>
      <c r="K45" s="100"/>
      <c r="M45" s="101" t="s">
        <v>207</v>
      </c>
      <c r="N45" s="102">
        <f>SUMIFS($N$3:$N$42,$A$3:$A$42,$M$45)-O46</f>
        <v>0</v>
      </c>
      <c r="O45" s="103"/>
      <c r="P45" s="103"/>
      <c r="Q45" s="104"/>
      <c r="R45" s="105"/>
      <c r="S45" s="106"/>
      <c r="T45" s="107"/>
      <c r="U45" s="107"/>
      <c r="V45" s="108"/>
      <c r="W45" s="264"/>
    </row>
    <row r="46" spans="1:24" ht="23.1" customHeight="1">
      <c r="B46" s="95"/>
      <c r="C46" s="110"/>
      <c r="D46" s="111"/>
      <c r="E46" s="98"/>
      <c r="F46" s="291"/>
      <c r="G46" s="8"/>
      <c r="H46" s="11"/>
      <c r="I46" s="99"/>
      <c r="J46" s="100"/>
      <c r="K46" s="100"/>
      <c r="M46" s="112" t="s">
        <v>208</v>
      </c>
      <c r="N46" s="113">
        <f>SUMIFS($N$3:$N$41,$A$3:$A$41,$M$46)</f>
        <v>11824.680000000004</v>
      </c>
      <c r="O46" s="279"/>
      <c r="P46" s="279"/>
      <c r="Q46" s="280"/>
      <c r="R46" s="280"/>
      <c r="S46" s="181"/>
      <c r="T46" s="115"/>
      <c r="U46" s="115"/>
      <c r="V46" s="116"/>
    </row>
    <row r="47" spans="1:24">
      <c r="B47" s="95"/>
      <c r="C47" s="117"/>
      <c r="D47" s="118"/>
      <c r="E47" s="98"/>
      <c r="F47" s="291"/>
      <c r="G47" s="8"/>
      <c r="H47" s="11"/>
      <c r="I47" s="99"/>
      <c r="J47" s="100"/>
      <c r="K47" s="100"/>
      <c r="O47" s="254"/>
      <c r="P47" s="254"/>
      <c r="S47" s="115"/>
      <c r="T47" s="115"/>
      <c r="U47" s="115"/>
      <c r="V47" s="116"/>
    </row>
    <row r="48" spans="1:24" ht="15" customHeight="1">
      <c r="N48" s="104"/>
      <c r="R48" s="104"/>
    </row>
    <row r="49" spans="11:19" ht="15" customHeight="1">
      <c r="K49" s="340" t="s">
        <v>1694</v>
      </c>
      <c r="L49" s="325"/>
      <c r="M49" s="326"/>
      <c r="N49" s="337">
        <f>'08'!L52</f>
        <v>868.40000000000327</v>
      </c>
      <c r="R49" s="104"/>
    </row>
    <row r="50" spans="11:19" ht="15" customHeight="1">
      <c r="K50" s="341" t="s">
        <v>1752</v>
      </c>
      <c r="L50" s="341" t="s">
        <v>1753</v>
      </c>
      <c r="M50" s="335"/>
      <c r="N50" s="336">
        <v>10000</v>
      </c>
      <c r="O50" s="240"/>
      <c r="P50" s="240"/>
    </row>
    <row r="51" spans="11:19" ht="15" customHeight="1">
      <c r="K51" s="338" t="s">
        <v>998</v>
      </c>
      <c r="L51" s="338"/>
      <c r="M51" s="335"/>
      <c r="N51" s="336">
        <f>SUM(N49:N50)</f>
        <v>10868.400000000003</v>
      </c>
    </row>
    <row r="52" spans="11:19" ht="15" customHeight="1">
      <c r="K52" s="332" t="s">
        <v>1619</v>
      </c>
      <c r="L52" s="332"/>
      <c r="M52" s="333"/>
      <c r="N52" s="334">
        <f>N44-N51</f>
        <v>956.28000000000065</v>
      </c>
      <c r="O52" s="240"/>
      <c r="P52" s="240"/>
    </row>
    <row r="53" spans="11:19" ht="15" customHeight="1">
      <c r="N53" s="283"/>
      <c r="O53" s="240"/>
      <c r="P53" s="240"/>
    </row>
    <row r="54" spans="11:19" ht="15" customHeight="1">
      <c r="K54" s="318"/>
      <c r="L54" s="319"/>
      <c r="M54" s="320"/>
      <c r="N54" s="284"/>
      <c r="S54" s="104"/>
    </row>
    <row r="55" spans="11:19" ht="15" customHeight="1">
      <c r="K55" s="318"/>
      <c r="L55" s="319"/>
      <c r="M55" s="320"/>
    </row>
    <row r="56" spans="11:19" ht="15" customHeight="1">
      <c r="K56" s="318"/>
      <c r="L56" s="319"/>
      <c r="M56" s="320"/>
    </row>
    <row r="57" spans="11:19" ht="15" customHeight="1">
      <c r="K57" s="279"/>
      <c r="M57" s="104"/>
      <c r="S57" s="104"/>
    </row>
    <row r="58" spans="11:19" ht="15" customHeight="1">
      <c r="K58" s="321"/>
      <c r="M58" s="104"/>
    </row>
    <row r="67" spans="6:6" ht="15" customHeight="1">
      <c r="F67" s="8" t="s">
        <v>440</v>
      </c>
    </row>
  </sheetData>
  <autoFilter ref="A2:W42">
    <sortState ref="A3:W50">
      <sortCondition ref="F3"/>
    </sortState>
  </autoFilter>
  <mergeCells count="1">
    <mergeCell ref="E44:G44"/>
  </mergeCells>
  <conditionalFormatting sqref="A4:D39 E16:K39 L4:W39">
    <cfRule type="expression" dxfId="176" priority="27">
      <formula>$A4="PAID"</formula>
    </cfRule>
  </conditionalFormatting>
  <conditionalFormatting sqref="B3">
    <cfRule type="expression" dxfId="175" priority="140">
      <formula>$A3="PAID"</formula>
    </cfRule>
    <cfRule type="expression" dxfId="174" priority="141">
      <formula>$D3=$O$2</formula>
    </cfRule>
  </conditionalFormatting>
  <conditionalFormatting sqref="C3:D39">
    <cfRule type="expression" dxfId="173" priority="158">
      <formula>$E3="STORAGE"</formula>
    </cfRule>
    <cfRule type="expression" dxfId="172" priority="159">
      <formula>$E3="LOLO"</formula>
    </cfRule>
    <cfRule type="expression" dxfId="171" priority="160">
      <formula>$E3="THC"</formula>
    </cfRule>
    <cfRule type="expression" dxfId="170" priority="161">
      <formula>$A3="PAID"</formula>
    </cfRule>
    <cfRule type="expression" dxfId="169" priority="162">
      <formula>$D3=$O$2</formula>
    </cfRule>
  </conditionalFormatting>
  <conditionalFormatting sqref="E3">
    <cfRule type="duplicateValues" dxfId="168" priority="130"/>
    <cfRule type="duplicateValues" dxfId="167" priority="131"/>
  </conditionalFormatting>
  <conditionalFormatting sqref="E4:E6">
    <cfRule type="duplicateValues" dxfId="166" priority="5806"/>
  </conditionalFormatting>
  <conditionalFormatting sqref="E6">
    <cfRule type="duplicateValues" dxfId="165" priority="5712"/>
    <cfRule type="duplicateValues" dxfId="164" priority="5713"/>
    <cfRule type="duplicateValues" dxfId="163" priority="5714"/>
  </conditionalFormatting>
  <conditionalFormatting sqref="E10">
    <cfRule type="duplicateValues" dxfId="162" priority="136"/>
  </conditionalFormatting>
  <conditionalFormatting sqref="E11">
    <cfRule type="duplicateValues" dxfId="161" priority="133"/>
  </conditionalFormatting>
  <conditionalFormatting sqref="E12 E14:E15">
    <cfRule type="duplicateValues" dxfId="160" priority="5013"/>
  </conditionalFormatting>
  <conditionalFormatting sqref="E13 E7">
    <cfRule type="duplicateValues" dxfId="159" priority="134"/>
    <cfRule type="duplicateValues" dxfId="158" priority="135"/>
  </conditionalFormatting>
  <conditionalFormatting sqref="E13 E7:E11">
    <cfRule type="duplicateValues" dxfId="157" priority="185"/>
  </conditionalFormatting>
  <conditionalFormatting sqref="E13 E33:E39 A16:B39 H16:I39 X4:X39 Y16:XFD39 L16:W39 L4:L39">
    <cfRule type="expression" dxfId="156" priority="120">
      <formula>$E4="STORAGE"</formula>
    </cfRule>
    <cfRule type="expression" dxfId="155" priority="121">
      <formula>$E4="LOLO"</formula>
    </cfRule>
    <cfRule type="expression" dxfId="154" priority="122">
      <formula>$E4="THC"</formula>
    </cfRule>
  </conditionalFormatting>
  <conditionalFormatting sqref="E14:E15">
    <cfRule type="expression" dxfId="153" priority="4969">
      <formula>$A13="PAID"</formula>
    </cfRule>
    <cfRule type="expression" dxfId="152" priority="5075">
      <formula>$A13="PAID"</formula>
    </cfRule>
    <cfRule type="expression" dxfId="151" priority="5076">
      <formula>$E14="STORAGE"</formula>
    </cfRule>
    <cfRule type="expression" dxfId="150" priority="5077">
      <formula>$E14="LOLO"</formula>
    </cfRule>
    <cfRule type="expression" dxfId="149" priority="5078">
      <formula>$E14="THC"</formula>
    </cfRule>
  </conditionalFormatting>
  <conditionalFormatting sqref="E16:E17">
    <cfRule type="duplicateValues" dxfId="148" priority="171"/>
  </conditionalFormatting>
  <conditionalFormatting sqref="E18:E21 E1:E2 E31:E1048576">
    <cfRule type="duplicateValues" dxfId="147" priority="5838"/>
  </conditionalFormatting>
  <conditionalFormatting sqref="E22:E30">
    <cfRule type="duplicateValues" dxfId="146" priority="152"/>
    <cfRule type="duplicateValues" dxfId="145" priority="153"/>
  </conditionalFormatting>
  <conditionalFormatting sqref="E16:G32 J12:K12 J16:K20 J18:J29">
    <cfRule type="expression" dxfId="144" priority="149">
      <formula>$E12="STORAGE"</formula>
    </cfRule>
    <cfRule type="expression" dxfId="143" priority="150">
      <formula>$E12="LOLO"</formula>
    </cfRule>
    <cfRule type="expression" dxfId="142" priority="151">
      <formula>$E12="THC"</formula>
    </cfRule>
  </conditionalFormatting>
  <conditionalFormatting sqref="E16:G32">
    <cfRule type="expression" dxfId="141" priority="148">
      <formula>$A16="PAID"</formula>
    </cfRule>
  </conditionalFormatting>
  <conditionalFormatting sqref="E13:I13 F14:I14 F15:K15 J21:J22 J24 J26 K13:K14 J32:J34 J38">
    <cfRule type="expression" dxfId="140" priority="73">
      <formula>$A13="PAID"</formula>
    </cfRule>
  </conditionalFormatting>
  <conditionalFormatting sqref="F13:G14 P13:V14">
    <cfRule type="expression" dxfId="139" priority="5084">
      <formula>$E14="STORAGE"</formula>
    </cfRule>
    <cfRule type="expression" dxfId="138" priority="5085">
      <formula>$E14="LOLO"</formula>
    </cfRule>
    <cfRule type="expression" dxfId="137" priority="5086">
      <formula>$E14="THC"</formula>
    </cfRule>
  </conditionalFormatting>
  <conditionalFormatting sqref="F13:G15 P13:V15 P20 P22 P24 P32:P34 P38">
    <cfRule type="expression" dxfId="136" priority="5083">
      <formula>$A13="PAID"</formula>
    </cfRule>
  </conditionalFormatting>
  <conditionalFormatting sqref="F15:G15 P15:V15 P20 P22 P24 P32:P34 P38">
    <cfRule type="expression" dxfId="135" priority="5088">
      <formula>#REF!="STORAGE"</formula>
    </cfRule>
    <cfRule type="expression" dxfId="134" priority="5089">
      <formula>#REF!="LOLO"</formula>
    </cfRule>
    <cfRule type="expression" dxfId="133" priority="5090">
      <formula>#REF!="THC"</formula>
    </cfRule>
  </conditionalFormatting>
  <conditionalFormatting sqref="F33:G39 J21:K39">
    <cfRule type="expression" dxfId="132" priority="166">
      <formula>$A21="PAID"</formula>
    </cfRule>
    <cfRule type="expression" dxfId="131" priority="167">
      <formula>$E21="STORAGE"</formula>
    </cfRule>
    <cfRule type="expression" dxfId="130" priority="168">
      <formula>$E21="LOLO"</formula>
    </cfRule>
    <cfRule type="expression" dxfId="129" priority="169">
      <formula>$E21="THC"</formula>
    </cfRule>
  </conditionalFormatting>
  <conditionalFormatting sqref="B4:B17 G13 N4:N16 P8 E16:G17 K16:K17 G7:G9">
    <cfRule type="expression" dxfId="128" priority="142">
      <formula>$C4=$N$2</formula>
    </cfRule>
  </conditionalFormatting>
  <conditionalFormatting sqref="H45:J1048576 H1:J2 H40:J43 J37:J39">
    <cfRule type="duplicateValues" dxfId="127" priority="176"/>
  </conditionalFormatting>
  <conditionalFormatting sqref="I45:I1048576 I1:I2 I40:I43">
    <cfRule type="duplicateValues" dxfId="126" priority="177"/>
  </conditionalFormatting>
  <conditionalFormatting sqref="I45:I1048576">
    <cfRule type="duplicateValues" dxfId="125" priority="173"/>
  </conditionalFormatting>
  <conditionalFormatting sqref="J38 H15:O15 J21:J22 J24 J26 J32:J34 A15:B15 W15 Y15:XFD15">
    <cfRule type="expression" dxfId="124" priority="4890">
      <formula>#REF!="STORAGE"</formula>
    </cfRule>
    <cfRule type="expression" dxfId="123" priority="4891">
      <formula>#REF!="LOLO"</formula>
    </cfRule>
    <cfRule type="expression" dxfId="122" priority="4892">
      <formula>#REF!="THC"</formula>
    </cfRule>
  </conditionalFormatting>
  <conditionalFormatting sqref="J38">
    <cfRule type="expression" dxfId="121" priority="5825">
      <formula>$C38=$N$2</formula>
    </cfRule>
    <cfRule type="duplicateValues" dxfId="120" priority="5826"/>
  </conditionalFormatting>
  <conditionalFormatting sqref="J45:J1048576 J1:J2 J37:J43">
    <cfRule type="duplicateValues" dxfId="119" priority="172"/>
  </conditionalFormatting>
  <conditionalFormatting sqref="K18:K36 P3:P7 O4:O21 W4:W37 N18:N21 E3:G3 J37:K39 E18:G39 H3:I39 Q4:V39 B18:B39 W39 M40:P40 B40:L42 Q40:W42 N22:O39 P9:P39 L4:M39">
    <cfRule type="expression" dxfId="118" priority="129">
      <formula>$D3=$O$2</formula>
    </cfRule>
  </conditionalFormatting>
  <conditionalFormatting sqref="K49:N49">
    <cfRule type="expression" dxfId="117" priority="12">
      <formula>$X49="PENDING"</formula>
    </cfRule>
  </conditionalFormatting>
  <conditionalFormatting sqref="K3:O3 Q3:W3">
    <cfRule type="expression" dxfId="116" priority="113">
      <formula>$D3=$O$2</formula>
    </cfRule>
  </conditionalFormatting>
  <conditionalFormatting sqref="K13:O14 H13:I14 A13:B14 W13:W14 Y13:XFD14">
    <cfRule type="expression" dxfId="115" priority="4887">
      <formula>$E14="STORAGE"</formula>
    </cfRule>
    <cfRule type="expression" dxfId="114" priority="4888">
      <formula>$E14="LOLO"</formula>
    </cfRule>
    <cfRule type="expression" dxfId="113" priority="4889">
      <formula>$E14="THC"</formula>
    </cfRule>
  </conditionalFormatting>
  <conditionalFormatting sqref="A40:XFD42">
    <cfRule type="expression" dxfId="112" priority="81">
      <formula>$E40="STORAGE"</formula>
    </cfRule>
    <cfRule type="expression" dxfId="111" priority="82">
      <formula>$E40="LOLO"</formula>
    </cfRule>
    <cfRule type="expression" dxfId="110" priority="83">
      <formula>$E40="THC"</formula>
    </cfRule>
  </conditionalFormatting>
  <conditionalFormatting sqref="L41:L42">
    <cfRule type="expression" dxfId="109" priority="178">
      <formula>#REF!=$M$1</formula>
    </cfRule>
  </conditionalFormatting>
  <conditionalFormatting sqref="L3:M40">
    <cfRule type="expression" dxfId="108" priority="174">
      <formula>$M3=$M$1</formula>
    </cfRule>
  </conditionalFormatting>
  <conditionalFormatting sqref="N3:O3">
    <cfRule type="expression" dxfId="107" priority="110">
      <formula>$E3="STORAGE"</formula>
    </cfRule>
    <cfRule type="expression" dxfId="106" priority="111">
      <formula>$E3="LOLO"</formula>
    </cfRule>
    <cfRule type="expression" dxfId="105" priority="112">
      <formula>$E3="THC"</formula>
    </cfRule>
  </conditionalFormatting>
  <conditionalFormatting sqref="E4:K12 J12:K20 A3:W3 H4:I38 J38 J21:J22 J24 J26 J32:J34 J3:K6 P3:P12 P15">
    <cfRule type="expression" dxfId="104" priority="143">
      <formula>$A3="PAID"</formula>
    </cfRule>
  </conditionalFormatting>
  <conditionalFormatting sqref="P3:XFD3 J3:K11 A3:B12 E3:I12 L3:M12 Y4:XFD12 H4:I38 J12:J14 J16:J29 N4:W12 P15">
    <cfRule type="expression" dxfId="103" priority="23">
      <formula>$E3="STORAGE"</formula>
    </cfRule>
    <cfRule type="expression" dxfId="102" priority="24">
      <formula>$E3="LOLO"</formula>
    </cfRule>
    <cfRule type="expression" dxfId="101" priority="25">
      <formula>$E3="THC"</formula>
    </cfRule>
  </conditionalFormatting>
  <conditionalFormatting sqref="Q3:W3 N3:O3">
    <cfRule type="expression" dxfId="100" priority="109">
      <formula>$A3="PAID"</formula>
    </cfRule>
  </conditionalFormatting>
  <conditionalFormatting sqref="X3:X4">
    <cfRule type="expression" dxfId="99" priority="3">
      <formula>$X$3="PENDING"</formula>
    </cfRule>
  </conditionalFormatting>
  <conditionalFormatting sqref="X18">
    <cfRule type="expression" dxfId="98" priority="1">
      <formula>$U$2="PENDING"</formula>
    </cfRule>
  </conditionalFormatting>
  <conditionalFormatting sqref="E12 E31:E39 E14:E21">
    <cfRule type="duplicateValues" dxfId="97" priority="5938"/>
  </conditionalFormatting>
  <conditionalFormatting sqref="H3:H39">
    <cfRule type="duplicateValues" dxfId="96" priority="5953"/>
    <cfRule type="duplicateValues" dxfId="95" priority="5954"/>
    <cfRule type="duplicateValues" dxfId="94" priority="5955"/>
  </conditionalFormatting>
  <conditionalFormatting sqref="I3:I39">
    <cfRule type="duplicateValues" dxfId="93" priority="5959"/>
  </conditionalFormatting>
  <conditionalFormatting sqref="W39">
    <cfRule type="expression" dxfId="92" priority="6017">
      <formula>$A39="PAID"</formula>
    </cfRule>
    <cfRule type="duplicateValues" dxfId="91" priority="6018"/>
    <cfRule type="duplicateValues" dxfId="90" priority="6019"/>
  </conditionalFormatting>
  <pageMargins left="0.7" right="0.7" top="0.75" bottom="0.75" header="0.3" footer="0.3"/>
  <pageSetup paperSize="9" scale="66" orientation="portrait" r:id="rId1"/>
  <rowBreaks count="1" manualBreakCount="1">
    <brk id="2" max="21" man="1"/>
  </rowBreaks>
  <colBreaks count="2" manualBreakCount="2">
    <brk id="7" max="82" man="1"/>
    <brk id="14" max="79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abSelected="1" view="pageBreakPreview" zoomScale="70" zoomScaleNormal="70" zoomScaleSheetLayoutView="70" workbookViewId="0">
      <selection activeCell="K31" sqref="K31"/>
    </sheetView>
  </sheetViews>
  <sheetFormatPr defaultColWidth="14" defaultRowHeight="15" customHeight="1"/>
  <cols>
    <col min="1" max="3" width="14" style="9"/>
    <col min="4" max="4" width="23.85546875" style="9" customWidth="1"/>
    <col min="5" max="5" width="30.42578125" style="9" customWidth="1"/>
    <col min="6" max="6" width="15.5703125" style="339" customWidth="1"/>
    <col min="7" max="7" width="18.42578125" style="9" customWidth="1"/>
    <col min="8" max="8" width="15.42578125" style="9" customWidth="1"/>
    <col min="9" max="9" width="20" style="9" customWidth="1"/>
    <col min="10" max="10" width="15.42578125" style="9" bestFit="1" customWidth="1"/>
    <col min="11" max="11" width="17" style="120" customWidth="1"/>
    <col min="12" max="12" width="14" style="339"/>
    <col min="13" max="13" width="14" style="9"/>
    <col min="14" max="14" width="14.42578125" style="9" bestFit="1" customWidth="1"/>
    <col min="15" max="21" width="14" style="9"/>
    <col min="22" max="22" width="15.42578125" style="9" customWidth="1"/>
    <col min="23" max="23" width="46.85546875" style="339" bestFit="1" customWidth="1"/>
    <col min="24" max="16384" width="14" style="9"/>
  </cols>
  <sheetData>
    <row r="1" spans="1:24">
      <c r="A1" s="339"/>
      <c r="C1" s="10"/>
      <c r="D1" s="10"/>
      <c r="E1" s="5" t="s">
        <v>0</v>
      </c>
      <c r="F1" s="290"/>
      <c r="G1" s="6"/>
      <c r="H1" s="11"/>
      <c r="I1" s="12"/>
      <c r="J1" s="13"/>
      <c r="K1" s="13"/>
      <c r="L1" s="11"/>
      <c r="M1" s="11" t="s">
        <v>193</v>
      </c>
      <c r="V1" s="339"/>
    </row>
    <row r="2" spans="1:24" ht="47.25">
      <c r="A2" s="121" t="s">
        <v>209</v>
      </c>
      <c r="B2" s="135" t="s">
        <v>206</v>
      </c>
      <c r="C2" s="121" t="s">
        <v>21</v>
      </c>
      <c r="D2" s="122" t="s">
        <v>22</v>
      </c>
      <c r="E2" s="123" t="s">
        <v>5</v>
      </c>
      <c r="F2" s="124" t="s">
        <v>1</v>
      </c>
      <c r="G2" s="123" t="s">
        <v>13</v>
      </c>
      <c r="H2" s="123" t="s">
        <v>11</v>
      </c>
      <c r="I2" s="121" t="s">
        <v>42</v>
      </c>
      <c r="J2" s="125" t="s">
        <v>12</v>
      </c>
      <c r="K2" s="126" t="s">
        <v>1</v>
      </c>
      <c r="L2" s="121" t="s">
        <v>31</v>
      </c>
      <c r="M2" s="121" t="s">
        <v>34</v>
      </c>
      <c r="N2" s="121" t="s">
        <v>201</v>
      </c>
      <c r="O2" s="137" t="s">
        <v>7</v>
      </c>
      <c r="P2" s="137" t="s">
        <v>1233</v>
      </c>
      <c r="Q2" s="123" t="s">
        <v>2</v>
      </c>
      <c r="R2" s="127" t="s">
        <v>17</v>
      </c>
      <c r="S2" s="128" t="s">
        <v>15</v>
      </c>
      <c r="T2" s="128" t="s">
        <v>16</v>
      </c>
      <c r="U2" s="128" t="s">
        <v>12</v>
      </c>
      <c r="V2" s="129" t="s">
        <v>194</v>
      </c>
      <c r="W2" s="123" t="s">
        <v>6</v>
      </c>
    </row>
    <row r="3" spans="1:24" ht="18" customHeight="1">
      <c r="A3" s="14" t="s">
        <v>208</v>
      </c>
      <c r="B3" s="143">
        <v>11</v>
      </c>
      <c r="C3" s="16" t="str">
        <f>INDEX(PORT!$B$2:$B$20,MATCH('10'!B3,PORT!$A$2:$A$20))</f>
        <v>SHV11</v>
      </c>
      <c r="D3" s="10" t="str">
        <f>INDEX(PORT!$C$2:$C$20,MATCH('10'!B3,PORT!$A$2:$A$20))</f>
        <v>SHV PORT</v>
      </c>
      <c r="E3" s="172" t="s">
        <v>1838</v>
      </c>
      <c r="F3" s="172">
        <v>46296</v>
      </c>
      <c r="G3" s="155" t="s">
        <v>41</v>
      </c>
      <c r="H3" s="49" t="s">
        <v>1839</v>
      </c>
      <c r="I3" s="49" t="s">
        <v>1821</v>
      </c>
      <c r="J3" s="167" t="s">
        <v>1840</v>
      </c>
      <c r="K3" s="260">
        <v>46297</v>
      </c>
      <c r="L3" s="21">
        <v>4056</v>
      </c>
      <c r="M3" s="20" t="str">
        <f t="shared" ref="M3:M39" si="0">TEXT(K3,"dddd")</f>
        <v>Friday</v>
      </c>
      <c r="N3" s="148">
        <v>718.2</v>
      </c>
      <c r="O3" s="233">
        <v>599.5</v>
      </c>
      <c r="P3" s="233">
        <v>0</v>
      </c>
      <c r="Q3" s="22">
        <v>0</v>
      </c>
      <c r="R3" s="182">
        <v>200</v>
      </c>
      <c r="S3" s="182">
        <v>713.95</v>
      </c>
      <c r="T3" s="182">
        <v>20</v>
      </c>
      <c r="U3" s="182">
        <v>973.75</v>
      </c>
      <c r="V3" s="24">
        <f t="shared" ref="V3:V39" si="1">(R3+S3+U3)-(N3+O3+Q3+P3)</f>
        <v>570</v>
      </c>
      <c r="W3" s="216"/>
    </row>
    <row r="4" spans="1:24" ht="18" customHeight="1">
      <c r="A4" s="14" t="s">
        <v>208</v>
      </c>
      <c r="B4" s="143">
        <v>11</v>
      </c>
      <c r="C4" s="16" t="str">
        <f>INDEX(PORT!$B$2:$B$20,MATCH('10'!B4,PORT!$A$2:$A$20))</f>
        <v>SHV11</v>
      </c>
      <c r="D4" s="10" t="str">
        <f>INDEX(PORT!$C$2:$C$20,MATCH('10'!B4,PORT!$A$2:$A$20))</f>
        <v>SHV PORT</v>
      </c>
      <c r="E4" s="235" t="s">
        <v>1841</v>
      </c>
      <c r="F4" s="235">
        <v>46297</v>
      </c>
      <c r="G4" s="316" t="s">
        <v>41</v>
      </c>
      <c r="H4" s="49" t="s">
        <v>1842</v>
      </c>
      <c r="I4" s="49" t="s">
        <v>1843</v>
      </c>
      <c r="J4" s="167" t="s">
        <v>1844</v>
      </c>
      <c r="K4" s="317">
        <v>46300</v>
      </c>
      <c r="L4" s="21" t="e">
        <f>VLOOKUP(K4,'[9]Exchange Rate'!$A$3:$D$26,3,FALSE)</f>
        <v>#N/A</v>
      </c>
      <c r="M4" s="20" t="str">
        <f t="shared" si="0"/>
        <v>Monday</v>
      </c>
      <c r="N4" s="148">
        <v>711.45</v>
      </c>
      <c r="O4" s="233">
        <v>677</v>
      </c>
      <c r="P4" s="233"/>
      <c r="Q4" s="22">
        <v>0</v>
      </c>
      <c r="R4" s="182">
        <v>200</v>
      </c>
      <c r="S4" s="182">
        <v>791.45</v>
      </c>
      <c r="T4" s="182">
        <v>20</v>
      </c>
      <c r="U4" s="182">
        <v>939</v>
      </c>
      <c r="V4" s="24">
        <f t="shared" si="1"/>
        <v>542</v>
      </c>
      <c r="W4" s="16"/>
    </row>
    <row r="5" spans="1:24" ht="18" customHeight="1">
      <c r="A5" s="14" t="s">
        <v>208</v>
      </c>
      <c r="B5" s="151"/>
      <c r="C5" s="16" t="e">
        <f>INDEX(PORT!$B$2:$B$20,MATCH('10'!B5,PORT!$A$2:$A$20))</f>
        <v>#N/A</v>
      </c>
      <c r="D5" s="10" t="e">
        <f>INDEX(PORT!$C$2:$C$20,MATCH('10'!B5,PORT!$A$2:$A$20))</f>
        <v>#N/A</v>
      </c>
      <c r="E5" s="215"/>
      <c r="F5" s="166"/>
      <c r="G5" s="165"/>
      <c r="H5" s="49"/>
      <c r="I5" s="49"/>
      <c r="J5" s="167"/>
      <c r="K5" s="166"/>
      <c r="L5" s="21" t="e">
        <f>VLOOKUP(K5,'[9]Exchange Rate'!$A$3:$D$26,3,FALSE)</f>
        <v>#N/A</v>
      </c>
      <c r="M5" s="20" t="str">
        <f t="shared" si="0"/>
        <v>Saturday</v>
      </c>
      <c r="N5" s="148"/>
      <c r="O5" s="233"/>
      <c r="P5" s="233">
        <v>0</v>
      </c>
      <c r="Q5" s="22">
        <v>0</v>
      </c>
      <c r="R5" s="182"/>
      <c r="S5" s="182"/>
      <c r="T5" s="182"/>
      <c r="U5" s="182"/>
      <c r="V5" s="24">
        <f t="shared" si="1"/>
        <v>0</v>
      </c>
      <c r="W5" s="29"/>
    </row>
    <row r="6" spans="1:24" ht="18" customHeight="1">
      <c r="A6" s="14" t="s">
        <v>208</v>
      </c>
      <c r="B6" s="15"/>
      <c r="C6" s="16" t="e">
        <f>INDEX(PORT!$B$2:$B$20,MATCH('10'!B6,PORT!$A$2:$A$20))</f>
        <v>#N/A</v>
      </c>
      <c r="D6" s="10" t="e">
        <f>INDEX(PORT!$C$2:$C$20,MATCH('10'!B6,PORT!$A$2:$A$20))</f>
        <v>#N/A</v>
      </c>
      <c r="E6" s="18"/>
      <c r="F6" s="18"/>
      <c r="G6" s="19"/>
      <c r="H6" s="49"/>
      <c r="I6" s="49"/>
      <c r="J6" s="167"/>
      <c r="K6" s="194"/>
      <c r="L6" s="21" t="e">
        <f>VLOOKUP(K6,'[9]Exchange Rate'!$A$3:$D$26,3,FALSE)</f>
        <v>#N/A</v>
      </c>
      <c r="M6" s="20" t="str">
        <f t="shared" si="0"/>
        <v>Saturday</v>
      </c>
      <c r="N6" s="26"/>
      <c r="O6" s="233"/>
      <c r="P6" s="233">
        <v>0</v>
      </c>
      <c r="Q6" s="22">
        <v>50</v>
      </c>
      <c r="R6" s="182"/>
      <c r="S6" s="182"/>
      <c r="T6" s="182"/>
      <c r="U6" s="182"/>
      <c r="V6" s="24">
        <f t="shared" si="1"/>
        <v>-50</v>
      </c>
      <c r="W6" s="19"/>
    </row>
    <row r="7" spans="1:24" ht="18" customHeight="1">
      <c r="A7" s="14" t="s">
        <v>208</v>
      </c>
      <c r="B7" s="143"/>
      <c r="C7" s="16" t="e">
        <f>INDEX(PORT!$B$2:$B$20,MATCH('10'!B7,PORT!$A$2:$A$20))</f>
        <v>#N/A</v>
      </c>
      <c r="D7" s="10" t="e">
        <f>INDEX(PORT!$C$2:$C$20,MATCH('10'!B7,PORT!$A$2:$A$20))</f>
        <v>#N/A</v>
      </c>
      <c r="E7" s="236"/>
      <c r="F7" s="172"/>
      <c r="G7" s="155"/>
      <c r="H7" s="49"/>
      <c r="I7" s="49"/>
      <c r="J7" s="167"/>
      <c r="K7" s="260"/>
      <c r="L7" s="21" t="e">
        <f>VLOOKUP(K7,'[9]Exchange Rate'!$A$3:$D$26,3,FALSE)</f>
        <v>#N/A</v>
      </c>
      <c r="M7" s="20" t="str">
        <f t="shared" si="0"/>
        <v>Saturday</v>
      </c>
      <c r="N7" s="148"/>
      <c r="O7" s="233"/>
      <c r="P7" s="233"/>
      <c r="Q7" s="22">
        <v>50</v>
      </c>
      <c r="R7" s="182"/>
      <c r="S7" s="182"/>
      <c r="T7" s="182"/>
      <c r="U7" s="182"/>
      <c r="V7" s="24">
        <f t="shared" si="1"/>
        <v>-50</v>
      </c>
      <c r="W7" s="31"/>
    </row>
    <row r="8" spans="1:24" s="37" customFormat="1" ht="18" customHeight="1">
      <c r="A8" s="14" t="s">
        <v>208</v>
      </c>
      <c r="B8" s="15"/>
      <c r="C8" s="16"/>
      <c r="D8" s="10"/>
      <c r="E8" s="18"/>
      <c r="F8" s="18"/>
      <c r="G8" s="19"/>
      <c r="H8" s="49"/>
      <c r="I8" s="49"/>
      <c r="J8" s="167"/>
      <c r="K8" s="194"/>
      <c r="L8" s="21" t="e">
        <f>VLOOKUP(K8,'[9]Exchange Rate'!$A$3:$D$26,3,FALSE)</f>
        <v>#N/A</v>
      </c>
      <c r="M8" s="20" t="str">
        <f t="shared" si="0"/>
        <v>Saturday</v>
      </c>
      <c r="N8" s="26"/>
      <c r="O8" s="233"/>
      <c r="P8" s="233"/>
      <c r="Q8" s="22">
        <v>50</v>
      </c>
      <c r="R8" s="182"/>
      <c r="S8" s="182"/>
      <c r="T8" s="182"/>
      <c r="U8" s="182"/>
      <c r="V8" s="24">
        <f t="shared" si="1"/>
        <v>-50</v>
      </c>
      <c r="W8" s="19"/>
      <c r="X8" s="9"/>
    </row>
    <row r="9" spans="1:24" s="37" customFormat="1" ht="18" customHeight="1">
      <c r="A9" s="14" t="s">
        <v>208</v>
      </c>
      <c r="B9" s="143"/>
      <c r="C9" s="16"/>
      <c r="D9" s="10"/>
      <c r="E9" s="172"/>
      <c r="F9" s="172"/>
      <c r="G9" s="250"/>
      <c r="H9" s="49"/>
      <c r="I9" s="49"/>
      <c r="J9" s="167"/>
      <c r="K9" s="260"/>
      <c r="L9" s="21" t="e">
        <f>VLOOKUP(K9,'[9]Exchange Rate'!$A$3:$D$26,3,FALSE)</f>
        <v>#N/A</v>
      </c>
      <c r="M9" s="20" t="str">
        <f t="shared" si="0"/>
        <v>Saturday</v>
      </c>
      <c r="N9" s="148"/>
      <c r="O9" s="233"/>
      <c r="P9" s="233"/>
      <c r="Q9" s="22">
        <v>50</v>
      </c>
      <c r="R9" s="182"/>
      <c r="S9" s="182"/>
      <c r="T9" s="182"/>
      <c r="U9" s="182"/>
      <c r="V9" s="24">
        <f t="shared" si="1"/>
        <v>-50</v>
      </c>
      <c r="W9" s="155"/>
      <c r="X9" s="9"/>
    </row>
    <row r="10" spans="1:24" s="50" customFormat="1" ht="18" customHeight="1">
      <c r="A10" s="14" t="s">
        <v>208</v>
      </c>
      <c r="B10" s="143"/>
      <c r="C10" s="16" t="e">
        <f>INDEX(PORT!$B$2:$B$20,MATCH('10'!B10,PORT!$A$2:$A$20))</f>
        <v>#N/A</v>
      </c>
      <c r="D10" s="10" t="e">
        <f>INDEX(PORT!$C$2:$C$20,MATCH('10'!B10,PORT!$A$2:$A$20))</f>
        <v>#N/A</v>
      </c>
      <c r="E10" s="236"/>
      <c r="F10" s="172"/>
      <c r="G10" s="155"/>
      <c r="H10" s="49"/>
      <c r="I10" s="49"/>
      <c r="J10" s="167"/>
      <c r="K10" s="260"/>
      <c r="L10" s="21" t="e">
        <f>VLOOKUP(K10,'[9]Exchange Rate'!$A$3:$D$26,3,FALSE)</f>
        <v>#N/A</v>
      </c>
      <c r="M10" s="20" t="str">
        <f t="shared" si="0"/>
        <v>Saturday</v>
      </c>
      <c r="N10" s="148"/>
      <c r="O10" s="233"/>
      <c r="P10" s="233"/>
      <c r="Q10" s="22">
        <v>50</v>
      </c>
      <c r="R10" s="182"/>
      <c r="S10" s="182"/>
      <c r="T10" s="182"/>
      <c r="U10" s="182"/>
      <c r="V10" s="24">
        <f t="shared" si="1"/>
        <v>-50</v>
      </c>
      <c r="W10" s="49"/>
      <c r="X10" s="9"/>
    </row>
    <row r="11" spans="1:24" s="50" customFormat="1" ht="18" customHeight="1">
      <c r="A11" s="14" t="s">
        <v>208</v>
      </c>
      <c r="B11" s="15"/>
      <c r="C11" s="16" t="e">
        <f>INDEX(PORT!$B$2:$B$20,MATCH('10'!B11,PORT!$A$2:$A$20))</f>
        <v>#N/A</v>
      </c>
      <c r="D11" s="10" t="e">
        <f>INDEX(PORT!$C$2:$C$20,MATCH('10'!B11,PORT!$A$2:$A$20))</f>
        <v>#N/A</v>
      </c>
      <c r="E11" s="16"/>
      <c r="F11" s="18"/>
      <c r="G11" s="19"/>
      <c r="H11" s="49"/>
      <c r="I11" s="49"/>
      <c r="J11" s="167"/>
      <c r="K11" s="194"/>
      <c r="L11" s="21" t="e">
        <f>VLOOKUP(K11,'[9]Exchange Rate'!$A$3:$D$26,3,FALSE)</f>
        <v>#N/A</v>
      </c>
      <c r="M11" s="20" t="str">
        <f t="shared" si="0"/>
        <v>Saturday</v>
      </c>
      <c r="N11" s="22"/>
      <c r="O11" s="233"/>
      <c r="P11" s="233">
        <v>0</v>
      </c>
      <c r="Q11" s="22">
        <v>0</v>
      </c>
      <c r="R11" s="182"/>
      <c r="S11" s="182"/>
      <c r="T11" s="182"/>
      <c r="U11" s="182"/>
      <c r="V11" s="24">
        <f t="shared" si="1"/>
        <v>0</v>
      </c>
      <c r="W11" s="19"/>
      <c r="X11" s="9"/>
    </row>
    <row r="12" spans="1:24" s="37" customFormat="1" ht="18" customHeight="1">
      <c r="A12" s="14" t="s">
        <v>208</v>
      </c>
      <c r="B12" s="143"/>
      <c r="C12" s="16" t="e">
        <f>INDEX(PORT!$B$2:$B$20,MATCH('10'!B12,PORT!$A$2:$A$20))</f>
        <v>#N/A</v>
      </c>
      <c r="D12" s="10" t="e">
        <f>INDEX(PORT!$C$2:$C$20,MATCH('10'!B12,PORT!$A$2:$A$20))</f>
        <v>#N/A</v>
      </c>
      <c r="E12" s="215"/>
      <c r="F12" s="166"/>
      <c r="G12" s="155"/>
      <c r="H12" s="49"/>
      <c r="I12" s="49"/>
      <c r="J12" s="167"/>
      <c r="K12" s="166"/>
      <c r="L12" s="21" t="e">
        <f>VLOOKUP(K12,'[9]Exchange Rate'!$A$3:$D$26,3,FALSE)</f>
        <v>#N/A</v>
      </c>
      <c r="M12" s="20" t="str">
        <f t="shared" si="0"/>
        <v>Saturday</v>
      </c>
      <c r="N12" s="148"/>
      <c r="O12" s="233"/>
      <c r="P12" s="233"/>
      <c r="Q12" s="22">
        <v>50</v>
      </c>
      <c r="R12" s="182"/>
      <c r="S12" s="182"/>
      <c r="T12" s="182"/>
      <c r="U12" s="182"/>
      <c r="V12" s="24">
        <f t="shared" si="1"/>
        <v>-50</v>
      </c>
      <c r="W12" s="19"/>
      <c r="X12" s="9"/>
    </row>
    <row r="13" spans="1:24" s="37" customFormat="1" ht="18" customHeight="1">
      <c r="A13" s="14" t="s">
        <v>208</v>
      </c>
      <c r="B13" s="143"/>
      <c r="C13" s="16" t="e">
        <f>INDEX(PORT!$B$2:$B$20,MATCH('10'!B13,PORT!$A$2:$A$20))</f>
        <v>#N/A</v>
      </c>
      <c r="D13" s="10" t="e">
        <f>INDEX(PORT!$C$2:$C$20,MATCH('10'!B13,PORT!$A$2:$A$20))</f>
        <v>#N/A</v>
      </c>
      <c r="E13" s="209"/>
      <c r="F13" s="172"/>
      <c r="G13" s="155"/>
      <c r="H13" s="49"/>
      <c r="I13" s="49"/>
      <c r="J13" s="167"/>
      <c r="K13" s="195"/>
      <c r="L13" s="21" t="e">
        <f>VLOOKUP(K13,'[9]Exchange Rate'!$A$3:$D$26,3,FALSE)</f>
        <v>#N/A</v>
      </c>
      <c r="M13" s="20" t="str">
        <f t="shared" si="0"/>
        <v>Saturday</v>
      </c>
      <c r="N13" s="161"/>
      <c r="O13" s="233"/>
      <c r="P13" s="233"/>
      <c r="Q13" s="22">
        <v>50</v>
      </c>
      <c r="R13" s="182"/>
      <c r="S13" s="182"/>
      <c r="T13" s="182"/>
      <c r="U13" s="182"/>
      <c r="V13" s="24">
        <f t="shared" si="1"/>
        <v>-50</v>
      </c>
      <c r="W13" s="19"/>
      <c r="X13" s="9"/>
    </row>
    <row r="14" spans="1:24" s="37" customFormat="1" ht="18" customHeight="1">
      <c r="A14" s="14" t="s">
        <v>208</v>
      </c>
      <c r="B14" s="143"/>
      <c r="C14" s="16" t="e">
        <f>INDEX(PORT!$B$2:$B$20,MATCH('10'!B14,PORT!$A$2:$A$20))</f>
        <v>#N/A</v>
      </c>
      <c r="D14" s="10" t="e">
        <f>INDEX(PORT!$C$2:$C$20,MATCH('10'!B14,PORT!$A$2:$A$20))</f>
        <v>#N/A</v>
      </c>
      <c r="E14" s="18"/>
      <c r="F14" s="172"/>
      <c r="G14" s="155"/>
      <c r="H14" s="49"/>
      <c r="I14" s="49"/>
      <c r="J14" s="167"/>
      <c r="K14" s="260"/>
      <c r="L14" s="21" t="e">
        <f>VLOOKUP(K14,'[9]Exchange Rate'!$A$3:$D$26,3,FALSE)</f>
        <v>#N/A</v>
      </c>
      <c r="M14" s="20" t="str">
        <f t="shared" si="0"/>
        <v>Saturday</v>
      </c>
      <c r="N14" s="148"/>
      <c r="O14" s="233"/>
      <c r="P14" s="233"/>
      <c r="Q14" s="22">
        <v>50</v>
      </c>
      <c r="R14" s="182"/>
      <c r="S14" s="182"/>
      <c r="T14" s="182"/>
      <c r="U14" s="182"/>
      <c r="V14" s="24">
        <f t="shared" si="1"/>
        <v>-50</v>
      </c>
      <c r="W14" s="140"/>
      <c r="X14" s="9"/>
    </row>
    <row r="15" spans="1:24" ht="18" customHeight="1">
      <c r="A15" s="14" t="s">
        <v>208</v>
      </c>
      <c r="B15" s="143"/>
      <c r="C15" s="16" t="e">
        <f>INDEX(PORT!$B$2:$B$20,MATCH('10'!B15,PORT!$A$2:$A$20))</f>
        <v>#N/A</v>
      </c>
      <c r="D15" s="10" t="e">
        <f>INDEX(PORT!$C$2:$C$20,MATCH('10'!B15,PORT!$A$2:$A$20))</f>
        <v>#N/A</v>
      </c>
      <c r="E15" s="236"/>
      <c r="F15" s="172"/>
      <c r="G15" s="155"/>
      <c r="H15" s="49"/>
      <c r="I15" s="49"/>
      <c r="J15" s="167"/>
      <c r="K15" s="260"/>
      <c r="L15" s="21" t="e">
        <f>VLOOKUP(K15,'[9]Exchange Rate'!$A$3:$D$26,3,FALSE)</f>
        <v>#N/A</v>
      </c>
      <c r="M15" s="20" t="str">
        <f t="shared" si="0"/>
        <v>Saturday</v>
      </c>
      <c r="N15" s="148"/>
      <c r="O15" s="233"/>
      <c r="P15" s="233">
        <v>0</v>
      </c>
      <c r="Q15" s="22">
        <v>0</v>
      </c>
      <c r="R15" s="182"/>
      <c r="S15" s="182"/>
      <c r="T15" s="182"/>
      <c r="U15" s="182"/>
      <c r="V15" s="24">
        <f t="shared" si="1"/>
        <v>0</v>
      </c>
      <c r="W15" s="17"/>
    </row>
    <row r="16" spans="1:24" ht="18" customHeight="1">
      <c r="A16" s="14" t="s">
        <v>208</v>
      </c>
      <c r="B16" s="15"/>
      <c r="C16" s="16" t="e">
        <f>INDEX(PORT!$B$2:$B$20,MATCH('10'!B16,PORT!$A$2:$A$20))</f>
        <v>#N/A</v>
      </c>
      <c r="D16" s="10" t="e">
        <f>INDEX(PORT!$C$2:$C$20,MATCH('10'!B16,PORT!$A$2:$A$20))</f>
        <v>#N/A</v>
      </c>
      <c r="E16" s="172"/>
      <c r="F16" s="18"/>
      <c r="G16" s="19"/>
      <c r="H16" s="49"/>
      <c r="I16" s="49"/>
      <c r="J16" s="167"/>
      <c r="K16" s="194"/>
      <c r="L16" s="21" t="e">
        <f>VLOOKUP(K16,'[9]Exchange Rate'!$A$3:$D$26,3,FALSE)</f>
        <v>#N/A</v>
      </c>
      <c r="M16" s="20" t="str">
        <f t="shared" si="0"/>
        <v>Saturday</v>
      </c>
      <c r="N16" s="26"/>
      <c r="O16" s="233"/>
      <c r="P16" s="233"/>
      <c r="Q16" s="22">
        <v>50</v>
      </c>
      <c r="R16" s="182"/>
      <c r="S16" s="182"/>
      <c r="T16" s="182"/>
      <c r="U16" s="182"/>
      <c r="V16" s="24">
        <f t="shared" si="1"/>
        <v>-50</v>
      </c>
      <c r="W16" s="19"/>
    </row>
    <row r="17" spans="1:26" ht="18" customHeight="1">
      <c r="A17" s="14" t="s">
        <v>208</v>
      </c>
      <c r="B17" s="143"/>
      <c r="C17" s="16" t="e">
        <f>INDEX(PORT!$B$2:$B$20,MATCH('10'!B17,PORT!$A$2:$A$20))</f>
        <v>#N/A</v>
      </c>
      <c r="D17" s="10" t="e">
        <f>INDEX(PORT!$C$2:$C$20,MATCH('10'!B17,PORT!$A$2:$A$20))</f>
        <v>#N/A</v>
      </c>
      <c r="E17" s="209"/>
      <c r="F17" s="172"/>
      <c r="G17" s="155"/>
      <c r="H17" s="49"/>
      <c r="I17" s="49"/>
      <c r="J17" s="167"/>
      <c r="K17" s="195"/>
      <c r="L17" s="21" t="e">
        <f>VLOOKUP(K17,'[9]Exchange Rate'!$A$3:$D$26,3,FALSE)</f>
        <v>#N/A</v>
      </c>
      <c r="M17" s="20" t="str">
        <f t="shared" si="0"/>
        <v>Saturday</v>
      </c>
      <c r="N17" s="161"/>
      <c r="O17" s="233"/>
      <c r="P17" s="233"/>
      <c r="Q17" s="22">
        <v>50</v>
      </c>
      <c r="R17" s="182"/>
      <c r="S17" s="182"/>
      <c r="T17" s="182"/>
      <c r="U17" s="182"/>
      <c r="V17" s="24">
        <f t="shared" si="1"/>
        <v>-50</v>
      </c>
      <c r="W17" s="19"/>
    </row>
    <row r="18" spans="1:26" ht="18" customHeight="1">
      <c r="A18" s="14" t="s">
        <v>208</v>
      </c>
      <c r="B18" s="151"/>
      <c r="C18" s="16" t="e">
        <f>INDEX(PORT!$B$2:$B$20,MATCH('10'!B18,PORT!$A$2:$A$20))</f>
        <v>#N/A</v>
      </c>
      <c r="D18" s="10" t="e">
        <f>INDEX(PORT!$C$2:$C$20,MATCH('10'!B18,PORT!$A$2:$A$20))</f>
        <v>#N/A</v>
      </c>
      <c r="E18" s="172"/>
      <c r="F18" s="172"/>
      <c r="G18" s="155"/>
      <c r="H18" s="49"/>
      <c r="I18" s="49"/>
      <c r="J18" s="167"/>
      <c r="K18" s="260"/>
      <c r="L18" s="21" t="e">
        <f>VLOOKUP(K18,'[9]Exchange Rate'!$A$3:$D$26,3,FALSE)</f>
        <v>#N/A</v>
      </c>
      <c r="M18" s="20" t="str">
        <f t="shared" si="0"/>
        <v>Saturday</v>
      </c>
      <c r="N18" s="148"/>
      <c r="O18" s="233"/>
      <c r="P18" s="233"/>
      <c r="Q18" s="22">
        <v>50</v>
      </c>
      <c r="R18" s="182"/>
      <c r="S18" s="182"/>
      <c r="T18" s="182"/>
      <c r="U18" s="182"/>
      <c r="V18" s="24">
        <f t="shared" si="1"/>
        <v>-50</v>
      </c>
      <c r="W18" s="29"/>
    </row>
    <row r="19" spans="1:26" ht="18" customHeight="1">
      <c r="A19" s="14" t="s">
        <v>208</v>
      </c>
      <c r="B19" s="143"/>
      <c r="C19" s="16" t="e">
        <f>INDEX(PORT!$B$2:$B$20,MATCH('10'!B19,PORT!$A$2:$A$20))</f>
        <v>#N/A</v>
      </c>
      <c r="D19" s="10" t="e">
        <f>INDEX(PORT!$C$2:$C$20,MATCH('10'!B19,PORT!$A$2:$A$20))</f>
        <v>#N/A</v>
      </c>
      <c r="E19" s="236"/>
      <c r="F19" s="172"/>
      <c r="G19" s="155"/>
      <c r="H19" s="49"/>
      <c r="I19" s="49"/>
      <c r="J19" s="167"/>
      <c r="K19" s="195"/>
      <c r="L19" s="21" t="e">
        <f>VLOOKUP(K19,'[9]Exchange Rate'!$A$3:$D$26,3,FALSE)</f>
        <v>#N/A</v>
      </c>
      <c r="M19" s="20" t="str">
        <f t="shared" si="0"/>
        <v>Saturday</v>
      </c>
      <c r="N19" s="161"/>
      <c r="O19" s="233"/>
      <c r="P19" s="233"/>
      <c r="Q19" s="22">
        <v>50</v>
      </c>
      <c r="R19" s="182"/>
      <c r="S19" s="182"/>
      <c r="T19" s="182"/>
      <c r="U19" s="182"/>
      <c r="V19" s="24">
        <f t="shared" si="1"/>
        <v>-50</v>
      </c>
      <c r="W19" s="19"/>
    </row>
    <row r="20" spans="1:26" ht="18" customHeight="1">
      <c r="A20" s="14" t="s">
        <v>208</v>
      </c>
      <c r="B20" s="143"/>
      <c r="C20" s="16" t="e">
        <f>INDEX(PORT!$B$2:$B$20,MATCH('10'!B21,PORT!$A$2:$A$20))</f>
        <v>#N/A</v>
      </c>
      <c r="D20" s="10" t="e">
        <f>INDEX(PORT!$C$2:$C$20,MATCH('10'!B21,PORT!$A$2:$A$20))</f>
        <v>#N/A</v>
      </c>
      <c r="E20" s="60"/>
      <c r="F20" s="172"/>
      <c r="G20" s="155"/>
      <c r="H20" s="49"/>
      <c r="I20" s="49"/>
      <c r="J20" s="167"/>
      <c r="K20" s="260"/>
      <c r="L20" s="21" t="e">
        <f>VLOOKUP(K20,'[9]Exchange Rate'!$A$3:$D$26,3,FALSE)</f>
        <v>#N/A</v>
      </c>
      <c r="M20" s="20" t="str">
        <f t="shared" si="0"/>
        <v>Saturday</v>
      </c>
      <c r="N20" s="148"/>
      <c r="O20" s="140"/>
      <c r="P20" s="233">
        <v>0</v>
      </c>
      <c r="Q20" s="22">
        <v>0</v>
      </c>
      <c r="R20" s="182"/>
      <c r="S20" s="182"/>
      <c r="T20" s="182"/>
      <c r="U20" s="182"/>
      <c r="V20" s="24">
        <f t="shared" si="1"/>
        <v>0</v>
      </c>
      <c r="W20" s="49"/>
    </row>
    <row r="21" spans="1:26" ht="18" customHeight="1">
      <c r="A21" s="14" t="s">
        <v>208</v>
      </c>
      <c r="B21" s="143"/>
      <c r="C21" s="16" t="e">
        <f>INDEX(PORT!$B$2:$B$20,MATCH('10'!B20,PORT!$A$2:$A$20))</f>
        <v>#N/A</v>
      </c>
      <c r="D21" s="10" t="e">
        <f>INDEX(PORT!$C$2:$C$20,MATCH('10'!B20,PORT!$A$2:$A$20))</f>
        <v>#N/A</v>
      </c>
      <c r="E21" s="215"/>
      <c r="F21" s="166"/>
      <c r="G21" s="165"/>
      <c r="H21" s="49"/>
      <c r="I21" s="49"/>
      <c r="J21" s="167"/>
      <c r="K21" s="261"/>
      <c r="L21" s="21" t="e">
        <f>VLOOKUP(K21,'[9]Exchange Rate'!$A$3:$D$26,3,FALSE)</f>
        <v>#N/A</v>
      </c>
      <c r="M21" s="20" t="str">
        <f t="shared" si="0"/>
        <v>Saturday</v>
      </c>
      <c r="N21" s="148"/>
      <c r="O21" s="233"/>
      <c r="P21" s="233"/>
      <c r="Q21" s="22">
        <v>50</v>
      </c>
      <c r="R21" s="182"/>
      <c r="S21" s="182"/>
      <c r="T21" s="182"/>
      <c r="U21" s="182"/>
      <c r="V21" s="24">
        <f t="shared" si="1"/>
        <v>-50</v>
      </c>
      <c r="W21" s="31"/>
      <c r="Y21" s="256"/>
      <c r="Z21" s="256"/>
    </row>
    <row r="22" spans="1:26" ht="18" customHeight="1">
      <c r="A22" s="14" t="s">
        <v>208</v>
      </c>
      <c r="B22" s="59"/>
      <c r="C22" s="16" t="e">
        <f>INDEX(PORT!$B$2:$B$20,MATCH('10'!B22,PORT!$A$2:$A$20))</f>
        <v>#N/A</v>
      </c>
      <c r="D22" s="10" t="e">
        <f>INDEX(PORT!$C$2:$C$20,MATCH('10'!B22,PORT!$A$2:$A$20))</f>
        <v>#N/A</v>
      </c>
      <c r="E22" s="60"/>
      <c r="F22" s="54"/>
      <c r="G22" s="19"/>
      <c r="H22" s="49"/>
      <c r="I22" s="49"/>
      <c r="J22" s="167"/>
      <c r="K22" s="20"/>
      <c r="L22" s="21" t="e">
        <f>VLOOKUP(K22,'[9]Exchange Rate'!$A$3:$D$26,3,FALSE)</f>
        <v>#N/A</v>
      </c>
      <c r="M22" s="20" t="str">
        <f t="shared" si="0"/>
        <v>Saturday</v>
      </c>
      <c r="N22" s="26"/>
      <c r="O22" s="233"/>
      <c r="P22" s="233">
        <v>0</v>
      </c>
      <c r="Q22" s="22">
        <v>0</v>
      </c>
      <c r="R22" s="182"/>
      <c r="S22" s="182"/>
      <c r="T22" s="182"/>
      <c r="U22" s="182"/>
      <c r="V22" s="24">
        <f t="shared" si="1"/>
        <v>0</v>
      </c>
      <c r="W22" s="208"/>
    </row>
    <row r="23" spans="1:26" ht="18" customHeight="1">
      <c r="A23" s="14" t="s">
        <v>208</v>
      </c>
      <c r="B23" s="59"/>
      <c r="C23" s="16" t="e">
        <f>INDEX(PORT!$B$2:$B$20,MATCH('10'!B23,PORT!$A$2:$A$20))</f>
        <v>#N/A</v>
      </c>
      <c r="D23" s="10" t="e">
        <f>INDEX(PORT!$C$2:$C$20,MATCH('10'!B23,PORT!$A$2:$A$20))</f>
        <v>#N/A</v>
      </c>
      <c r="E23" s="60"/>
      <c r="F23" s="54"/>
      <c r="G23" s="19"/>
      <c r="H23" s="49"/>
      <c r="I23" s="49"/>
      <c r="J23" s="167"/>
      <c r="K23" s="20"/>
      <c r="L23" s="21" t="e">
        <f>VLOOKUP(K23,'[9]Exchange Rate'!$A$3:$D$26,3,FALSE)</f>
        <v>#N/A</v>
      </c>
      <c r="M23" s="20" t="str">
        <f t="shared" si="0"/>
        <v>Saturday</v>
      </c>
      <c r="N23" s="26"/>
      <c r="O23" s="233"/>
      <c r="P23" s="233"/>
      <c r="Q23" s="22">
        <v>50</v>
      </c>
      <c r="R23" s="182"/>
      <c r="S23" s="182"/>
      <c r="T23" s="182"/>
      <c r="U23" s="182"/>
      <c r="V23" s="24">
        <f t="shared" si="1"/>
        <v>-50</v>
      </c>
      <c r="W23" s="58"/>
    </row>
    <row r="24" spans="1:26" ht="18" customHeight="1">
      <c r="A24" s="14" t="s">
        <v>208</v>
      </c>
      <c r="B24" s="15"/>
      <c r="C24" s="16" t="e">
        <f>INDEX(PORT!$B$2:$B$20,MATCH('10'!B24,PORT!$A$2:$A$20))</f>
        <v>#N/A</v>
      </c>
      <c r="D24" s="10" t="e">
        <f>INDEX(PORT!$C$2:$C$20,MATCH('10'!B24,PORT!$A$2:$A$20))</f>
        <v>#N/A</v>
      </c>
      <c r="E24" s="18"/>
      <c r="F24" s="18"/>
      <c r="G24" s="19"/>
      <c r="H24" s="49"/>
      <c r="I24" s="49"/>
      <c r="J24" s="167"/>
      <c r="K24" s="194"/>
      <c r="L24" s="21" t="e">
        <f>VLOOKUP(K24,'[9]Exchange Rate'!$A$3:$D$26,3,FALSE)</f>
        <v>#N/A</v>
      </c>
      <c r="M24" s="20" t="str">
        <f t="shared" si="0"/>
        <v>Saturday</v>
      </c>
      <c r="N24" s="26"/>
      <c r="O24" s="233"/>
      <c r="P24" s="233">
        <v>0</v>
      </c>
      <c r="Q24" s="22">
        <v>0</v>
      </c>
      <c r="R24" s="182"/>
      <c r="S24" s="182"/>
      <c r="T24" s="182"/>
      <c r="U24" s="182"/>
      <c r="V24" s="24">
        <f t="shared" si="1"/>
        <v>0</v>
      </c>
      <c r="W24" s="19"/>
    </row>
    <row r="25" spans="1:26" ht="18" customHeight="1">
      <c r="A25" s="14" t="s">
        <v>208</v>
      </c>
      <c r="B25" s="143"/>
      <c r="C25" s="16" t="e">
        <f>INDEX(PORT!$B$2:$B$20,MATCH('10'!B25,PORT!$A$2:$A$20))</f>
        <v>#N/A</v>
      </c>
      <c r="D25" s="10" t="e">
        <f>INDEX(PORT!$C$2:$C$20,MATCH('10'!B25,PORT!$A$2:$A$20))</f>
        <v>#N/A</v>
      </c>
      <c r="E25" s="60"/>
      <c r="F25" s="172"/>
      <c r="G25" s="155"/>
      <c r="H25" s="49"/>
      <c r="I25" s="49"/>
      <c r="J25" s="167"/>
      <c r="K25" s="260"/>
      <c r="L25" s="21" t="e">
        <f>VLOOKUP(K25,'[9]Exchange Rate'!$A$3:$D$26,3,FALSE)</f>
        <v>#N/A</v>
      </c>
      <c r="M25" s="20" t="str">
        <f t="shared" si="0"/>
        <v>Saturday</v>
      </c>
      <c r="N25" s="148"/>
      <c r="O25" s="141"/>
      <c r="P25" s="233"/>
      <c r="Q25" s="22">
        <v>50</v>
      </c>
      <c r="R25" s="182"/>
      <c r="S25" s="182"/>
      <c r="T25" s="182"/>
      <c r="U25" s="182"/>
      <c r="V25" s="24">
        <f t="shared" si="1"/>
        <v>-50</v>
      </c>
      <c r="W25" s="267"/>
    </row>
    <row r="26" spans="1:26" ht="18" customHeight="1">
      <c r="A26" s="14" t="s">
        <v>208</v>
      </c>
      <c r="B26" s="143"/>
      <c r="C26" s="16" t="e">
        <f>INDEX(PORT!$B$2:$B$20,MATCH('10'!B26,PORT!$A$2:$A$20))</f>
        <v>#N/A</v>
      </c>
      <c r="D26" s="10" t="e">
        <f>INDEX(PORT!$C$2:$C$20,MATCH('10'!B26,PORT!$A$2:$A$20))</f>
        <v>#N/A</v>
      </c>
      <c r="E26" s="18"/>
      <c r="F26" s="18"/>
      <c r="G26" s="19"/>
      <c r="H26" s="49"/>
      <c r="I26" s="49"/>
      <c r="J26" s="167"/>
      <c r="K26" s="194"/>
      <c r="L26" s="21" t="e">
        <f>VLOOKUP(K26,'[9]Exchange Rate'!$A$3:$D$26,3,FALSE)</f>
        <v>#N/A</v>
      </c>
      <c r="M26" s="20" t="str">
        <f t="shared" si="0"/>
        <v>Saturday</v>
      </c>
      <c r="N26" s="26"/>
      <c r="O26" s="233"/>
      <c r="P26" s="233"/>
      <c r="Q26" s="22">
        <v>50</v>
      </c>
      <c r="R26" s="182"/>
      <c r="S26" s="182"/>
      <c r="T26" s="182"/>
      <c r="U26" s="182"/>
      <c r="V26" s="24">
        <f t="shared" si="1"/>
        <v>-50</v>
      </c>
      <c r="W26" s="19"/>
    </row>
    <row r="27" spans="1:26" ht="18" customHeight="1">
      <c r="A27" s="14" t="s">
        <v>208</v>
      </c>
      <c r="B27" s="15"/>
      <c r="C27" s="16" t="e">
        <f>INDEX(PORT!$B$2:$B$20,MATCH('10'!B27,PORT!$A$2:$A$20))</f>
        <v>#N/A</v>
      </c>
      <c r="D27" s="10" t="e">
        <f>INDEX(PORT!$C$2:$C$20,MATCH('10'!B27,PORT!$A$2:$A$20))</f>
        <v>#N/A</v>
      </c>
      <c r="E27" s="18"/>
      <c r="F27" s="18"/>
      <c r="G27" s="19"/>
      <c r="H27" s="49"/>
      <c r="I27" s="49"/>
      <c r="J27" s="167"/>
      <c r="K27" s="194"/>
      <c r="L27" s="21" t="e">
        <f>VLOOKUP(K27,'[9]Exchange Rate'!$A$3:$D$26,3,FALSE)</f>
        <v>#N/A</v>
      </c>
      <c r="M27" s="20" t="str">
        <f t="shared" si="0"/>
        <v>Saturday</v>
      </c>
      <c r="N27" s="26"/>
      <c r="O27" s="233"/>
      <c r="P27" s="233"/>
      <c r="Q27" s="22">
        <v>50</v>
      </c>
      <c r="R27" s="182"/>
      <c r="S27" s="182"/>
      <c r="T27" s="182"/>
      <c r="U27" s="182"/>
      <c r="V27" s="24">
        <f t="shared" si="1"/>
        <v>-50</v>
      </c>
      <c r="W27" s="19"/>
    </row>
    <row r="28" spans="1:26" ht="18" customHeight="1">
      <c r="A28" s="14" t="s">
        <v>208</v>
      </c>
      <c r="B28" s="143"/>
      <c r="C28" s="16" t="e">
        <f>INDEX(PORT!$B$2:$B$20,MATCH('10'!B28,PORT!$A$2:$A$20))</f>
        <v>#N/A</v>
      </c>
      <c r="D28" s="10" t="e">
        <f>INDEX(PORT!$C$2:$C$20,MATCH('10'!B28,PORT!$A$2:$A$20))</f>
        <v>#N/A</v>
      </c>
      <c r="E28" s="236"/>
      <c r="F28" s="172"/>
      <c r="G28" s="155"/>
      <c r="H28" s="49"/>
      <c r="I28" s="49"/>
      <c r="J28" s="167"/>
      <c r="K28" s="260"/>
      <c r="L28" s="21" t="e">
        <f>VLOOKUP(K28,'[9]Exchange Rate'!$A$3:$D$26,3,FALSE)</f>
        <v>#N/A</v>
      </c>
      <c r="M28" s="20" t="str">
        <f t="shared" si="0"/>
        <v>Saturday</v>
      </c>
      <c r="N28" s="148"/>
      <c r="O28" s="233"/>
      <c r="P28" s="233"/>
      <c r="Q28" s="22">
        <v>50</v>
      </c>
      <c r="R28" s="182"/>
      <c r="S28" s="182"/>
      <c r="T28" s="182"/>
      <c r="U28" s="182"/>
      <c r="V28" s="24">
        <f t="shared" si="1"/>
        <v>-50</v>
      </c>
      <c r="W28" s="58"/>
    </row>
    <row r="29" spans="1:26" ht="18" customHeight="1">
      <c r="A29" s="14" t="s">
        <v>208</v>
      </c>
      <c r="B29" s="197"/>
      <c r="C29" s="16" t="e">
        <f>INDEX(PORT!$B$2:$B$20,MATCH('10'!B29,PORT!$A$2:$A$20))</f>
        <v>#N/A</v>
      </c>
      <c r="D29" s="10" t="e">
        <f>INDEX(PORT!$C$2:$C$20,MATCH('10'!B29,PORT!$A$2:$A$20))</f>
        <v>#N/A</v>
      </c>
      <c r="E29" s="215"/>
      <c r="F29" s="172"/>
      <c r="G29" s="155"/>
      <c r="H29" s="49"/>
      <c r="I29" s="49"/>
      <c r="J29" s="167"/>
      <c r="K29" s="260"/>
      <c r="L29" s="21" t="e">
        <f>VLOOKUP(K29,'[9]Exchange Rate'!$A$3:$D$26,3,FALSE)</f>
        <v>#N/A</v>
      </c>
      <c r="M29" s="20" t="str">
        <f t="shared" si="0"/>
        <v>Saturday</v>
      </c>
      <c r="N29" s="148"/>
      <c r="O29" s="233"/>
      <c r="P29" s="233"/>
      <c r="Q29" s="22">
        <v>50</v>
      </c>
      <c r="R29" s="182"/>
      <c r="S29" s="182"/>
      <c r="T29" s="182"/>
      <c r="U29" s="182"/>
      <c r="V29" s="24">
        <f t="shared" si="1"/>
        <v>-50</v>
      </c>
      <c r="W29" s="29"/>
    </row>
    <row r="30" spans="1:26" ht="18" customHeight="1">
      <c r="A30" s="14" t="s">
        <v>208</v>
      </c>
      <c r="B30" s="143"/>
      <c r="C30" s="16" t="e">
        <f>INDEX(PORT!$B$2:$B$20,MATCH('10'!B30,PORT!$A$2:$A$20))</f>
        <v>#N/A</v>
      </c>
      <c r="D30" s="10" t="e">
        <f>INDEX(PORT!$C$2:$C$20,MATCH('10'!B30,PORT!$A$2:$A$20))</f>
        <v>#N/A</v>
      </c>
      <c r="E30" s="237"/>
      <c r="F30" s="172"/>
      <c r="G30" s="155"/>
      <c r="H30" s="49"/>
      <c r="I30" s="49"/>
      <c r="J30" s="167"/>
      <c r="K30" s="260"/>
      <c r="L30" s="21" t="e">
        <f>VLOOKUP(K30,'[9]Exchange Rate'!$A$3:$D$26,3,FALSE)</f>
        <v>#N/A</v>
      </c>
      <c r="M30" s="20" t="str">
        <f t="shared" si="0"/>
        <v>Saturday</v>
      </c>
      <c r="N30" s="148"/>
      <c r="O30" s="233"/>
      <c r="P30" s="233"/>
      <c r="Q30" s="22">
        <v>50</v>
      </c>
      <c r="R30" s="182"/>
      <c r="S30" s="182"/>
      <c r="T30" s="182"/>
      <c r="U30" s="182"/>
      <c r="V30" s="24">
        <f t="shared" si="1"/>
        <v>-50</v>
      </c>
      <c r="W30" s="31"/>
    </row>
    <row r="31" spans="1:26" ht="18" customHeight="1">
      <c r="A31" s="14" t="s">
        <v>208</v>
      </c>
      <c r="B31" s="59"/>
      <c r="C31" s="16" t="e">
        <f>INDEX(PORT!$B$2:$B$20,MATCH('10'!B31,PORT!$A$2:$A$20))</f>
        <v>#N/A</v>
      </c>
      <c r="D31" s="10" t="e">
        <f>INDEX(PORT!$C$2:$C$20,MATCH('10'!B31,PORT!$A$2:$A$20))</f>
        <v>#N/A</v>
      </c>
      <c r="E31" s="60"/>
      <c r="F31" s="54"/>
      <c r="G31" s="19"/>
      <c r="H31" s="49"/>
      <c r="I31" s="49"/>
      <c r="J31" s="167"/>
      <c r="K31" s="20"/>
      <c r="L31" s="21" t="e">
        <f>VLOOKUP(K31,'[9]Exchange Rate'!$A$3:$D$26,3,FALSE)</f>
        <v>#N/A</v>
      </c>
      <c r="M31" s="20" t="str">
        <f t="shared" si="0"/>
        <v>Saturday</v>
      </c>
      <c r="N31" s="26"/>
      <c r="O31" s="233"/>
      <c r="P31" s="233"/>
      <c r="Q31" s="22">
        <v>50</v>
      </c>
      <c r="R31" s="182"/>
      <c r="S31" s="182"/>
      <c r="T31" s="182"/>
      <c r="U31" s="182"/>
      <c r="V31" s="24">
        <f t="shared" si="1"/>
        <v>-50</v>
      </c>
      <c r="W31" s="58"/>
    </row>
    <row r="32" spans="1:26" s="139" customFormat="1" ht="18" customHeight="1">
      <c r="A32" s="14" t="s">
        <v>208</v>
      </c>
      <c r="B32" s="15"/>
      <c r="C32" s="16" t="e">
        <f>INDEX(PORT!$B$2:$B$20,MATCH('10'!B32,PORT!$A$2:$A$20))</f>
        <v>#N/A</v>
      </c>
      <c r="D32" s="10" t="e">
        <f>INDEX(PORT!$C$2:$C$20,MATCH('10'!B32,PORT!$A$2:$A$20))</f>
        <v>#N/A</v>
      </c>
      <c r="E32" s="16"/>
      <c r="F32" s="18"/>
      <c r="G32" s="19"/>
      <c r="H32" s="49"/>
      <c r="I32" s="49"/>
      <c r="J32" s="167"/>
      <c r="K32" s="194"/>
      <c r="L32" s="21" t="e">
        <f>VLOOKUP(K32,'[9]Exchange Rate'!$A$3:$D$26,3,FALSE)</f>
        <v>#N/A</v>
      </c>
      <c r="M32" s="20" t="str">
        <f t="shared" si="0"/>
        <v>Saturday</v>
      </c>
      <c r="N32" s="22"/>
      <c r="O32" s="233"/>
      <c r="P32" s="233">
        <v>0</v>
      </c>
      <c r="Q32" s="22">
        <v>0</v>
      </c>
      <c r="R32" s="182"/>
      <c r="S32" s="182"/>
      <c r="T32" s="182"/>
      <c r="U32" s="182"/>
      <c r="V32" s="24">
        <f t="shared" si="1"/>
        <v>0</v>
      </c>
      <c r="W32" s="17"/>
      <c r="X32" s="9"/>
    </row>
    <row r="33" spans="1:24" s="201" customFormat="1" ht="18" customHeight="1">
      <c r="A33" s="14" t="s">
        <v>208</v>
      </c>
      <c r="B33" s="59"/>
      <c r="C33" s="16" t="e">
        <f>INDEX(PORT!$B$2:$B$20,MATCH('10'!B33,PORT!$A$2:$A$20))</f>
        <v>#N/A</v>
      </c>
      <c r="D33" s="10" t="e">
        <f>INDEX(PORT!$C$2:$C$20,MATCH('10'!B33,PORT!$A$2:$A$20))</f>
        <v>#N/A</v>
      </c>
      <c r="E33" s="60"/>
      <c r="F33" s="54"/>
      <c r="G33" s="19"/>
      <c r="H33" s="49"/>
      <c r="I33" s="49"/>
      <c r="J33" s="167"/>
      <c r="K33" s="20"/>
      <c r="L33" s="21" t="e">
        <f>VLOOKUP(K33,'[9]Exchange Rate'!$A$3:$D$26,3,FALSE)</f>
        <v>#N/A</v>
      </c>
      <c r="M33" s="20" t="str">
        <f t="shared" si="0"/>
        <v>Saturday</v>
      </c>
      <c r="N33" s="26"/>
      <c r="O33" s="233"/>
      <c r="P33" s="233">
        <v>0</v>
      </c>
      <c r="Q33" s="22">
        <v>0</v>
      </c>
      <c r="R33" s="182"/>
      <c r="S33" s="182"/>
      <c r="T33" s="182"/>
      <c r="U33" s="182"/>
      <c r="V33" s="24">
        <f t="shared" si="1"/>
        <v>0</v>
      </c>
      <c r="W33" s="60"/>
      <c r="X33" s="9"/>
    </row>
    <row r="34" spans="1:24" s="12" customFormat="1" ht="18" customHeight="1">
      <c r="A34" s="14" t="s">
        <v>208</v>
      </c>
      <c r="B34" s="59"/>
      <c r="C34" s="16" t="e">
        <f>INDEX(PORT!$B$2:$B$20,MATCH('10'!B34,PORT!$A$2:$A$20))</f>
        <v>#N/A</v>
      </c>
      <c r="D34" s="10" t="e">
        <f>INDEX(PORT!$C$2:$C$20,MATCH('10'!B34,PORT!$A$2:$A$20))</f>
        <v>#N/A</v>
      </c>
      <c r="E34" s="60"/>
      <c r="F34" s="54"/>
      <c r="G34" s="19"/>
      <c r="H34" s="49"/>
      <c r="I34" s="49"/>
      <c r="J34" s="167"/>
      <c r="K34" s="20"/>
      <c r="L34" s="21" t="e">
        <f>VLOOKUP(K34,'[9]Exchange Rate'!$A$3:$D$26,3,FALSE)</f>
        <v>#N/A</v>
      </c>
      <c r="M34" s="20" t="str">
        <f t="shared" si="0"/>
        <v>Saturday</v>
      </c>
      <c r="N34" s="26"/>
      <c r="O34" s="233"/>
      <c r="P34" s="233">
        <v>0</v>
      </c>
      <c r="Q34" s="22">
        <v>0</v>
      </c>
      <c r="R34" s="182"/>
      <c r="S34" s="182"/>
      <c r="T34" s="182"/>
      <c r="U34" s="182"/>
      <c r="V34" s="24">
        <f t="shared" si="1"/>
        <v>0</v>
      </c>
      <c r="W34" s="208"/>
      <c r="X34" s="9"/>
    </row>
    <row r="35" spans="1:24" s="12" customFormat="1" ht="18" customHeight="1">
      <c r="A35" s="14" t="s">
        <v>208</v>
      </c>
      <c r="B35" s="143"/>
      <c r="C35" s="16" t="e">
        <f>INDEX(PORT!$B$2:$B$20,MATCH('10'!B35,PORT!$A$2:$A$20))</f>
        <v>#N/A</v>
      </c>
      <c r="D35" s="10" t="e">
        <f>INDEX(PORT!$C$2:$C$20,MATCH('10'!B35,PORT!$A$2:$A$20))</f>
        <v>#N/A</v>
      </c>
      <c r="E35" s="60"/>
      <c r="F35" s="172"/>
      <c r="G35" s="155"/>
      <c r="H35" s="49"/>
      <c r="I35" s="49"/>
      <c r="J35" s="167"/>
      <c r="K35" s="260"/>
      <c r="L35" s="21" t="e">
        <f>VLOOKUP(K35,'[9]Exchange Rate'!$A$3:$D$26,3,FALSE)</f>
        <v>#N/A</v>
      </c>
      <c r="M35" s="20" t="str">
        <f t="shared" si="0"/>
        <v>Saturday</v>
      </c>
      <c r="N35" s="148"/>
      <c r="O35" s="140"/>
      <c r="P35" s="233"/>
      <c r="Q35" s="22">
        <v>50</v>
      </c>
      <c r="R35" s="182"/>
      <c r="S35" s="182"/>
      <c r="T35" s="182"/>
      <c r="U35" s="182"/>
      <c r="V35" s="24">
        <f t="shared" si="1"/>
        <v>-50</v>
      </c>
      <c r="W35" s="49"/>
      <c r="X35" s="9"/>
    </row>
    <row r="36" spans="1:24" s="12" customFormat="1" ht="18" customHeight="1">
      <c r="A36" s="14" t="s">
        <v>208</v>
      </c>
      <c r="B36" s="59"/>
      <c r="C36" s="16" t="e">
        <f>INDEX(PORT!$B$2:$B$20,MATCH('10'!B36,PORT!$A$2:$A$20))</f>
        <v>#N/A</v>
      </c>
      <c r="D36" s="10" t="e">
        <f>INDEX(PORT!$C$2:$C$20,MATCH('10'!B36,PORT!$A$2:$A$20))</f>
        <v>#N/A</v>
      </c>
      <c r="E36" s="60"/>
      <c r="F36" s="54"/>
      <c r="G36" s="19"/>
      <c r="H36" s="49"/>
      <c r="I36" s="49"/>
      <c r="J36" s="167"/>
      <c r="K36" s="20"/>
      <c r="L36" s="21" t="e">
        <f>VLOOKUP(K36,'[9]Exchange Rate'!$A$3:$D$26,3,FALSE)</f>
        <v>#N/A</v>
      </c>
      <c r="M36" s="20" t="str">
        <f t="shared" si="0"/>
        <v>Saturday</v>
      </c>
      <c r="N36" s="26"/>
      <c r="O36" s="233"/>
      <c r="P36" s="233"/>
      <c r="Q36" s="22">
        <v>50</v>
      </c>
      <c r="R36" s="182"/>
      <c r="S36" s="182"/>
      <c r="T36" s="182"/>
      <c r="U36" s="182"/>
      <c r="V36" s="24">
        <f t="shared" si="1"/>
        <v>-50</v>
      </c>
      <c r="W36" s="60"/>
      <c r="X36" s="9"/>
    </row>
    <row r="37" spans="1:24" s="12" customFormat="1" ht="18" customHeight="1">
      <c r="A37" s="14" t="s">
        <v>208</v>
      </c>
      <c r="B37" s="59"/>
      <c r="C37" s="16" t="e">
        <f>INDEX(PORT!$B$2:$B$20,MATCH('10'!B37,PORT!$A$2:$A$20))</f>
        <v>#N/A</v>
      </c>
      <c r="D37" s="10" t="e">
        <f>INDEX(PORT!$C$2:$C$20,MATCH('10'!B37,PORT!$A$2:$A$20))</f>
        <v>#N/A</v>
      </c>
      <c r="E37" s="60"/>
      <c r="F37" s="54"/>
      <c r="G37" s="19"/>
      <c r="H37" s="49"/>
      <c r="I37" s="49"/>
      <c r="J37" s="167"/>
      <c r="K37" s="20"/>
      <c r="L37" s="21" t="e">
        <f>VLOOKUP(K37,'[9]Exchange Rate'!$A$3:$D$26,3,FALSE)</f>
        <v>#N/A</v>
      </c>
      <c r="M37" s="20" t="str">
        <f t="shared" si="0"/>
        <v>Saturday</v>
      </c>
      <c r="N37" s="26"/>
      <c r="O37" s="233"/>
      <c r="P37" s="233"/>
      <c r="Q37" s="22">
        <v>50</v>
      </c>
      <c r="R37" s="182"/>
      <c r="S37" s="182"/>
      <c r="T37" s="182"/>
      <c r="U37" s="182"/>
      <c r="V37" s="24">
        <f t="shared" si="1"/>
        <v>-50</v>
      </c>
      <c r="W37" s="60"/>
      <c r="X37" s="9"/>
    </row>
    <row r="38" spans="1:24" s="12" customFormat="1" ht="18" customHeight="1">
      <c r="A38" s="14"/>
      <c r="B38" s="59"/>
      <c r="C38" s="16" t="e">
        <f>INDEX(PORT!$B$2:$B$20,MATCH('10'!B38,PORT!$A$2:$A$20))</f>
        <v>#N/A</v>
      </c>
      <c r="D38" s="10" t="e">
        <f>INDEX(PORT!$C$2:$C$20,MATCH('10'!B38,PORT!$A$2:$A$20))</f>
        <v>#N/A</v>
      </c>
      <c r="E38" s="295"/>
      <c r="F38" s="54"/>
      <c r="G38" s="19"/>
      <c r="H38" s="49"/>
      <c r="I38" s="49"/>
      <c r="J38" s="167"/>
      <c r="K38" s="20"/>
      <c r="L38" s="21" t="e">
        <f>VLOOKUP(K38,'[9]Exchange Rate'!$A$3:$D$26,3,FALSE)</f>
        <v>#N/A</v>
      </c>
      <c r="M38" s="20" t="str">
        <f t="shared" si="0"/>
        <v>Saturday</v>
      </c>
      <c r="N38" s="26"/>
      <c r="O38" s="233"/>
      <c r="P38" s="233">
        <v>0</v>
      </c>
      <c r="Q38" s="22">
        <v>0</v>
      </c>
      <c r="R38" s="182"/>
      <c r="S38" s="182"/>
      <c r="T38" s="182"/>
      <c r="U38" s="182"/>
      <c r="V38" s="24">
        <f t="shared" si="1"/>
        <v>0</v>
      </c>
      <c r="W38" s="293"/>
      <c r="X38" s="9"/>
    </row>
    <row r="39" spans="1:24" s="12" customFormat="1" ht="18" customHeight="1">
      <c r="A39" s="14"/>
      <c r="B39" s="59"/>
      <c r="C39" s="16"/>
      <c r="D39" s="10"/>
      <c r="E39" s="296"/>
      <c r="F39" s="54"/>
      <c r="G39" s="19"/>
      <c r="H39" s="49"/>
      <c r="I39" s="49"/>
      <c r="J39" s="167"/>
      <c r="K39" s="20"/>
      <c r="L39" s="21" t="e">
        <f>VLOOKUP(K39,'[9]Exchange Rate'!$A$3:$D$26,3,FALSE)</f>
        <v>#N/A</v>
      </c>
      <c r="M39" s="20" t="str">
        <f t="shared" si="0"/>
        <v>Saturday</v>
      </c>
      <c r="N39" s="26"/>
      <c r="O39" s="233"/>
      <c r="P39" s="233">
        <v>0</v>
      </c>
      <c r="Q39" s="22">
        <v>0</v>
      </c>
      <c r="R39" s="182"/>
      <c r="S39" s="182"/>
      <c r="T39" s="182"/>
      <c r="U39" s="182"/>
      <c r="V39" s="24">
        <f t="shared" si="1"/>
        <v>0</v>
      </c>
      <c r="W39" s="60"/>
      <c r="X39" s="9"/>
    </row>
    <row r="40" spans="1:24" ht="15.75">
      <c r="A40" s="14"/>
      <c r="B40" s="15"/>
      <c r="C40" s="10"/>
      <c r="D40" s="65"/>
      <c r="E40" s="66" t="s">
        <v>9</v>
      </c>
      <c r="F40" s="66"/>
      <c r="G40" s="67"/>
      <c r="H40" s="68"/>
      <c r="I40" s="31"/>
      <c r="J40" s="63"/>
      <c r="K40" s="34"/>
      <c r="L40" s="32"/>
      <c r="M40" s="20"/>
      <c r="N40" s="26"/>
      <c r="O40" s="26"/>
      <c r="P40" s="26"/>
      <c r="Q40" s="35"/>
      <c r="R40" s="39"/>
      <c r="S40" s="39"/>
      <c r="T40" s="36"/>
      <c r="U40" s="39"/>
      <c r="V40" s="24"/>
      <c r="W40" s="31"/>
    </row>
    <row r="41" spans="1:24">
      <c r="A41" s="14"/>
      <c r="B41" s="15"/>
      <c r="C41" s="10"/>
      <c r="D41" s="10"/>
      <c r="E41" s="18" t="s">
        <v>349</v>
      </c>
      <c r="F41" s="18"/>
      <c r="G41" s="19"/>
      <c r="H41" s="61"/>
      <c r="I41" s="19"/>
      <c r="J41" s="62"/>
      <c r="K41" s="62"/>
      <c r="L41" s="21"/>
      <c r="M41" s="52"/>
      <c r="O41" s="52"/>
      <c r="P41" s="52"/>
      <c r="Q41" s="26"/>
      <c r="R41" s="42"/>
      <c r="S41" s="42"/>
      <c r="T41" s="42"/>
      <c r="U41" s="42"/>
      <c r="V41" s="24"/>
      <c r="W41" s="19"/>
    </row>
    <row r="42" spans="1:24">
      <c r="A42" s="14"/>
      <c r="B42" s="15"/>
      <c r="C42" s="10"/>
      <c r="D42" s="51"/>
      <c r="E42" s="18" t="s">
        <v>7</v>
      </c>
      <c r="F42" s="18"/>
      <c r="G42" s="19"/>
      <c r="H42" s="61"/>
      <c r="I42" s="19"/>
      <c r="J42" s="62"/>
      <c r="K42" s="62"/>
      <c r="L42" s="69"/>
      <c r="M42" s="52"/>
      <c r="N42" s="52"/>
      <c r="O42" s="52"/>
      <c r="P42" s="52"/>
      <c r="Q42" s="26"/>
      <c r="R42" s="42"/>
      <c r="S42" s="42"/>
      <c r="T42" s="42"/>
      <c r="U42" s="42"/>
      <c r="V42" s="24"/>
      <c r="W42" s="19"/>
    </row>
    <row r="43" spans="1:24">
      <c r="A43" s="70"/>
      <c r="B43" s="70"/>
      <c r="C43" s="81"/>
      <c r="D43" s="82"/>
      <c r="E43" s="83"/>
      <c r="F43" s="84"/>
      <c r="G43" s="85"/>
      <c r="H43" s="75"/>
      <c r="I43" s="74"/>
      <c r="J43" s="76"/>
      <c r="K43" s="76"/>
      <c r="L43" s="77"/>
      <c r="M43" s="86"/>
      <c r="N43" s="133"/>
      <c r="O43" s="78"/>
      <c r="P43" s="78"/>
      <c r="Q43" s="78"/>
      <c r="R43" s="79"/>
      <c r="S43" s="79"/>
      <c r="T43" s="79"/>
      <c r="U43" s="79"/>
      <c r="V43" s="80"/>
      <c r="W43" s="74"/>
    </row>
    <row r="44" spans="1:24" ht="15.75">
      <c r="A44" s="88"/>
      <c r="B44" s="89">
        <f>SUBTOTAL(3,B3:B43)</f>
        <v>2</v>
      </c>
      <c r="C44" s="88"/>
      <c r="D44" s="90"/>
      <c r="E44" s="342" t="s">
        <v>3</v>
      </c>
      <c r="F44" s="343"/>
      <c r="G44" s="344"/>
      <c r="H44" s="91">
        <f>SUBTOTAL(3,H3:H43)</f>
        <v>2</v>
      </c>
      <c r="I44" s="91">
        <f>SUBTOTAL(3,I3:I43)</f>
        <v>2</v>
      </c>
      <c r="J44" s="91">
        <f>SUBTOTAL(3,J3:J43)</f>
        <v>2</v>
      </c>
      <c r="K44" s="92"/>
      <c r="L44" s="89"/>
      <c r="M44" s="89"/>
      <c r="N44" s="93">
        <f>SUM(N3:N42)</f>
        <v>1429.65</v>
      </c>
      <c r="O44" s="136">
        <f>SUBTOTAL(9,O3:O39)</f>
        <v>1276.5</v>
      </c>
      <c r="P44" s="136">
        <f>SUBTOTAL(9,P3:P39)</f>
        <v>0</v>
      </c>
      <c r="Q44" s="91">
        <f>SUBTOTAL(9,Q3:Q40)</f>
        <v>1200</v>
      </c>
      <c r="R44" s="91">
        <f>SUBTOTAL(9,R3:R39)</f>
        <v>400</v>
      </c>
      <c r="S44" s="7">
        <f>SUBTOTAL(9,S3:S39)</f>
        <v>1505.4</v>
      </c>
      <c r="T44" s="7">
        <f>SUBTOTAL(9,T3:T39)</f>
        <v>40</v>
      </c>
      <c r="U44" s="7">
        <f>SUBTOTAL(9,U3:U39)</f>
        <v>1912.75</v>
      </c>
      <c r="V44" s="7">
        <f>SUBTOTAL(9,V3:V42)</f>
        <v>-88</v>
      </c>
      <c r="W44" s="89"/>
    </row>
    <row r="45" spans="1:24" ht="23.1" customHeight="1">
      <c r="B45" s="95"/>
      <c r="C45" s="96"/>
      <c r="D45" s="97"/>
      <c r="E45" s="98"/>
      <c r="F45" s="291"/>
      <c r="G45" s="339"/>
      <c r="H45" s="11"/>
      <c r="I45" s="99"/>
      <c r="J45" s="100"/>
      <c r="K45" s="100"/>
      <c r="M45" s="101" t="s">
        <v>207</v>
      </c>
      <c r="N45" s="102">
        <f>SUMIFS($N$3:$N$42,$A$3:$A$42,$M$45)-O46</f>
        <v>0</v>
      </c>
      <c r="O45" s="103"/>
      <c r="P45" s="103"/>
      <c r="Q45" s="104"/>
      <c r="R45" s="105"/>
      <c r="S45" s="106"/>
      <c r="T45" s="107"/>
      <c r="U45" s="107"/>
      <c r="V45" s="108"/>
      <c r="W45" s="264"/>
    </row>
    <row r="46" spans="1:24" ht="23.1" customHeight="1">
      <c r="B46" s="95"/>
      <c r="C46" s="110"/>
      <c r="D46" s="111"/>
      <c r="E46" s="98"/>
      <c r="F46" s="291"/>
      <c r="G46" s="339"/>
      <c r="H46" s="11"/>
      <c r="I46" s="99"/>
      <c r="J46" s="100"/>
      <c r="K46" s="100"/>
      <c r="M46" s="112" t="s">
        <v>208</v>
      </c>
      <c r="N46" s="113">
        <f>SUMIFS($N$3:$N$41,$A$3:$A$41,$M$46)</f>
        <v>1429.65</v>
      </c>
      <c r="O46" s="279"/>
      <c r="P46" s="279"/>
      <c r="Q46" s="280"/>
      <c r="R46" s="280"/>
      <c r="S46" s="181"/>
      <c r="T46" s="115"/>
      <c r="U46" s="115"/>
      <c r="V46" s="116"/>
    </row>
    <row r="47" spans="1:24">
      <c r="B47" s="95"/>
      <c r="C47" s="117"/>
      <c r="D47" s="118"/>
      <c r="E47" s="98"/>
      <c r="F47" s="291"/>
      <c r="G47" s="339"/>
      <c r="H47" s="11"/>
      <c r="I47" s="99"/>
      <c r="J47" s="100"/>
      <c r="K47" s="100"/>
      <c r="O47" s="254"/>
      <c r="P47" s="254"/>
      <c r="S47" s="115"/>
      <c r="T47" s="115"/>
      <c r="U47" s="115"/>
      <c r="V47" s="116"/>
    </row>
    <row r="48" spans="1:24" ht="15" customHeight="1">
      <c r="N48" s="104"/>
      <c r="R48" s="104"/>
    </row>
    <row r="49" spans="11:19" ht="15" customHeight="1">
      <c r="K49" s="340" t="s">
        <v>1694</v>
      </c>
      <c r="L49" s="325"/>
      <c r="M49" s="326"/>
      <c r="N49" s="337">
        <f>'08'!L52</f>
        <v>868.40000000000327</v>
      </c>
      <c r="R49" s="104"/>
    </row>
    <row r="50" spans="11:19" ht="15" customHeight="1">
      <c r="K50" s="341" t="s">
        <v>1752</v>
      </c>
      <c r="L50" s="341" t="s">
        <v>1753</v>
      </c>
      <c r="M50" s="335"/>
      <c r="N50" s="336">
        <v>10000</v>
      </c>
      <c r="O50" s="240"/>
      <c r="P50" s="240"/>
    </row>
    <row r="51" spans="11:19" ht="15" customHeight="1">
      <c r="K51" s="338" t="s">
        <v>998</v>
      </c>
      <c r="L51" s="338"/>
      <c r="M51" s="335"/>
      <c r="N51" s="336">
        <f>SUM(N49:N50)</f>
        <v>10868.400000000003</v>
      </c>
    </row>
    <row r="52" spans="11:19" ht="15" customHeight="1">
      <c r="K52" s="332" t="s">
        <v>1619</v>
      </c>
      <c r="L52" s="332"/>
      <c r="M52" s="333"/>
      <c r="N52" s="334">
        <f>N44-N51</f>
        <v>-9438.7500000000036</v>
      </c>
      <c r="O52" s="240"/>
      <c r="P52" s="240"/>
    </row>
    <row r="53" spans="11:19" ht="15" customHeight="1">
      <c r="N53" s="283"/>
      <c r="O53" s="240"/>
      <c r="P53" s="240"/>
    </row>
    <row r="54" spans="11:19" ht="15" customHeight="1">
      <c r="K54" s="318"/>
      <c r="L54" s="319"/>
      <c r="M54" s="320"/>
      <c r="N54" s="284"/>
      <c r="S54" s="104"/>
    </row>
    <row r="55" spans="11:19" ht="15" customHeight="1">
      <c r="K55" s="318"/>
      <c r="L55" s="319"/>
      <c r="M55" s="320"/>
    </row>
    <row r="56" spans="11:19" ht="15" customHeight="1">
      <c r="K56" s="318"/>
      <c r="L56" s="319"/>
      <c r="M56" s="320"/>
    </row>
    <row r="57" spans="11:19" ht="15" customHeight="1">
      <c r="K57" s="279"/>
      <c r="M57" s="104"/>
      <c r="S57" s="104"/>
    </row>
    <row r="58" spans="11:19" ht="15" customHeight="1">
      <c r="K58" s="321"/>
      <c r="M58" s="104"/>
    </row>
    <row r="67" spans="6:6" ht="15" customHeight="1">
      <c r="F67" s="339" t="s">
        <v>440</v>
      </c>
    </row>
  </sheetData>
  <autoFilter ref="A2:W42">
    <sortState ref="A3:W50">
      <sortCondition ref="F3"/>
    </sortState>
  </autoFilter>
  <mergeCells count="1">
    <mergeCell ref="E44:G44"/>
  </mergeCells>
  <conditionalFormatting sqref="A4:D39 E16:K39 L4:W39">
    <cfRule type="expression" dxfId="89" priority="10">
      <formula>$A4="PAID"</formula>
    </cfRule>
  </conditionalFormatting>
  <conditionalFormatting sqref="B3">
    <cfRule type="expression" dxfId="88" priority="30">
      <formula>$A3="PAID"</formula>
    </cfRule>
    <cfRule type="expression" dxfId="87" priority="31">
      <formula>$D3=$O$2</formula>
    </cfRule>
  </conditionalFormatting>
  <conditionalFormatting sqref="C3:D39">
    <cfRule type="expression" dxfId="86" priority="40">
      <formula>$E3="STORAGE"</formula>
    </cfRule>
    <cfRule type="expression" dxfId="85" priority="41">
      <formula>$E3="LOLO"</formula>
    </cfRule>
    <cfRule type="expression" dxfId="84" priority="42">
      <formula>$E3="THC"</formula>
    </cfRule>
    <cfRule type="expression" dxfId="83" priority="43">
      <formula>$A3="PAID"</formula>
    </cfRule>
    <cfRule type="expression" dxfId="82" priority="44">
      <formula>$D3=$O$2</formula>
    </cfRule>
  </conditionalFormatting>
  <conditionalFormatting sqref="E3">
    <cfRule type="duplicateValues" dxfId="81" priority="24"/>
    <cfRule type="duplicateValues" dxfId="80" priority="25"/>
  </conditionalFormatting>
  <conditionalFormatting sqref="E4:E6">
    <cfRule type="duplicateValues" dxfId="79" priority="79"/>
  </conditionalFormatting>
  <conditionalFormatting sqref="E6">
    <cfRule type="duplicateValues" dxfId="78" priority="76"/>
    <cfRule type="duplicateValues" dxfId="77" priority="77"/>
    <cfRule type="duplicateValues" dxfId="76" priority="78"/>
  </conditionalFormatting>
  <conditionalFormatting sqref="E10">
    <cfRule type="duplicateValues" dxfId="75" priority="29"/>
  </conditionalFormatting>
  <conditionalFormatting sqref="E11">
    <cfRule type="duplicateValues" dxfId="74" priority="26"/>
  </conditionalFormatting>
  <conditionalFormatting sqref="E12 E14:E15">
    <cfRule type="duplicateValues" dxfId="73" priority="64"/>
  </conditionalFormatting>
  <conditionalFormatting sqref="E13 E7">
    <cfRule type="duplicateValues" dxfId="72" priority="27"/>
    <cfRule type="duplicateValues" dxfId="71" priority="28"/>
  </conditionalFormatting>
  <conditionalFormatting sqref="E13 E7:E11">
    <cfRule type="duplicateValues" dxfId="70" priority="56"/>
  </conditionalFormatting>
  <conditionalFormatting sqref="E13 E33:E39 A16:B39 H16:I39 X4:X39 Y16:XFD39 L16:W39 L4:L15">
    <cfRule type="expression" dxfId="69" priority="20">
      <formula>$E4="STORAGE"</formula>
    </cfRule>
    <cfRule type="expression" dxfId="68" priority="21">
      <formula>$E4="LOLO"</formula>
    </cfRule>
    <cfRule type="expression" dxfId="67" priority="22">
      <formula>$E4="THC"</formula>
    </cfRule>
  </conditionalFormatting>
  <conditionalFormatting sqref="E14:E15">
    <cfRule type="expression" dxfId="66" priority="63">
      <formula>$A13="PAID"</formula>
    </cfRule>
    <cfRule type="expression" dxfId="65" priority="65">
      <formula>$A13="PAID"</formula>
    </cfRule>
    <cfRule type="expression" dxfId="64" priority="66">
      <formula>$E14="STORAGE"</formula>
    </cfRule>
    <cfRule type="expression" dxfId="63" priority="67">
      <formula>$E14="LOLO"</formula>
    </cfRule>
    <cfRule type="expression" dxfId="62" priority="68">
      <formula>$E14="THC"</formula>
    </cfRule>
  </conditionalFormatting>
  <conditionalFormatting sqref="E16:E17">
    <cfRule type="duplicateValues" dxfId="61" priority="49"/>
  </conditionalFormatting>
  <conditionalFormatting sqref="E18:E21 E1:E2 E31:E1048576">
    <cfRule type="duplicateValues" dxfId="60" priority="82"/>
  </conditionalFormatting>
  <conditionalFormatting sqref="E22:E30">
    <cfRule type="duplicateValues" dxfId="59" priority="38"/>
    <cfRule type="duplicateValues" dxfId="58" priority="39"/>
  </conditionalFormatting>
  <conditionalFormatting sqref="E16:G32 J12:K12 J16:K20 J21:J29">
    <cfRule type="expression" dxfId="57" priority="35">
      <formula>$E12="STORAGE"</formula>
    </cfRule>
    <cfRule type="expression" dxfId="56" priority="36">
      <formula>$E12="LOLO"</formula>
    </cfRule>
    <cfRule type="expression" dxfId="55" priority="37">
      <formula>$E12="THC"</formula>
    </cfRule>
  </conditionalFormatting>
  <conditionalFormatting sqref="E16:G32">
    <cfRule type="expression" dxfId="54" priority="34">
      <formula>$A16="PAID"</formula>
    </cfRule>
  </conditionalFormatting>
  <conditionalFormatting sqref="E13:I13 F14:I14 F15:K15 J21:J22 J24 J26 K13:K14 J32:J34 J38">
    <cfRule type="expression" dxfId="53" priority="11">
      <formula>$A13="PAID"</formula>
    </cfRule>
  </conditionalFormatting>
  <conditionalFormatting sqref="F13:G14 P13:V14">
    <cfRule type="expression" dxfId="52" priority="70">
      <formula>$E14="STORAGE"</formula>
    </cfRule>
    <cfRule type="expression" dxfId="51" priority="71">
      <formula>$E14="LOLO"</formula>
    </cfRule>
    <cfRule type="expression" dxfId="50" priority="72">
      <formula>$E14="THC"</formula>
    </cfRule>
  </conditionalFormatting>
  <conditionalFormatting sqref="F13:G15 P13:V15 P20 P22 P24 P32:P34 P38">
    <cfRule type="expression" dxfId="49" priority="69">
      <formula>$A13="PAID"</formula>
    </cfRule>
  </conditionalFormatting>
  <conditionalFormatting sqref="F15:G15 P15:V15 P20 P22 P24 P32:P34 P38">
    <cfRule type="expression" dxfId="48" priority="73">
      <formula>#REF!="STORAGE"</formula>
    </cfRule>
    <cfRule type="expression" dxfId="47" priority="74">
      <formula>#REF!="LOLO"</formula>
    </cfRule>
    <cfRule type="expression" dxfId="46" priority="75">
      <formula>#REF!="THC"</formula>
    </cfRule>
  </conditionalFormatting>
  <conditionalFormatting sqref="F33:G39 J21:K39">
    <cfRule type="expression" dxfId="45" priority="45">
      <formula>$A21="PAID"</formula>
    </cfRule>
    <cfRule type="expression" dxfId="44" priority="46">
      <formula>$E21="STORAGE"</formula>
    </cfRule>
    <cfRule type="expression" dxfId="43" priority="47">
      <formula>$E21="LOLO"</formula>
    </cfRule>
    <cfRule type="expression" dxfId="42" priority="48">
      <formula>$E21="THC"</formula>
    </cfRule>
  </conditionalFormatting>
  <conditionalFormatting sqref="B4:B17 G13 N4:N16 P8 E16:G17 K16:K17 G7:G9">
    <cfRule type="expression" dxfId="41" priority="32">
      <formula>$C4=$N$2</formula>
    </cfRule>
  </conditionalFormatting>
  <conditionalFormatting sqref="H45:J1048576 H1:J2 H40:J43 J37:J39">
    <cfRule type="duplicateValues" dxfId="40" priority="53"/>
  </conditionalFormatting>
  <conditionalFormatting sqref="I45:I1048576 I1:I2 I40:I43">
    <cfRule type="duplicateValues" dxfId="39" priority="54"/>
  </conditionalFormatting>
  <conditionalFormatting sqref="I45:I1048576">
    <cfRule type="duplicateValues" dxfId="38" priority="51"/>
  </conditionalFormatting>
  <conditionalFormatting sqref="J38 H15:O15 J21:J22 J24 J26 J32:J34 A15:B15 W15 Y15:XFD15">
    <cfRule type="expression" dxfId="37" priority="60">
      <formula>#REF!="STORAGE"</formula>
    </cfRule>
    <cfRule type="expression" dxfId="36" priority="61">
      <formula>#REF!="LOLO"</formula>
    </cfRule>
    <cfRule type="expression" dxfId="35" priority="62">
      <formula>#REF!="THC"</formula>
    </cfRule>
  </conditionalFormatting>
  <conditionalFormatting sqref="J38">
    <cfRule type="expression" dxfId="34" priority="80">
      <formula>$C38=$N$2</formula>
    </cfRule>
    <cfRule type="duplicateValues" dxfId="33" priority="81"/>
  </conditionalFormatting>
  <conditionalFormatting sqref="J45:J1048576 J1:J2 J37:J43">
    <cfRule type="duplicateValues" dxfId="32" priority="50"/>
  </conditionalFormatting>
  <conditionalFormatting sqref="K18:K36 P3:P7 O4:O21 W4:W37 N18:N21 E3:G3 J37:K39 E18:G39 Q4:V39 B18:B39 W39 M40:P40 B40:L42 Q40:W42 N22:O39 P9:P39 L4:M39 H3:I39">
    <cfRule type="expression" dxfId="31" priority="23">
      <formula>$D3=$O$2</formula>
    </cfRule>
  </conditionalFormatting>
  <conditionalFormatting sqref="K49:N49">
    <cfRule type="expression" dxfId="30" priority="6">
      <formula>$X49="PENDING"</formula>
    </cfRule>
  </conditionalFormatting>
  <conditionalFormatting sqref="K3:O3 Q3:W3">
    <cfRule type="expression" dxfId="29" priority="19">
      <formula>$D3=$O$2</formula>
    </cfRule>
  </conditionalFormatting>
  <conditionalFormatting sqref="K13:O14 H13:I14 A13:B14 W13:W14 Y13:XFD14">
    <cfRule type="expression" dxfId="28" priority="57">
      <formula>$E14="STORAGE"</formula>
    </cfRule>
    <cfRule type="expression" dxfId="27" priority="58">
      <formula>$E14="LOLO"</formula>
    </cfRule>
    <cfRule type="expression" dxfId="26" priority="59">
      <formula>$E14="THC"</formula>
    </cfRule>
  </conditionalFormatting>
  <conditionalFormatting sqref="A40:XFD42">
    <cfRule type="expression" dxfId="25" priority="12">
      <formula>$E40="STORAGE"</formula>
    </cfRule>
    <cfRule type="expression" dxfId="24" priority="13">
      <formula>$E40="LOLO"</formula>
    </cfRule>
    <cfRule type="expression" dxfId="23" priority="14">
      <formula>$E40="THC"</formula>
    </cfRule>
  </conditionalFormatting>
  <conditionalFormatting sqref="L41:L42">
    <cfRule type="expression" dxfId="22" priority="55">
      <formula>#REF!=$M$1</formula>
    </cfRule>
  </conditionalFormatting>
  <conditionalFormatting sqref="L3:M40">
    <cfRule type="expression" dxfId="21" priority="52">
      <formula>$M3=$M$1</formula>
    </cfRule>
  </conditionalFormatting>
  <conditionalFormatting sqref="N3:O3">
    <cfRule type="expression" dxfId="20" priority="16">
      <formula>$E3="STORAGE"</formula>
    </cfRule>
    <cfRule type="expression" dxfId="19" priority="17">
      <formula>$E3="LOLO"</formula>
    </cfRule>
    <cfRule type="expression" dxfId="18" priority="18">
      <formula>$E3="THC"</formula>
    </cfRule>
  </conditionalFormatting>
  <conditionalFormatting sqref="J13:K20 A3:W3 H13:I38 J38 J21:J22 J24 J26 J32:J34 P4:P12 P15 E4:K12">
    <cfRule type="expression" dxfId="17" priority="33">
      <formula>$A3="PAID"</formula>
    </cfRule>
  </conditionalFormatting>
  <conditionalFormatting sqref="P3:XFD3 J3:K11 E3:I12 L3:M12 Y4:XFD12 H13:I38 J12:J14 J16:J29 N4:W12 P15 A3:B12 H4:J4">
    <cfRule type="expression" dxfId="16" priority="7">
      <formula>$E3="STORAGE"</formula>
    </cfRule>
    <cfRule type="expression" dxfId="15" priority="8">
      <formula>$E3="LOLO"</formula>
    </cfRule>
    <cfRule type="expression" dxfId="14" priority="9">
      <formula>$E3="THC"</formula>
    </cfRule>
  </conditionalFormatting>
  <conditionalFormatting sqref="Q3:W3 N3:O3">
    <cfRule type="expression" dxfId="13" priority="15">
      <formula>$A3="PAID"</formula>
    </cfRule>
  </conditionalFormatting>
  <conditionalFormatting sqref="X3:X4">
    <cfRule type="expression" dxfId="12" priority="5">
      <formula>$X$3="PENDING"</formula>
    </cfRule>
  </conditionalFormatting>
  <conditionalFormatting sqref="X18">
    <cfRule type="expression" dxfId="11" priority="4">
      <formula>$U$2="PENDING"</formula>
    </cfRule>
  </conditionalFormatting>
  <conditionalFormatting sqref="E12 E31:E39 E14:E21">
    <cfRule type="duplicateValues" dxfId="10" priority="83"/>
  </conditionalFormatting>
  <conditionalFormatting sqref="H3:H39">
    <cfRule type="duplicateValues" dxfId="9" priority="84"/>
    <cfRule type="duplicateValues" dxfId="8" priority="85"/>
    <cfRule type="duplicateValues" dxfId="7" priority="86"/>
  </conditionalFormatting>
  <conditionalFormatting sqref="I3:I39">
    <cfRule type="duplicateValues" dxfId="6" priority="87"/>
  </conditionalFormatting>
  <conditionalFormatting sqref="W39">
    <cfRule type="expression" dxfId="5" priority="88">
      <formula>$A39="PAID"</formula>
    </cfRule>
    <cfRule type="duplicateValues" dxfId="4" priority="89"/>
    <cfRule type="duplicateValues" dxfId="3" priority="90"/>
  </conditionalFormatting>
  <conditionalFormatting sqref="B4">
    <cfRule type="expression" dxfId="2" priority="1">
      <formula>$A4="PAID"</formula>
    </cfRule>
    <cfRule type="expression" dxfId="1" priority="2">
      <formula>$D4=$O$2</formula>
    </cfRule>
  </conditionalFormatting>
  <conditionalFormatting sqref="B4">
    <cfRule type="expression" dxfId="0" priority="3">
      <formula>$A4="PAID"</formula>
    </cfRule>
  </conditionalFormatting>
  <pageMargins left="0.7" right="0.7" top="0.75" bottom="0.75" header="0.3" footer="0.3"/>
  <pageSetup paperSize="9" scale="66" orientation="portrait" r:id="rId1"/>
  <rowBreaks count="1" manualBreakCount="1">
    <brk id="2" max="21" man="1"/>
  </rowBreaks>
  <colBreaks count="2" manualBreakCount="2">
    <brk id="7" max="82" man="1"/>
    <brk id="14" max="79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C21"/>
  <sheetViews>
    <sheetView workbookViewId="0">
      <selection activeCell="M17" sqref="M17"/>
    </sheetView>
  </sheetViews>
  <sheetFormatPr defaultColWidth="8.85546875" defaultRowHeight="15" customHeight="1"/>
  <cols>
    <col min="2" max="2" width="11" bestFit="1" customWidth="1"/>
    <col min="3" max="3" width="24.42578125" customWidth="1"/>
  </cols>
  <sheetData>
    <row r="1" spans="1:3">
      <c r="A1" s="1" t="s">
        <v>8</v>
      </c>
      <c r="B1" t="s">
        <v>19</v>
      </c>
    </row>
    <row r="2" spans="1:3">
      <c r="A2" s="1">
        <v>1</v>
      </c>
      <c r="B2" t="s">
        <v>18</v>
      </c>
      <c r="C2" t="s">
        <v>35</v>
      </c>
    </row>
    <row r="3" spans="1:3">
      <c r="A3" s="1">
        <v>4</v>
      </c>
      <c r="B3" t="s">
        <v>20</v>
      </c>
      <c r="C3" t="s">
        <v>14</v>
      </c>
    </row>
    <row r="4" spans="1:3">
      <c r="A4" s="1">
        <v>11</v>
      </c>
      <c r="B4" t="s">
        <v>23</v>
      </c>
      <c r="C4" t="s">
        <v>24</v>
      </c>
    </row>
    <row r="5" spans="1:3" ht="15" customHeight="1">
      <c r="A5" s="1" t="s">
        <v>192</v>
      </c>
      <c r="B5" t="s">
        <v>190</v>
      </c>
      <c r="C5" t="s">
        <v>191</v>
      </c>
    </row>
    <row r="6" spans="1:3" ht="15" customHeight="1">
      <c r="A6" s="1">
        <v>12</v>
      </c>
      <c r="B6" t="s">
        <v>188</v>
      </c>
      <c r="C6" t="s">
        <v>189</v>
      </c>
    </row>
    <row r="7" spans="1:3">
      <c r="A7" s="1">
        <v>16</v>
      </c>
      <c r="B7" t="s">
        <v>186</v>
      </c>
      <c r="C7" t="s">
        <v>187</v>
      </c>
    </row>
    <row r="8" spans="1:3" ht="15" customHeight="1">
      <c r="A8" s="3">
        <v>19</v>
      </c>
      <c r="B8" t="s">
        <v>32</v>
      </c>
      <c r="C8" t="s">
        <v>33</v>
      </c>
    </row>
    <row r="9" spans="1:3">
      <c r="A9" s="1">
        <v>21</v>
      </c>
      <c r="B9" t="s">
        <v>27</v>
      </c>
      <c r="C9" t="s">
        <v>28</v>
      </c>
    </row>
    <row r="10" spans="1:3">
      <c r="A10" s="3">
        <v>23</v>
      </c>
      <c r="B10" t="s">
        <v>29</v>
      </c>
      <c r="C10" t="s">
        <v>30</v>
      </c>
    </row>
    <row r="11" spans="1:3">
      <c r="A11" s="1">
        <v>25</v>
      </c>
      <c r="B11" t="s">
        <v>25</v>
      </c>
      <c r="C11" t="s">
        <v>26</v>
      </c>
    </row>
    <row r="21" spans="1:3" ht="15" customHeight="1">
      <c r="A21" s="4"/>
      <c r="B21" s="4"/>
      <c r="C21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38"/>
  <sheetViews>
    <sheetView topLeftCell="A16" workbookViewId="0">
      <selection activeCell="Q16" sqref="Q16"/>
    </sheetView>
  </sheetViews>
  <sheetFormatPr defaultColWidth="8.85546875" defaultRowHeight="15"/>
  <cols>
    <col min="3" max="3" width="11.42578125" bestFit="1" customWidth="1"/>
    <col min="4" max="4" width="9.140625" style="2"/>
  </cols>
  <sheetData>
    <row r="1" spans="1:4">
      <c r="A1" t="s">
        <v>204</v>
      </c>
      <c r="B1" t="s">
        <v>205</v>
      </c>
      <c r="C1" t="s">
        <v>12</v>
      </c>
      <c r="D1" s="2" t="s">
        <v>1</v>
      </c>
    </row>
    <row r="2" spans="1:4">
      <c r="A2" t="s">
        <v>131</v>
      </c>
      <c r="B2" t="s">
        <v>132</v>
      </c>
      <c r="C2" t="s">
        <v>133</v>
      </c>
      <c r="D2" s="2">
        <v>46027</v>
      </c>
    </row>
    <row r="3" spans="1:4">
      <c r="A3" t="s">
        <v>134</v>
      </c>
      <c r="B3" t="s">
        <v>135</v>
      </c>
      <c r="C3" t="s">
        <v>136</v>
      </c>
      <c r="D3" s="2">
        <v>46027</v>
      </c>
    </row>
    <row r="4" spans="1:4">
      <c r="A4" t="s">
        <v>137</v>
      </c>
      <c r="B4" t="s">
        <v>138</v>
      </c>
      <c r="C4" t="s">
        <v>139</v>
      </c>
      <c r="D4" s="2">
        <v>46027</v>
      </c>
    </row>
    <row r="5" spans="1:4">
      <c r="A5" t="s">
        <v>140</v>
      </c>
      <c r="B5" t="s">
        <v>141</v>
      </c>
      <c r="C5" t="s">
        <v>142</v>
      </c>
      <c r="D5" s="2">
        <v>46027</v>
      </c>
    </row>
    <row r="6" spans="1:4">
      <c r="A6" t="s">
        <v>143</v>
      </c>
      <c r="B6" t="s">
        <v>144</v>
      </c>
      <c r="C6" t="s">
        <v>145</v>
      </c>
      <c r="D6" s="2">
        <v>46027</v>
      </c>
    </row>
    <row r="7" spans="1:4">
      <c r="A7" t="s">
        <v>104</v>
      </c>
      <c r="B7" t="s">
        <v>105</v>
      </c>
      <c r="C7" t="s">
        <v>106</v>
      </c>
      <c r="D7" s="2">
        <v>46027</v>
      </c>
    </row>
    <row r="8" spans="1:4">
      <c r="A8" t="s">
        <v>65</v>
      </c>
      <c r="B8" t="s">
        <v>66</v>
      </c>
      <c r="C8" t="s">
        <v>67</v>
      </c>
      <c r="D8" s="2">
        <v>46027</v>
      </c>
    </row>
    <row r="9" spans="1:4">
      <c r="A9" t="s">
        <v>68</v>
      </c>
      <c r="B9" t="s">
        <v>69</v>
      </c>
      <c r="C9" t="s">
        <v>70</v>
      </c>
      <c r="D9" s="2">
        <v>46027</v>
      </c>
    </row>
    <row r="10" spans="1:4">
      <c r="A10" t="s">
        <v>146</v>
      </c>
      <c r="B10" t="s">
        <v>147</v>
      </c>
      <c r="C10" t="s">
        <v>148</v>
      </c>
      <c r="D10" s="2">
        <v>46030</v>
      </c>
    </row>
    <row r="11" spans="1:4">
      <c r="A11" t="s">
        <v>149</v>
      </c>
      <c r="B11" t="s">
        <v>150</v>
      </c>
      <c r="C11" t="s">
        <v>151</v>
      </c>
      <c r="D11" s="2">
        <v>46030</v>
      </c>
    </row>
    <row r="12" spans="1:4">
      <c r="A12" t="s">
        <v>152</v>
      </c>
      <c r="B12" t="s">
        <v>153</v>
      </c>
      <c r="C12" t="s">
        <v>154</v>
      </c>
      <c r="D12" s="2">
        <v>46030</v>
      </c>
    </row>
    <row r="13" spans="1:4">
      <c r="A13" t="s">
        <v>155</v>
      </c>
      <c r="B13" t="s">
        <v>156</v>
      </c>
      <c r="C13" t="s">
        <v>157</v>
      </c>
      <c r="D13" s="2">
        <v>46031</v>
      </c>
    </row>
    <row r="14" spans="1:4">
      <c r="A14" t="s">
        <v>71</v>
      </c>
      <c r="B14" t="s">
        <v>72</v>
      </c>
      <c r="C14" t="s">
        <v>73</v>
      </c>
      <c r="D14" s="2">
        <v>46031</v>
      </c>
    </row>
    <row r="15" spans="1:4">
      <c r="A15" t="s">
        <v>107</v>
      </c>
      <c r="B15" t="s">
        <v>108</v>
      </c>
      <c r="C15" t="s">
        <v>109</v>
      </c>
      <c r="D15" s="2">
        <v>46034</v>
      </c>
    </row>
    <row r="16" spans="1:4">
      <c r="A16" t="s">
        <v>74</v>
      </c>
      <c r="B16" t="s">
        <v>75</v>
      </c>
      <c r="C16" t="s">
        <v>76</v>
      </c>
      <c r="D16" s="2">
        <v>46034</v>
      </c>
    </row>
    <row r="17" spans="1:4">
      <c r="A17" t="s">
        <v>77</v>
      </c>
      <c r="B17" t="s">
        <v>78</v>
      </c>
      <c r="C17" t="s">
        <v>79</v>
      </c>
      <c r="D17" s="2">
        <v>46034</v>
      </c>
    </row>
    <row r="18" spans="1:4">
      <c r="A18" t="s">
        <v>40</v>
      </c>
      <c r="B18" t="s">
        <v>43</v>
      </c>
      <c r="C18" t="s">
        <v>48</v>
      </c>
      <c r="D18" s="2">
        <v>46034</v>
      </c>
    </row>
    <row r="19" spans="1:4">
      <c r="A19" t="s">
        <v>158</v>
      </c>
      <c r="B19" t="s">
        <v>159</v>
      </c>
      <c r="C19" t="s">
        <v>160</v>
      </c>
      <c r="D19" s="2">
        <v>46036</v>
      </c>
    </row>
    <row r="20" spans="1:4">
      <c r="A20" t="s">
        <v>110</v>
      </c>
      <c r="B20" t="s">
        <v>111</v>
      </c>
      <c r="C20" t="s">
        <v>112</v>
      </c>
      <c r="D20" s="2">
        <v>46036</v>
      </c>
    </row>
    <row r="21" spans="1:4">
      <c r="A21" t="s">
        <v>161</v>
      </c>
      <c r="B21" t="s">
        <v>162</v>
      </c>
      <c r="C21" t="s">
        <v>163</v>
      </c>
      <c r="D21" s="2">
        <v>46037</v>
      </c>
    </row>
    <row r="22" spans="1:4">
      <c r="A22" t="s">
        <v>80</v>
      </c>
      <c r="B22" t="s">
        <v>81</v>
      </c>
      <c r="C22" t="s">
        <v>82</v>
      </c>
      <c r="D22" s="2">
        <v>46038</v>
      </c>
    </row>
    <row r="23" spans="1:4">
      <c r="A23" t="s">
        <v>83</v>
      </c>
      <c r="B23" t="s">
        <v>84</v>
      </c>
      <c r="C23" t="s">
        <v>85</v>
      </c>
      <c r="D23" s="2">
        <v>46041</v>
      </c>
    </row>
    <row r="24" spans="1:4">
      <c r="A24" t="s">
        <v>164</v>
      </c>
      <c r="B24" t="s">
        <v>165</v>
      </c>
      <c r="C24" t="s">
        <v>166</v>
      </c>
      <c r="D24" s="2">
        <v>46041</v>
      </c>
    </row>
    <row r="25" spans="1:4">
      <c r="A25" t="s">
        <v>86</v>
      </c>
      <c r="B25" t="s">
        <v>87</v>
      </c>
      <c r="C25" t="s">
        <v>88</v>
      </c>
      <c r="D25" s="2">
        <v>46041</v>
      </c>
    </row>
    <row r="26" spans="1:4">
      <c r="A26" t="s">
        <v>167</v>
      </c>
      <c r="B26" t="s">
        <v>168</v>
      </c>
      <c r="C26" t="s">
        <v>169</v>
      </c>
      <c r="D26" s="2">
        <v>46041</v>
      </c>
    </row>
    <row r="27" spans="1:4">
      <c r="A27" t="s">
        <v>170</v>
      </c>
      <c r="B27" t="s">
        <v>171</v>
      </c>
      <c r="C27" t="s">
        <v>172</v>
      </c>
      <c r="D27" s="2">
        <v>46042</v>
      </c>
    </row>
    <row r="28" spans="1:4">
      <c r="A28" t="s">
        <v>173</v>
      </c>
      <c r="B28" t="s">
        <v>174</v>
      </c>
      <c r="C28" t="s">
        <v>175</v>
      </c>
      <c r="D28" s="2">
        <v>46044</v>
      </c>
    </row>
    <row r="29" spans="1:4">
      <c r="A29" t="s">
        <v>176</v>
      </c>
      <c r="B29" t="s">
        <v>177</v>
      </c>
      <c r="C29" t="s">
        <v>178</v>
      </c>
      <c r="D29" s="2">
        <v>46048</v>
      </c>
    </row>
    <row r="30" spans="1:4">
      <c r="A30" t="s">
        <v>179</v>
      </c>
      <c r="B30" t="s">
        <v>180</v>
      </c>
      <c r="C30" t="s">
        <v>181</v>
      </c>
      <c r="D30" s="2">
        <v>46048</v>
      </c>
    </row>
    <row r="31" spans="1:4">
      <c r="A31" t="s">
        <v>89</v>
      </c>
      <c r="B31" t="s">
        <v>90</v>
      </c>
      <c r="C31" t="s">
        <v>91</v>
      </c>
      <c r="D31" s="2">
        <v>46048</v>
      </c>
    </row>
    <row r="32" spans="1:4">
      <c r="A32" t="s">
        <v>92</v>
      </c>
      <c r="B32" t="s">
        <v>93</v>
      </c>
      <c r="C32" t="s">
        <v>94</v>
      </c>
      <c r="D32" s="2">
        <v>46048</v>
      </c>
    </row>
    <row r="33" spans="1:4">
      <c r="A33" t="s">
        <v>95</v>
      </c>
      <c r="B33" t="s">
        <v>96</v>
      </c>
      <c r="C33" t="s">
        <v>97</v>
      </c>
      <c r="D33" s="2">
        <v>46050</v>
      </c>
    </row>
    <row r="34" spans="1:4">
      <c r="A34" t="s">
        <v>182</v>
      </c>
      <c r="B34" t="s">
        <v>183</v>
      </c>
      <c r="C34" t="s">
        <v>184</v>
      </c>
      <c r="D34" s="2">
        <v>46050</v>
      </c>
    </row>
    <row r="35" spans="1:4">
      <c r="A35" t="s">
        <v>46</v>
      </c>
      <c r="B35" t="s">
        <v>44</v>
      </c>
      <c r="C35" t="s">
        <v>49</v>
      </c>
      <c r="D35" s="2">
        <v>46051</v>
      </c>
    </row>
    <row r="36" spans="1:4">
      <c r="A36" t="s">
        <v>98</v>
      </c>
      <c r="B36" t="s">
        <v>99</v>
      </c>
      <c r="C36" t="s">
        <v>100</v>
      </c>
      <c r="D36" s="2">
        <v>46052</v>
      </c>
    </row>
    <row r="37" spans="1:4">
      <c r="A37" t="s">
        <v>47</v>
      </c>
      <c r="B37" t="s">
        <v>45</v>
      </c>
      <c r="C37" t="s">
        <v>50</v>
      </c>
      <c r="D37" s="2">
        <v>46052</v>
      </c>
    </row>
    <row r="38" spans="1:4">
      <c r="B38" t="s">
        <v>185</v>
      </c>
      <c r="D38" s="2">
        <v>46052</v>
      </c>
    </row>
  </sheetData>
  <sortState ref="A2:D38">
    <sortCondition ref="A2:A3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PORT</vt:lpstr>
      <vt:lpstr>Sheet1</vt:lpstr>
      <vt:lpstr>'01'!Print_Area</vt:lpstr>
      <vt:lpstr>'04'!Print_Area</vt:lpstr>
      <vt:lpstr>'05'!Print_Area</vt:lpstr>
      <vt:lpstr>'06'!Print_Area</vt:lpstr>
      <vt:lpstr>'07'!Print_Area</vt:lpstr>
      <vt:lpstr>'08'!Print_Area</vt:lpstr>
      <vt:lpstr>'09'!Print_Area</vt:lpstr>
      <vt:lpstr>'10'!Print_Area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2026-02-11T17:18:38Z</cp:lastPrinted>
  <dcterms:created xsi:type="dcterms:W3CDTF">2024-08-28T09:08:02Z</dcterms:created>
  <dcterms:modified xsi:type="dcterms:W3CDTF">2026-10-21T08:48:12Z</dcterms:modified>
</cp:coreProperties>
</file>