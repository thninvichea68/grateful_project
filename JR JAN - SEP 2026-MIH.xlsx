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1-JR APPAREL\6-MIH\"/>
    </mc:Choice>
  </mc:AlternateContent>
  <bookViews>
    <workbookView xWindow="0" yWindow="0" windowWidth="28800" windowHeight="12300" activeTab="8"/>
  </bookViews>
  <sheets>
    <sheet name="1-JAN" sheetId="12" r:id="rId1"/>
    <sheet name="2-FEB" sheetId="13" r:id="rId2"/>
    <sheet name="3-MAR" sheetId="14" r:id="rId3"/>
    <sheet name="4-APR" sheetId="15" r:id="rId4"/>
    <sheet name="5-MAY" sheetId="17" r:id="rId5"/>
    <sheet name="6-JUN" sheetId="18" r:id="rId6"/>
    <sheet name="7-JUL" sheetId="19" r:id="rId7"/>
    <sheet name="8-AUG" sheetId="22" r:id="rId8"/>
    <sheet name="9-SEP" sheetId="23" r:id="rId9"/>
  </sheets>
  <definedNames>
    <definedName name="_xlnm.Print_Area" localSheetId="0">'1-JAN'!$A$1:$P$105</definedName>
    <definedName name="_xlnm.Print_Area" localSheetId="1">'2-FEB'!$A$1:$P$105</definedName>
    <definedName name="_xlnm.Print_Area" localSheetId="2">'3-MAR'!$A$1:$P$105</definedName>
    <definedName name="_xlnm.Print_Area" localSheetId="3">'4-APR'!$A$1:$P$105</definedName>
    <definedName name="_xlnm.Print_Area" localSheetId="4">'5-MAY'!$A$1:$P$105</definedName>
    <definedName name="_xlnm.Print_Area" localSheetId="5">'6-JUN'!$A$1:$P$105</definedName>
    <definedName name="_xlnm.Print_Area" localSheetId="6">'7-JUL'!$A$1:$P$107</definedName>
    <definedName name="_xlnm.Print_Area" localSheetId="7">'8-AUG'!$A$1:$P$107</definedName>
    <definedName name="_xlnm.Print_Area" localSheetId="8">'9-SEP'!$A$1:$P$107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23" l="1"/>
  <c r="O63" i="23"/>
  <c r="P62" i="23"/>
  <c r="O62" i="23"/>
  <c r="P61" i="23"/>
  <c r="O61" i="23"/>
  <c r="R55" i="23"/>
  <c r="Q55" i="23"/>
  <c r="H47" i="23"/>
  <c r="F47" i="23"/>
  <c r="K20" i="23"/>
  <c r="M86" i="23" l="1"/>
  <c r="K86" i="23"/>
  <c r="M80" i="23"/>
  <c r="K80" i="23"/>
  <c r="Q80" i="23" s="1"/>
  <c r="O27" i="23"/>
  <c r="O26" i="23"/>
  <c r="O25" i="23"/>
  <c r="O24" i="23"/>
  <c r="P51" i="23" s="1"/>
  <c r="O23" i="23"/>
  <c r="O22" i="23"/>
  <c r="O21" i="23"/>
  <c r="P48" i="23" s="1"/>
  <c r="M27" i="23"/>
  <c r="M26" i="23"/>
  <c r="M25" i="23"/>
  <c r="O52" i="23" s="1"/>
  <c r="M24" i="23"/>
  <c r="O51" i="23" s="1"/>
  <c r="M23" i="23"/>
  <c r="M22" i="23"/>
  <c r="O49" i="23" s="1"/>
  <c r="M21" i="23"/>
  <c r="O48" i="23" s="1"/>
  <c r="M20" i="23"/>
  <c r="Q20" i="23" s="1"/>
  <c r="K107" i="23"/>
  <c r="N99" i="23"/>
  <c r="K99" i="23"/>
  <c r="N98" i="23"/>
  <c r="K98" i="23"/>
  <c r="N97" i="23"/>
  <c r="K97" i="23"/>
  <c r="K96" i="23"/>
  <c r="A96" i="23"/>
  <c r="K89" i="23"/>
  <c r="J89" i="23"/>
  <c r="I87" i="23"/>
  <c r="H87" i="23"/>
  <c r="G87" i="23"/>
  <c r="Q86" i="23"/>
  <c r="J86" i="23"/>
  <c r="I81" i="23"/>
  <c r="H81" i="23"/>
  <c r="G81" i="23"/>
  <c r="J80" i="23"/>
  <c r="K77" i="23"/>
  <c r="J77" i="23"/>
  <c r="J83" i="23" s="1"/>
  <c r="N75" i="23"/>
  <c r="N107" i="23" s="1"/>
  <c r="K75" i="23"/>
  <c r="N69" i="23"/>
  <c r="K69" i="23"/>
  <c r="N68" i="23"/>
  <c r="K68" i="23"/>
  <c r="N67" i="23"/>
  <c r="K67" i="23"/>
  <c r="K66" i="23"/>
  <c r="B66" i="23"/>
  <c r="N64" i="23"/>
  <c r="M64" i="23"/>
  <c r="L64" i="23"/>
  <c r="K64" i="23"/>
  <c r="J64" i="23"/>
  <c r="I64" i="23"/>
  <c r="H64" i="23"/>
  <c r="G64" i="23"/>
  <c r="F64" i="23"/>
  <c r="E64" i="23"/>
  <c r="R63" i="23"/>
  <c r="T63" i="23" s="1"/>
  <c r="Q63" i="23"/>
  <c r="S63" i="23"/>
  <c r="R62" i="23"/>
  <c r="T62" i="23" s="1"/>
  <c r="Q62" i="23"/>
  <c r="S62" i="23" s="1"/>
  <c r="R61" i="23"/>
  <c r="Q61" i="23"/>
  <c r="P64" i="23"/>
  <c r="O64" i="23"/>
  <c r="K57" i="23"/>
  <c r="J57" i="23"/>
  <c r="M55" i="23"/>
  <c r="L55" i="23"/>
  <c r="K55" i="23"/>
  <c r="J55" i="23"/>
  <c r="I55" i="23"/>
  <c r="G55" i="23"/>
  <c r="E55" i="23"/>
  <c r="C54" i="23"/>
  <c r="B54" i="23"/>
  <c r="P53" i="23"/>
  <c r="O53" i="23"/>
  <c r="C53" i="23"/>
  <c r="B53" i="23"/>
  <c r="C52" i="23"/>
  <c r="B52" i="23"/>
  <c r="C51" i="23"/>
  <c r="B51" i="23"/>
  <c r="P50" i="23"/>
  <c r="O50" i="23"/>
  <c r="C50" i="23"/>
  <c r="B50" i="23"/>
  <c r="P49" i="23"/>
  <c r="C49" i="23"/>
  <c r="B49" i="23"/>
  <c r="C48" i="23"/>
  <c r="B48" i="23"/>
  <c r="N55" i="23"/>
  <c r="H55" i="23"/>
  <c r="F55" i="23"/>
  <c r="C47" i="23"/>
  <c r="B47" i="23"/>
  <c r="J43" i="23"/>
  <c r="N30" i="23"/>
  <c r="N96" i="23" s="1"/>
  <c r="I28" i="23"/>
  <c r="G28" i="23"/>
  <c r="E28" i="23"/>
  <c r="Q26" i="23"/>
  <c r="S26" i="23"/>
  <c r="Q25" i="23"/>
  <c r="S25" i="23"/>
  <c r="S24" i="23"/>
  <c r="S23" i="23"/>
  <c r="Q23" i="23"/>
  <c r="O20" i="23"/>
  <c r="P47" i="23" s="1"/>
  <c r="T61" i="23" l="1"/>
  <c r="K28" i="23"/>
  <c r="M28" i="23"/>
  <c r="Q24" i="23"/>
  <c r="O47" i="23"/>
  <c r="O55" i="23" s="1"/>
  <c r="N66" i="23"/>
  <c r="M87" i="23"/>
  <c r="R86" i="23"/>
  <c r="P55" i="23"/>
  <c r="M81" i="23"/>
  <c r="R80" i="23"/>
  <c r="P52" i="23"/>
  <c r="J81" i="23"/>
  <c r="J87" i="23"/>
  <c r="S20" i="23"/>
  <c r="O28" i="23"/>
  <c r="S61" i="23"/>
  <c r="K81" i="23"/>
  <c r="K87" i="23"/>
  <c r="P63" i="22"/>
  <c r="O63" i="22"/>
  <c r="P62" i="22"/>
  <c r="O62" i="22"/>
  <c r="P61" i="22"/>
  <c r="O61" i="22"/>
  <c r="H48" i="22"/>
  <c r="F48" i="22"/>
  <c r="N47" i="22"/>
  <c r="H47" i="22"/>
  <c r="F47" i="22"/>
  <c r="O27" i="22"/>
  <c r="M27" i="22"/>
  <c r="M21" i="22"/>
  <c r="M20" i="22"/>
  <c r="O47" i="22" s="1"/>
  <c r="O55" i="22" s="1"/>
  <c r="K21" i="22"/>
  <c r="K20" i="22"/>
  <c r="O20" i="22" s="1"/>
  <c r="P47" i="22" s="1"/>
  <c r="K86" i="22"/>
  <c r="K87" i="22" s="1"/>
  <c r="M80" i="22"/>
  <c r="K80" i="22"/>
  <c r="K107" i="22"/>
  <c r="K99" i="22"/>
  <c r="N98" i="22"/>
  <c r="K98" i="22"/>
  <c r="N97" i="22"/>
  <c r="K97" i="22"/>
  <c r="K96" i="22"/>
  <c r="A96" i="22"/>
  <c r="K89" i="22"/>
  <c r="J89" i="22"/>
  <c r="I87" i="22"/>
  <c r="H87" i="22"/>
  <c r="G87" i="22"/>
  <c r="J86" i="22"/>
  <c r="M86" i="22" s="1"/>
  <c r="I81" i="22"/>
  <c r="H81" i="22"/>
  <c r="G81" i="22"/>
  <c r="Q80" i="22"/>
  <c r="K81" i="22"/>
  <c r="J80" i="22"/>
  <c r="K77" i="22"/>
  <c r="J77" i="22"/>
  <c r="J83" i="22" s="1"/>
  <c r="N75" i="22"/>
  <c r="N107" i="22" s="1"/>
  <c r="K75" i="22"/>
  <c r="N69" i="22"/>
  <c r="N99" i="22" s="1"/>
  <c r="K69" i="22"/>
  <c r="N68" i="22"/>
  <c r="K68" i="22"/>
  <c r="N67" i="22"/>
  <c r="K67" i="22"/>
  <c r="K66" i="22"/>
  <c r="B66" i="22"/>
  <c r="N64" i="22"/>
  <c r="M64" i="22"/>
  <c r="L64" i="22"/>
  <c r="K64" i="22"/>
  <c r="J64" i="22"/>
  <c r="I64" i="22"/>
  <c r="H64" i="22"/>
  <c r="G64" i="22"/>
  <c r="F64" i="22"/>
  <c r="E64" i="22"/>
  <c r="R63" i="22"/>
  <c r="Q63" i="22"/>
  <c r="R62" i="22"/>
  <c r="Q62" i="22"/>
  <c r="P64" i="22"/>
  <c r="R61" i="22"/>
  <c r="T61" i="22" s="1"/>
  <c r="Q61" i="22"/>
  <c r="S61" i="22" s="1"/>
  <c r="K57" i="22"/>
  <c r="J57" i="22"/>
  <c r="N55" i="22"/>
  <c r="M55" i="22"/>
  <c r="L55" i="22"/>
  <c r="K55" i="22"/>
  <c r="J55" i="22"/>
  <c r="I55" i="22"/>
  <c r="H55" i="22"/>
  <c r="G55" i="22"/>
  <c r="F55" i="22"/>
  <c r="E55" i="22"/>
  <c r="C54" i="22"/>
  <c r="B54" i="22"/>
  <c r="O53" i="22"/>
  <c r="C53" i="22"/>
  <c r="B53" i="22"/>
  <c r="O52" i="22"/>
  <c r="C52" i="22"/>
  <c r="B52" i="22"/>
  <c r="O51" i="22"/>
  <c r="C51" i="22"/>
  <c r="B51" i="22"/>
  <c r="O50" i="22"/>
  <c r="C50" i="22"/>
  <c r="B50" i="22"/>
  <c r="O49" i="22"/>
  <c r="C49" i="22"/>
  <c r="B49" i="22"/>
  <c r="O48" i="22"/>
  <c r="C48" i="22"/>
  <c r="B48" i="22"/>
  <c r="C47" i="22"/>
  <c r="B47" i="22"/>
  <c r="J43" i="22"/>
  <c r="N30" i="22"/>
  <c r="N66" i="22" s="1"/>
  <c r="I28" i="22"/>
  <c r="G28" i="22"/>
  <c r="E28" i="22"/>
  <c r="Q26" i="22"/>
  <c r="O26" i="22"/>
  <c r="P53" i="22" s="1"/>
  <c r="Q25" i="22"/>
  <c r="O25" i="22"/>
  <c r="P52" i="22" s="1"/>
  <c r="Q24" i="22"/>
  <c r="O24" i="22"/>
  <c r="P51" i="22" s="1"/>
  <c r="Q23" i="22"/>
  <c r="O23" i="22"/>
  <c r="P50" i="22" s="1"/>
  <c r="O22" i="22"/>
  <c r="P49" i="22" s="1"/>
  <c r="Q20" i="22"/>
  <c r="S24" i="22" l="1"/>
  <c r="M28" i="22"/>
  <c r="S63" i="22"/>
  <c r="O64" i="22"/>
  <c r="S23" i="22"/>
  <c r="K28" i="22"/>
  <c r="O21" i="22"/>
  <c r="P48" i="22" s="1"/>
  <c r="S20" i="22"/>
  <c r="N96" i="22"/>
  <c r="Q86" i="22"/>
  <c r="T63" i="22"/>
  <c r="P55" i="22"/>
  <c r="M87" i="22"/>
  <c r="R86" i="22"/>
  <c r="M81" i="22"/>
  <c r="R80" i="22"/>
  <c r="T62" i="22"/>
  <c r="J81" i="22"/>
  <c r="J87" i="22"/>
  <c r="S62" i="22"/>
  <c r="S26" i="22"/>
  <c r="S25" i="22"/>
  <c r="M86" i="19"/>
  <c r="K86" i="19"/>
  <c r="M80" i="19"/>
  <c r="K80" i="19"/>
  <c r="P63" i="19"/>
  <c r="O63" i="19"/>
  <c r="P62" i="19"/>
  <c r="P64" i="19" s="1"/>
  <c r="O62" i="19"/>
  <c r="P55" i="19"/>
  <c r="O55" i="19"/>
  <c r="B54" i="19"/>
  <c r="C54" i="19"/>
  <c r="O27" i="19"/>
  <c r="O21" i="19"/>
  <c r="O22" i="19"/>
  <c r="O23" i="19"/>
  <c r="P50" i="19" s="1"/>
  <c r="O24" i="19"/>
  <c r="P51" i="19" s="1"/>
  <c r="O25" i="19"/>
  <c r="O26" i="19"/>
  <c r="O20" i="19"/>
  <c r="S20" i="19" s="1"/>
  <c r="M28" i="19"/>
  <c r="K28" i="19"/>
  <c r="I28" i="19"/>
  <c r="K107" i="19"/>
  <c r="K99" i="19"/>
  <c r="N98" i="19"/>
  <c r="K98" i="19"/>
  <c r="N97" i="19"/>
  <c r="K97" i="19"/>
  <c r="K96" i="19"/>
  <c r="A96" i="19"/>
  <c r="K89" i="19"/>
  <c r="J89" i="19"/>
  <c r="I87" i="19"/>
  <c r="H87" i="19"/>
  <c r="G87" i="19"/>
  <c r="Q86" i="19"/>
  <c r="J86" i="19"/>
  <c r="I81" i="19"/>
  <c r="H81" i="19"/>
  <c r="G81" i="19"/>
  <c r="Q80" i="19"/>
  <c r="J80" i="19"/>
  <c r="K77" i="19"/>
  <c r="J77" i="19"/>
  <c r="J83" i="19" s="1"/>
  <c r="N75" i="19"/>
  <c r="N107" i="19" s="1"/>
  <c r="K75" i="19"/>
  <c r="N69" i="19"/>
  <c r="N99" i="19" s="1"/>
  <c r="K69" i="19"/>
  <c r="N68" i="19"/>
  <c r="K68" i="19"/>
  <c r="N67" i="19"/>
  <c r="K67" i="19"/>
  <c r="K66" i="19"/>
  <c r="B66" i="19"/>
  <c r="N64" i="19"/>
  <c r="M64" i="19"/>
  <c r="L64" i="19"/>
  <c r="K64" i="19"/>
  <c r="J64" i="19"/>
  <c r="I64" i="19"/>
  <c r="H64" i="19"/>
  <c r="G64" i="19"/>
  <c r="F64" i="19"/>
  <c r="E64" i="19"/>
  <c r="R63" i="19"/>
  <c r="Q63" i="19"/>
  <c r="R62" i="19"/>
  <c r="Q62" i="19"/>
  <c r="S61" i="19"/>
  <c r="R61" i="19"/>
  <c r="T61" i="19" s="1"/>
  <c r="Q61" i="19"/>
  <c r="K57" i="19"/>
  <c r="J57" i="19"/>
  <c r="N55" i="19"/>
  <c r="M55" i="19"/>
  <c r="L55" i="19"/>
  <c r="K55" i="19"/>
  <c r="J55" i="19"/>
  <c r="I55" i="19"/>
  <c r="H55" i="19"/>
  <c r="G55" i="19"/>
  <c r="F55" i="19"/>
  <c r="E55" i="19"/>
  <c r="C53" i="19"/>
  <c r="B53" i="19"/>
  <c r="C52" i="19"/>
  <c r="B52" i="19"/>
  <c r="C51" i="19"/>
  <c r="B51" i="19"/>
  <c r="C50" i="19"/>
  <c r="B50" i="19"/>
  <c r="C49" i="19"/>
  <c r="B49" i="19"/>
  <c r="C48" i="19"/>
  <c r="B48" i="19"/>
  <c r="C47" i="19"/>
  <c r="B47" i="19"/>
  <c r="J43" i="19"/>
  <c r="N30" i="19"/>
  <c r="N96" i="19" s="1"/>
  <c r="G28" i="19"/>
  <c r="E28" i="19"/>
  <c r="P53" i="19"/>
  <c r="O53" i="19"/>
  <c r="P52" i="19"/>
  <c r="O52" i="19"/>
  <c r="O51" i="19"/>
  <c r="O50" i="19"/>
  <c r="P49" i="19"/>
  <c r="O49" i="19"/>
  <c r="O48" i="19"/>
  <c r="O47" i="19"/>
  <c r="O28" i="22" l="1"/>
  <c r="S63" i="19"/>
  <c r="S62" i="19"/>
  <c r="T63" i="19"/>
  <c r="S24" i="19"/>
  <c r="S23" i="19"/>
  <c r="S26" i="19"/>
  <c r="P47" i="19"/>
  <c r="S25" i="19"/>
  <c r="N66" i="19"/>
  <c r="R80" i="19"/>
  <c r="M81" i="19"/>
  <c r="M87" i="19"/>
  <c r="R86" i="19"/>
  <c r="T62" i="19"/>
  <c r="J81" i="19"/>
  <c r="J87" i="19"/>
  <c r="O64" i="19"/>
  <c r="K87" i="19"/>
  <c r="K81" i="19"/>
  <c r="Q20" i="19"/>
  <c r="Q23" i="19"/>
  <c r="Q24" i="19"/>
  <c r="Q25" i="19"/>
  <c r="Q26" i="19"/>
  <c r="O49" i="12"/>
  <c r="O50" i="12"/>
  <c r="O51" i="12"/>
  <c r="O52" i="12"/>
  <c r="O52" i="14"/>
  <c r="P52" i="14"/>
  <c r="O52" i="13"/>
  <c r="P52" i="13"/>
  <c r="B49" i="12"/>
  <c r="C49" i="12"/>
  <c r="B50" i="12"/>
  <c r="C50" i="12"/>
  <c r="B51" i="12"/>
  <c r="C51" i="12"/>
  <c r="B52" i="12"/>
  <c r="C52" i="12"/>
  <c r="B51" i="13"/>
  <c r="C51" i="13"/>
  <c r="B52" i="13"/>
  <c r="C52" i="13"/>
  <c r="B49" i="14"/>
  <c r="C49" i="14"/>
  <c r="B50" i="14"/>
  <c r="C50" i="14"/>
  <c r="B51" i="14"/>
  <c r="C51" i="14"/>
  <c r="B52" i="14"/>
  <c r="C52" i="14"/>
  <c r="B49" i="15"/>
  <c r="C49" i="15"/>
  <c r="B50" i="15"/>
  <c r="C50" i="15"/>
  <c r="B51" i="15"/>
  <c r="C51" i="15"/>
  <c r="B52" i="15"/>
  <c r="C52" i="15"/>
  <c r="B49" i="17"/>
  <c r="C49" i="17"/>
  <c r="B50" i="17"/>
  <c r="C50" i="17"/>
  <c r="B51" i="17"/>
  <c r="C51" i="17"/>
  <c r="B52" i="17"/>
  <c r="C52" i="17"/>
  <c r="B48" i="18"/>
  <c r="C48" i="18"/>
  <c r="B49" i="18"/>
  <c r="C49" i="18"/>
  <c r="B50" i="18"/>
  <c r="C50" i="18"/>
  <c r="B51" i="18"/>
  <c r="C51" i="18"/>
  <c r="B52" i="18"/>
  <c r="C52" i="18"/>
  <c r="P48" i="19" l="1"/>
  <c r="O28" i="19"/>
  <c r="O61" i="12"/>
  <c r="O61" i="13" s="1"/>
  <c r="O61" i="14" s="1"/>
  <c r="O61" i="15" s="1"/>
  <c r="O61" i="17" s="1"/>
  <c r="O61" i="18" s="1"/>
  <c r="P61" i="12"/>
  <c r="P61" i="13" s="1"/>
  <c r="P61" i="14" s="1"/>
  <c r="P61" i="15" s="1"/>
  <c r="P61" i="17" s="1"/>
  <c r="P61" i="18" s="1"/>
  <c r="P60" i="12"/>
  <c r="P60" i="13" s="1"/>
  <c r="P60" i="14" s="1"/>
  <c r="P60" i="15" s="1"/>
  <c r="P60" i="17" s="1"/>
  <c r="P60" i="18" s="1"/>
  <c r="O60" i="12"/>
  <c r="O60" i="13" s="1"/>
  <c r="O60" i="14" s="1"/>
  <c r="O60" i="15" s="1"/>
  <c r="O60" i="17" s="1"/>
  <c r="O60" i="18" s="1"/>
  <c r="M21" i="15" l="1"/>
  <c r="M24" i="17" s="1"/>
  <c r="M22" i="13"/>
  <c r="M23" i="13"/>
  <c r="M25" i="14" s="1"/>
  <c r="M21" i="13"/>
  <c r="M23" i="14" s="1"/>
  <c r="M22" i="12"/>
  <c r="M25" i="13" s="1"/>
  <c r="M21" i="12"/>
  <c r="M20" i="13" s="1"/>
  <c r="M20" i="14" s="1"/>
  <c r="M20" i="15" s="1"/>
  <c r="M20" i="17" s="1"/>
  <c r="M20" i="12"/>
  <c r="M24" i="13" s="1"/>
  <c r="M22" i="14" s="1"/>
  <c r="M22" i="15" s="1"/>
  <c r="O21" i="12"/>
  <c r="O22" i="12"/>
  <c r="O25" i="13" s="1"/>
  <c r="P51" i="13" s="1"/>
  <c r="O23" i="12"/>
  <c r="P49" i="12" s="1"/>
  <c r="O24" i="12"/>
  <c r="P50" i="12" s="1"/>
  <c r="O25" i="12"/>
  <c r="P51" i="12" s="1"/>
  <c r="O26" i="12"/>
  <c r="P52" i="12" s="1"/>
  <c r="O20" i="12"/>
  <c r="K20" i="18"/>
  <c r="K27" i="18" s="1"/>
  <c r="K21" i="18"/>
  <c r="K105" i="18"/>
  <c r="K97" i="18"/>
  <c r="N96" i="18"/>
  <c r="K96" i="18"/>
  <c r="N95" i="18"/>
  <c r="K95" i="18"/>
  <c r="K94" i="18"/>
  <c r="A94" i="18"/>
  <c r="K87" i="18"/>
  <c r="J87" i="18"/>
  <c r="I85" i="18"/>
  <c r="H85" i="18"/>
  <c r="G85" i="18"/>
  <c r="J84" i="18"/>
  <c r="J85" i="18" s="1"/>
  <c r="I79" i="18"/>
  <c r="H79" i="18"/>
  <c r="G79" i="18"/>
  <c r="J78" i="18"/>
  <c r="J79" i="18" s="1"/>
  <c r="K75" i="18"/>
  <c r="J75" i="18"/>
  <c r="J81" i="18" s="1"/>
  <c r="N73" i="18"/>
  <c r="N105" i="18" s="1"/>
  <c r="K73" i="18"/>
  <c r="N67" i="18"/>
  <c r="N97" i="18" s="1"/>
  <c r="K67" i="18"/>
  <c r="N66" i="18"/>
  <c r="K66" i="18"/>
  <c r="N65" i="18"/>
  <c r="K65" i="18"/>
  <c r="K64" i="18"/>
  <c r="B64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R61" i="18"/>
  <c r="T61" i="18" s="1"/>
  <c r="Q61" i="18"/>
  <c r="S61" i="18" s="1"/>
  <c r="R60" i="18"/>
  <c r="T60" i="18" s="1"/>
  <c r="Q60" i="18"/>
  <c r="S60" i="18" s="1"/>
  <c r="R59" i="18"/>
  <c r="T59" i="18" s="1"/>
  <c r="Q59" i="18"/>
  <c r="S59" i="18" s="1"/>
  <c r="K55" i="18"/>
  <c r="J55" i="18"/>
  <c r="N53" i="18"/>
  <c r="M53" i="18"/>
  <c r="L53" i="18"/>
  <c r="K53" i="18"/>
  <c r="J53" i="18"/>
  <c r="I53" i="18"/>
  <c r="H53" i="18"/>
  <c r="G53" i="18"/>
  <c r="F53" i="18"/>
  <c r="E53" i="18"/>
  <c r="C47" i="18"/>
  <c r="B47" i="18"/>
  <c r="C46" i="18"/>
  <c r="B46" i="18"/>
  <c r="J42" i="18"/>
  <c r="N29" i="18"/>
  <c r="N94" i="18" s="1"/>
  <c r="I27" i="18"/>
  <c r="G27" i="18"/>
  <c r="E27" i="18"/>
  <c r="K20" i="17"/>
  <c r="K21" i="17"/>
  <c r="K22" i="17"/>
  <c r="K27" i="17" s="1"/>
  <c r="K105" i="17"/>
  <c r="K97" i="17"/>
  <c r="N96" i="17"/>
  <c r="K96" i="17"/>
  <c r="N95" i="17"/>
  <c r="K95" i="17"/>
  <c r="K94" i="17"/>
  <c r="A94" i="17"/>
  <c r="K87" i="17"/>
  <c r="J87" i="17"/>
  <c r="I85" i="17"/>
  <c r="H85" i="17"/>
  <c r="G85" i="17"/>
  <c r="J84" i="17"/>
  <c r="J85" i="17" s="1"/>
  <c r="I79" i="17"/>
  <c r="H79" i="17"/>
  <c r="G79" i="17"/>
  <c r="J78" i="17"/>
  <c r="J79" i="17" s="1"/>
  <c r="K75" i="17"/>
  <c r="J75" i="17"/>
  <c r="J81" i="17" s="1"/>
  <c r="N73" i="17"/>
  <c r="N105" i="17" s="1"/>
  <c r="K73" i="17"/>
  <c r="N67" i="17"/>
  <c r="N97" i="17" s="1"/>
  <c r="K67" i="17"/>
  <c r="N66" i="17"/>
  <c r="K66" i="17"/>
  <c r="N65" i="17"/>
  <c r="K65" i="17"/>
  <c r="K64" i="17"/>
  <c r="B64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R61" i="17"/>
  <c r="T61" i="17" s="1"/>
  <c r="Q61" i="17"/>
  <c r="S61" i="17" s="1"/>
  <c r="R60" i="17"/>
  <c r="T60" i="17" s="1"/>
  <c r="Q60" i="17"/>
  <c r="S60" i="17" s="1"/>
  <c r="R59" i="17"/>
  <c r="T59" i="17" s="1"/>
  <c r="Q59" i="17"/>
  <c r="S59" i="17" s="1"/>
  <c r="K55" i="17"/>
  <c r="J55" i="17"/>
  <c r="N53" i="17"/>
  <c r="M53" i="17"/>
  <c r="L53" i="17"/>
  <c r="K53" i="17"/>
  <c r="J53" i="17"/>
  <c r="I53" i="17"/>
  <c r="H53" i="17"/>
  <c r="G53" i="17"/>
  <c r="F53" i="17"/>
  <c r="E53" i="17"/>
  <c r="C48" i="17"/>
  <c r="B48" i="17"/>
  <c r="C47" i="17"/>
  <c r="B47" i="17"/>
  <c r="C46" i="17"/>
  <c r="B46" i="17"/>
  <c r="J42" i="17"/>
  <c r="N29" i="17"/>
  <c r="N94" i="17" s="1"/>
  <c r="I27" i="17"/>
  <c r="G27" i="17"/>
  <c r="E27" i="17"/>
  <c r="Q24" i="17"/>
  <c r="K22" i="15"/>
  <c r="K21" i="15"/>
  <c r="O21" i="15" s="1"/>
  <c r="O24" i="17" s="1"/>
  <c r="P50" i="17" s="1"/>
  <c r="K20" i="15"/>
  <c r="M24" i="18" l="1"/>
  <c r="O50" i="17"/>
  <c r="O24" i="18"/>
  <c r="S24" i="17"/>
  <c r="M21" i="14"/>
  <c r="M23" i="15" s="1"/>
  <c r="O49" i="15" s="1"/>
  <c r="O51" i="13"/>
  <c r="M24" i="15"/>
  <c r="O49" i="14"/>
  <c r="M26" i="15"/>
  <c r="O51" i="14"/>
  <c r="M21" i="17"/>
  <c r="M22" i="18" s="1"/>
  <c r="O48" i="18" s="1"/>
  <c r="M24" i="14"/>
  <c r="M22" i="17"/>
  <c r="O48" i="17" s="1"/>
  <c r="M23" i="17"/>
  <c r="O47" i="17"/>
  <c r="Q20" i="17"/>
  <c r="M20" i="18"/>
  <c r="O46" i="17"/>
  <c r="N64" i="18"/>
  <c r="N64" i="17"/>
  <c r="O50" i="18" l="1"/>
  <c r="Q24" i="18"/>
  <c r="S24" i="18"/>
  <c r="P50" i="18"/>
  <c r="M23" i="18"/>
  <c r="O49" i="17"/>
  <c r="Q21" i="17"/>
  <c r="O52" i="15"/>
  <c r="M26" i="17"/>
  <c r="O52" i="17" s="1"/>
  <c r="M25" i="15"/>
  <c r="O51" i="15" s="1"/>
  <c r="O50" i="14"/>
  <c r="M21" i="18"/>
  <c r="O47" i="18" s="1"/>
  <c r="O50" i="15"/>
  <c r="M25" i="17"/>
  <c r="Q20" i="18"/>
  <c r="O46" i="18"/>
  <c r="O49" i="18" l="1"/>
  <c r="Q23" i="18"/>
  <c r="M27" i="17"/>
  <c r="O51" i="17"/>
  <c r="O53" i="17" s="1"/>
  <c r="M25" i="18"/>
  <c r="O51" i="18" s="1"/>
  <c r="Q25" i="17"/>
  <c r="M26" i="18"/>
  <c r="Q26" i="17"/>
  <c r="K105" i="15"/>
  <c r="K97" i="15"/>
  <c r="N96" i="15"/>
  <c r="K96" i="15"/>
  <c r="N95" i="15"/>
  <c r="K95" i="15"/>
  <c r="K94" i="15"/>
  <c r="A94" i="15"/>
  <c r="K87" i="15"/>
  <c r="J87" i="15"/>
  <c r="I85" i="15"/>
  <c r="H85" i="15"/>
  <c r="G85" i="15"/>
  <c r="J84" i="15"/>
  <c r="J85" i="15" s="1"/>
  <c r="I79" i="15"/>
  <c r="H79" i="15"/>
  <c r="G79" i="15"/>
  <c r="J78" i="15"/>
  <c r="J79" i="15" s="1"/>
  <c r="K75" i="15"/>
  <c r="J75" i="15"/>
  <c r="J81" i="15" s="1"/>
  <c r="N73" i="15"/>
  <c r="N105" i="15" s="1"/>
  <c r="K73" i="15"/>
  <c r="N67" i="15"/>
  <c r="N97" i="15" s="1"/>
  <c r="K67" i="15"/>
  <c r="N66" i="15"/>
  <c r="K66" i="15"/>
  <c r="N65" i="15"/>
  <c r="K65" i="15"/>
  <c r="K64" i="15"/>
  <c r="B64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R61" i="15"/>
  <c r="T61" i="15" s="1"/>
  <c r="Q61" i="15"/>
  <c r="S61" i="15" s="1"/>
  <c r="R60" i="15"/>
  <c r="T60" i="15" s="1"/>
  <c r="Q60" i="15"/>
  <c r="S60" i="15" s="1"/>
  <c r="R59" i="15"/>
  <c r="T59" i="15" s="1"/>
  <c r="Q59" i="15"/>
  <c r="S59" i="15" s="1"/>
  <c r="K55" i="15"/>
  <c r="J55" i="15"/>
  <c r="N53" i="15"/>
  <c r="M53" i="15"/>
  <c r="L53" i="15"/>
  <c r="K53" i="15"/>
  <c r="J53" i="15"/>
  <c r="I53" i="15"/>
  <c r="H53" i="15"/>
  <c r="G53" i="15"/>
  <c r="F53" i="15"/>
  <c r="E53" i="15"/>
  <c r="O48" i="15"/>
  <c r="C48" i="15"/>
  <c r="B48" i="15"/>
  <c r="P47" i="15"/>
  <c r="O47" i="15"/>
  <c r="C47" i="15"/>
  <c r="B47" i="15"/>
  <c r="O46" i="15"/>
  <c r="O53" i="15" s="1"/>
  <c r="C46" i="15"/>
  <c r="B46" i="15"/>
  <c r="J42" i="15"/>
  <c r="N29" i="15"/>
  <c r="N94" i="15" s="1"/>
  <c r="I27" i="15"/>
  <c r="G27" i="15"/>
  <c r="E27" i="15"/>
  <c r="Q26" i="15"/>
  <c r="Q25" i="15"/>
  <c r="Q24" i="15"/>
  <c r="Q21" i="15"/>
  <c r="S21" i="15"/>
  <c r="Q20" i="15"/>
  <c r="Q26" i="18" l="1"/>
  <c r="O52" i="18"/>
  <c r="O53" i="18" s="1"/>
  <c r="Q25" i="18"/>
  <c r="M27" i="18"/>
  <c r="N64" i="15"/>
  <c r="M27" i="15"/>
  <c r="K27" i="15"/>
  <c r="C47" i="14" l="1"/>
  <c r="K21" i="14" l="1"/>
  <c r="O21" i="14" s="1"/>
  <c r="O23" i="15" s="1"/>
  <c r="P49" i="15" s="1"/>
  <c r="K20" i="14"/>
  <c r="K22" i="14"/>
  <c r="K105" i="14" l="1"/>
  <c r="K97" i="14"/>
  <c r="N96" i="14"/>
  <c r="K96" i="14"/>
  <c r="N95" i="14"/>
  <c r="K95" i="14"/>
  <c r="K94" i="14"/>
  <c r="A94" i="14"/>
  <c r="K87" i="14"/>
  <c r="J87" i="14"/>
  <c r="I85" i="14"/>
  <c r="H85" i="14"/>
  <c r="G85" i="14"/>
  <c r="J84" i="14"/>
  <c r="J85" i="14" s="1"/>
  <c r="I79" i="14"/>
  <c r="H79" i="14"/>
  <c r="G79" i="14"/>
  <c r="J78" i="14"/>
  <c r="J79" i="14" s="1"/>
  <c r="K75" i="14"/>
  <c r="J75" i="14"/>
  <c r="J81" i="14" s="1"/>
  <c r="N73" i="14"/>
  <c r="N105" i="14" s="1"/>
  <c r="K73" i="14"/>
  <c r="N67" i="14"/>
  <c r="N97" i="14" s="1"/>
  <c r="K67" i="14"/>
  <c r="N66" i="14"/>
  <c r="K66" i="14"/>
  <c r="N65" i="14"/>
  <c r="K65" i="14"/>
  <c r="K64" i="14"/>
  <c r="B64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R61" i="14"/>
  <c r="T61" i="14" s="1"/>
  <c r="Q61" i="14"/>
  <c r="S61" i="14" s="1"/>
  <c r="R60" i="14"/>
  <c r="T60" i="14" s="1"/>
  <c r="Q60" i="14"/>
  <c r="S60" i="14" s="1"/>
  <c r="R59" i="14"/>
  <c r="T59" i="14" s="1"/>
  <c r="Q59" i="14"/>
  <c r="S59" i="14" s="1"/>
  <c r="K55" i="14"/>
  <c r="J55" i="14"/>
  <c r="N53" i="14"/>
  <c r="M53" i="14"/>
  <c r="L53" i="14"/>
  <c r="K53" i="14"/>
  <c r="J53" i="14"/>
  <c r="I53" i="14"/>
  <c r="H53" i="14"/>
  <c r="G53" i="14"/>
  <c r="F53" i="14"/>
  <c r="E53" i="14"/>
  <c r="C48" i="14"/>
  <c r="B48" i="14"/>
  <c r="P47" i="14"/>
  <c r="B47" i="14"/>
  <c r="C46" i="14"/>
  <c r="B46" i="14"/>
  <c r="J42" i="14"/>
  <c r="N29" i="14"/>
  <c r="N94" i="14" s="1"/>
  <c r="I27" i="14"/>
  <c r="G27" i="14"/>
  <c r="E27" i="14"/>
  <c r="S26" i="14"/>
  <c r="Q26" i="14"/>
  <c r="Q25" i="14"/>
  <c r="Q24" i="14"/>
  <c r="O47" i="14"/>
  <c r="S21" i="14"/>
  <c r="K27" i="14"/>
  <c r="N64" i="14" l="1"/>
  <c r="Q21" i="14"/>
  <c r="O48" i="14"/>
  <c r="O49" i="13"/>
  <c r="O48" i="13"/>
  <c r="Q20" i="14"/>
  <c r="K22" i="13"/>
  <c r="O22" i="13" s="1"/>
  <c r="O24" i="14" s="1"/>
  <c r="P50" i="14" l="1"/>
  <c r="O25" i="15"/>
  <c r="S24" i="14"/>
  <c r="P48" i="13"/>
  <c r="O21" i="17"/>
  <c r="O22" i="18" s="1"/>
  <c r="P48" i="18" s="1"/>
  <c r="O50" i="13"/>
  <c r="O46" i="14"/>
  <c r="O53" i="14" s="1"/>
  <c r="M27" i="14"/>
  <c r="K23" i="13"/>
  <c r="O23" i="13" s="1"/>
  <c r="K24" i="13"/>
  <c r="O24" i="13" s="1"/>
  <c r="K21" i="13"/>
  <c r="O21" i="13" s="1"/>
  <c r="O23" i="14" s="1"/>
  <c r="K20" i="13"/>
  <c r="P49" i="13" l="1"/>
  <c r="O25" i="14"/>
  <c r="P51" i="15"/>
  <c r="S25" i="15"/>
  <c r="O24" i="15"/>
  <c r="P49" i="14"/>
  <c r="P47" i="17"/>
  <c r="S21" i="17"/>
  <c r="O22" i="14"/>
  <c r="P48" i="14" s="1"/>
  <c r="P50" i="13"/>
  <c r="O20" i="13"/>
  <c r="O20" i="14" s="1"/>
  <c r="C48" i="13"/>
  <c r="B48" i="13"/>
  <c r="B50" i="13"/>
  <c r="C50" i="13"/>
  <c r="O26" i="15" l="1"/>
  <c r="P51" i="14"/>
  <c r="S25" i="14"/>
  <c r="O25" i="17"/>
  <c r="P51" i="17" s="1"/>
  <c r="P50" i="15"/>
  <c r="S24" i="15"/>
  <c r="O22" i="15"/>
  <c r="O23" i="17" s="1"/>
  <c r="P48" i="15"/>
  <c r="O20" i="15"/>
  <c r="O20" i="17" s="1"/>
  <c r="P46" i="14"/>
  <c r="P53" i="14" s="1"/>
  <c r="O27" i="14"/>
  <c r="S20" i="14"/>
  <c r="K105" i="13"/>
  <c r="K97" i="13"/>
  <c r="N96" i="13"/>
  <c r="K96" i="13"/>
  <c r="N95" i="13"/>
  <c r="K95" i="13"/>
  <c r="K94" i="13"/>
  <c r="A94" i="13"/>
  <c r="K87" i="13"/>
  <c r="J87" i="13"/>
  <c r="I85" i="13"/>
  <c r="H85" i="13"/>
  <c r="G85" i="13"/>
  <c r="J84" i="13"/>
  <c r="I79" i="13"/>
  <c r="H79" i="13"/>
  <c r="G79" i="13"/>
  <c r="J78" i="13"/>
  <c r="K75" i="13"/>
  <c r="J75" i="13"/>
  <c r="J81" i="13" s="1"/>
  <c r="N73" i="13"/>
  <c r="N105" i="13" s="1"/>
  <c r="K73" i="13"/>
  <c r="N67" i="13"/>
  <c r="N97" i="13" s="1"/>
  <c r="K67" i="13"/>
  <c r="N66" i="13"/>
  <c r="K66" i="13"/>
  <c r="N65" i="13"/>
  <c r="K65" i="13"/>
  <c r="K64" i="13"/>
  <c r="B64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R61" i="13"/>
  <c r="T61" i="13" s="1"/>
  <c r="Q61" i="13"/>
  <c r="S61" i="13" s="1"/>
  <c r="R60" i="13"/>
  <c r="T60" i="13" s="1"/>
  <c r="Q60" i="13"/>
  <c r="S60" i="13" s="1"/>
  <c r="R59" i="13"/>
  <c r="T59" i="13" s="1"/>
  <c r="Q59" i="13"/>
  <c r="S59" i="13" s="1"/>
  <c r="K55" i="13"/>
  <c r="J55" i="13"/>
  <c r="N53" i="13"/>
  <c r="M53" i="13"/>
  <c r="L53" i="13"/>
  <c r="K53" i="13"/>
  <c r="J53" i="13"/>
  <c r="I53" i="13"/>
  <c r="H53" i="13"/>
  <c r="G53" i="13"/>
  <c r="F53" i="13"/>
  <c r="E53" i="13"/>
  <c r="C49" i="13"/>
  <c r="B49" i="13"/>
  <c r="P47" i="13"/>
  <c r="O47" i="13"/>
  <c r="C47" i="13"/>
  <c r="B47" i="13"/>
  <c r="A47" i="13"/>
  <c r="A48" i="13" s="1"/>
  <c r="A49" i="13" s="1"/>
  <c r="A50" i="13" s="1"/>
  <c r="A51" i="13" s="1"/>
  <c r="A52" i="13" s="1"/>
  <c r="P46" i="13"/>
  <c r="O46" i="13"/>
  <c r="C46" i="13"/>
  <c r="B46" i="13"/>
  <c r="J42" i="13"/>
  <c r="N29" i="13"/>
  <c r="N94" i="13" s="1"/>
  <c r="O27" i="13"/>
  <c r="M27" i="13"/>
  <c r="K27" i="13"/>
  <c r="I27" i="13"/>
  <c r="G27" i="13"/>
  <c r="E27" i="13"/>
  <c r="S26" i="13"/>
  <c r="Q26" i="13"/>
  <c r="S23" i="13"/>
  <c r="Q23" i="13"/>
  <c r="S21" i="13"/>
  <c r="Q21" i="13"/>
  <c r="S20" i="13"/>
  <c r="Q20" i="13"/>
  <c r="K84" i="12"/>
  <c r="K84" i="13" s="1"/>
  <c r="K84" i="14" s="1"/>
  <c r="K84" i="15" s="1"/>
  <c r="K84" i="17" s="1"/>
  <c r="K84" i="18" s="1"/>
  <c r="K78" i="12"/>
  <c r="K78" i="13" s="1"/>
  <c r="K78" i="14" s="1"/>
  <c r="K78" i="15" s="1"/>
  <c r="K78" i="17" s="1"/>
  <c r="K78" i="18" s="1"/>
  <c r="J84" i="12"/>
  <c r="M84" i="12" s="1"/>
  <c r="J78" i="12"/>
  <c r="M78" i="12" s="1"/>
  <c r="O23" i="18" l="1"/>
  <c r="P49" i="17"/>
  <c r="O25" i="18"/>
  <c r="S25" i="17"/>
  <c r="O22" i="17"/>
  <c r="P48" i="17" s="1"/>
  <c r="O26" i="17"/>
  <c r="P52" i="17" s="1"/>
  <c r="P52" i="15"/>
  <c r="S26" i="15"/>
  <c r="M78" i="13"/>
  <c r="M78" i="14" s="1"/>
  <c r="M78" i="15" s="1"/>
  <c r="M78" i="17" s="1"/>
  <c r="M78" i="18" s="1"/>
  <c r="M84" i="13"/>
  <c r="M84" i="14" s="1"/>
  <c r="M84" i="15" s="1"/>
  <c r="M84" i="17" s="1"/>
  <c r="M84" i="18" s="1"/>
  <c r="O53" i="13"/>
  <c r="Q84" i="13"/>
  <c r="Q78" i="13"/>
  <c r="O20" i="18"/>
  <c r="P46" i="17"/>
  <c r="S20" i="17"/>
  <c r="S20" i="15"/>
  <c r="P46" i="15"/>
  <c r="P53" i="15" s="1"/>
  <c r="O27" i="15"/>
  <c r="K85" i="15"/>
  <c r="Q84" i="15"/>
  <c r="K79" i="18"/>
  <c r="Q78" i="18"/>
  <c r="J85" i="13"/>
  <c r="K85" i="17"/>
  <c r="Q84" i="17"/>
  <c r="Q78" i="17"/>
  <c r="K79" i="17"/>
  <c r="Q84" i="18"/>
  <c r="K85" i="18"/>
  <c r="K79" i="15"/>
  <c r="Q78" i="15"/>
  <c r="J79" i="13"/>
  <c r="M79" i="13"/>
  <c r="Q84" i="14"/>
  <c r="K85" i="14"/>
  <c r="Q78" i="14"/>
  <c r="K79" i="14"/>
  <c r="P53" i="13"/>
  <c r="N64" i="13"/>
  <c r="K79" i="13"/>
  <c r="K85" i="13"/>
  <c r="P49" i="18" l="1"/>
  <c r="S23" i="18"/>
  <c r="S25" i="18"/>
  <c r="P51" i="18"/>
  <c r="P53" i="17"/>
  <c r="R78" i="13"/>
  <c r="O27" i="17"/>
  <c r="O21" i="18"/>
  <c r="P47" i="18" s="1"/>
  <c r="M85" i="13"/>
  <c r="O26" i="18"/>
  <c r="S26" i="17"/>
  <c r="R84" i="13"/>
  <c r="P46" i="18"/>
  <c r="S20" i="18"/>
  <c r="R84" i="18"/>
  <c r="M85" i="18"/>
  <c r="M79" i="15"/>
  <c r="R78" i="15"/>
  <c r="M85" i="14"/>
  <c r="R84" i="14"/>
  <c r="M79" i="14"/>
  <c r="R78" i="14"/>
  <c r="S26" i="18" l="1"/>
  <c r="P52" i="18"/>
  <c r="P53" i="18" s="1"/>
  <c r="O27" i="18"/>
  <c r="R78" i="18"/>
  <c r="M79" i="18"/>
  <c r="R84" i="17"/>
  <c r="M85" i="17"/>
  <c r="R84" i="15"/>
  <c r="M85" i="15"/>
  <c r="R78" i="17"/>
  <c r="M79" i="17"/>
  <c r="Q20" i="12"/>
  <c r="P62" i="12" l="1"/>
  <c r="O62" i="12"/>
  <c r="N62" i="12"/>
  <c r="M62" i="12"/>
  <c r="L62" i="12"/>
  <c r="K62" i="12"/>
  <c r="J62" i="12"/>
  <c r="I62" i="12"/>
  <c r="E62" i="12"/>
  <c r="F62" i="12"/>
  <c r="G62" i="12"/>
  <c r="H62" i="12"/>
  <c r="G27" i="12" l="1"/>
  <c r="K85" i="12"/>
  <c r="M85" i="12"/>
  <c r="I85" i="12"/>
  <c r="G85" i="12"/>
  <c r="H85" i="12"/>
  <c r="K79" i="12"/>
  <c r="M79" i="12"/>
  <c r="I79" i="12"/>
  <c r="G79" i="12"/>
  <c r="H79" i="12"/>
  <c r="P48" i="12" l="1"/>
  <c r="O48" i="12"/>
  <c r="N53" i="12"/>
  <c r="M53" i="12"/>
  <c r="L53" i="12"/>
  <c r="K53" i="12"/>
  <c r="J53" i="12"/>
  <c r="I53" i="12"/>
  <c r="H53" i="12"/>
  <c r="G53" i="12"/>
  <c r="F53" i="12"/>
  <c r="E53" i="12"/>
  <c r="C48" i="12"/>
  <c r="B48" i="12"/>
  <c r="O27" i="12"/>
  <c r="M27" i="12"/>
  <c r="K228" i="12" l="1"/>
  <c r="N228" i="12"/>
  <c r="K105" i="12"/>
  <c r="K97" i="12"/>
  <c r="N96" i="12"/>
  <c r="K96" i="12"/>
  <c r="N95" i="12"/>
  <c r="K95" i="12"/>
  <c r="K94" i="12"/>
  <c r="A94" i="12"/>
  <c r="K87" i="12"/>
  <c r="J87" i="12"/>
  <c r="Q84" i="12"/>
  <c r="Q78" i="12"/>
  <c r="K75" i="12"/>
  <c r="J75" i="12"/>
  <c r="J81" i="12" s="1"/>
  <c r="N73" i="12"/>
  <c r="N105" i="12" s="1"/>
  <c r="K73" i="12"/>
  <c r="N67" i="12"/>
  <c r="N97" i="12" s="1"/>
  <c r="K67" i="12"/>
  <c r="N66" i="12"/>
  <c r="K66" i="12"/>
  <c r="N65" i="12"/>
  <c r="K65" i="12"/>
  <c r="K64" i="12"/>
  <c r="B64" i="12"/>
  <c r="R61" i="12"/>
  <c r="T61" i="12" s="1"/>
  <c r="Q61" i="12"/>
  <c r="S61" i="12" s="1"/>
  <c r="R60" i="12"/>
  <c r="T60" i="12" s="1"/>
  <c r="Q60" i="12"/>
  <c r="S60" i="12" s="1"/>
  <c r="R59" i="12"/>
  <c r="T59" i="12" s="1"/>
  <c r="Q59" i="12"/>
  <c r="S59" i="12" s="1"/>
  <c r="K55" i="12"/>
  <c r="J55" i="12"/>
  <c r="P47" i="12"/>
  <c r="O47" i="12"/>
  <c r="C47" i="12"/>
  <c r="B47" i="12"/>
  <c r="A47" i="12"/>
  <c r="A48" i="12" s="1"/>
  <c r="A49" i="12" s="1"/>
  <c r="A50" i="12" s="1"/>
  <c r="A51" i="12" s="1"/>
  <c r="A52" i="12" s="1"/>
  <c r="P46" i="12"/>
  <c r="O46" i="12"/>
  <c r="C46" i="12"/>
  <c r="B46" i="12"/>
  <c r="J42" i="12"/>
  <c r="N29" i="12"/>
  <c r="N64" i="12" s="1"/>
  <c r="K27" i="12"/>
  <c r="I27" i="12"/>
  <c r="E27" i="12"/>
  <c r="S26" i="12"/>
  <c r="Q26" i="12"/>
  <c r="S25" i="12"/>
  <c r="Q25" i="12"/>
  <c r="S22" i="12"/>
  <c r="Q22" i="12"/>
  <c r="S21" i="12"/>
  <c r="Q21" i="12"/>
  <c r="S20" i="12"/>
  <c r="R78" i="12" l="1"/>
  <c r="J79" i="12"/>
  <c r="R84" i="12"/>
  <c r="J85" i="12"/>
  <c r="O53" i="12"/>
  <c r="N94" i="12"/>
  <c r="P53" i="12"/>
</calcChain>
</file>

<file path=xl/sharedStrings.xml><?xml version="1.0" encoding="utf-8"?>
<sst xmlns="http://schemas.openxmlformats.org/spreadsheetml/2006/main" count="1753" uniqueCount="133">
  <si>
    <t>ព្រះរាជាណាចក្រកម្ពុជា</t>
  </si>
  <si>
    <t>ជាត​  សានា ព្រះមហាក្សត្រ</t>
  </si>
  <si>
    <t></t>
  </si>
  <si>
    <t xml:space="preserve">ចំនួនពលកម្មសរុបៈ​​​    </t>
  </si>
  <si>
    <t xml:space="preserve">ក្នុងនោះមានស្រីៈ   </t>
  </si>
  <si>
    <t xml:space="preserve">បៀរវត្សសរុបប្រចាំខែៈ    </t>
  </si>
  <si>
    <t>Total Number of Employees:         Persons     Number of Females:         Persons      Total Salary &amp; Wage of Monthly       USD</t>
  </si>
  <si>
    <t xml:space="preserve"> ទុនអចលនទ្រព្យមិនគិតដីធ្លី Total Fixed Asset (Land exclude)     </t>
  </si>
  <si>
    <t>PCS</t>
  </si>
  <si>
    <t>Total</t>
  </si>
  <si>
    <t>ទុនអចលនទ្រព្យមិនគិតដីធ្លី រួមមាន៖ អគារ និងឧបករណ៍បរិក្ខារដែលភ្ជាប់នឹងអគារ</t>
  </si>
  <si>
    <t>នាយក</t>
  </si>
  <si>
    <t>អ្នកធ្វើរបាយការណ៍</t>
  </si>
  <si>
    <t>Director</t>
  </si>
  <si>
    <t>Reportor</t>
  </si>
  <si>
    <t>ល.រ</t>
  </si>
  <si>
    <t>ឈ្មោះផលិតផល</t>
  </si>
  <si>
    <t>ឯកតា (Unit)</t>
  </si>
  <si>
    <t>USA</t>
  </si>
  <si>
    <t>CANADA</t>
  </si>
  <si>
    <t>CHINA</t>
  </si>
  <si>
    <t>EU GROUP</t>
  </si>
  <si>
    <t>ផ្សេងៗ</t>
  </si>
  <si>
    <t>សរុបពីដើមឆ្នាំ</t>
  </si>
  <si>
    <t>បរិមាណ</t>
  </si>
  <si>
    <t>តម្លៃ</t>
  </si>
  <si>
    <t>សរុប</t>
  </si>
  <si>
    <t xml:space="preserve">ប្រភពដើមទំនិញ (វត្ថុធាតុដើម)ប្រចាំខែ </t>
  </si>
  <si>
    <t>ឈ្មោះវត្ថុធាតុដើម</t>
  </si>
  <si>
    <t>ចិន</t>
  </si>
  <si>
    <t>តៃវ៉ាន់</t>
  </si>
  <si>
    <t>ហុងកុង</t>
  </si>
  <si>
    <t>វៀតណាម</t>
  </si>
  <si>
    <t>II. RAW MATERIAL</t>
  </si>
  <si>
    <t>III. ACCESSORY</t>
  </si>
  <si>
    <t xml:space="preserve">      បរិមាណការប្រើប្រាស់ថាមពល  ប្រចាំខែ</t>
  </si>
  <si>
    <t>ប្រភេទថាមពល</t>
  </si>
  <si>
    <t>ឆ្នាំមុន</t>
  </si>
  <si>
    <t>ប្រចាំខែ.........</t>
  </si>
  <si>
    <t>EDC</t>
  </si>
  <si>
    <t>KW</t>
  </si>
  <si>
    <t xml:space="preserve">   បរិមាណការប្រើប្រាស់ទឹក​   ប្រចាំខែ</t>
  </si>
  <si>
    <t>ប្រភពទឹក</t>
  </si>
  <si>
    <t>PPWSA</t>
  </si>
  <si>
    <t>M3</t>
  </si>
  <si>
    <t>​                                 ​បរិមាណសំណល់ ពីដំណើរការខ្សែសង្វាក់ផលិតកម្ម ប្រចាំខែ</t>
  </si>
  <si>
    <t>ប្រភេទសំណល់</t>
  </si>
  <si>
    <t>បរិមាណសំណល់សរុប 
ពីឆ្នាំមុន</t>
  </si>
  <si>
    <t>បរិមាណសំណល់ប្រចាំខែ.........</t>
  </si>
  <si>
    <t>បរិមាណសំណល់សរុបពីដើមឆ្នាំ</t>
  </si>
  <si>
    <t>សំណល់រឹង</t>
  </si>
  <si>
    <t>សំណល់រាវ</t>
  </si>
  <si>
    <t>សំណល់(ឧស្ម័ន)</t>
  </si>
  <si>
    <t>USD</t>
  </si>
  <si>
    <t>​​​​​​​​​​​​​​​​​​​</t>
  </si>
  <si>
    <t>I. MACHINERIES &amp;. EQUIPMENTS</t>
  </si>
  <si>
    <t>របាយការណ៍ជូនក្រសួងឧស្សាហកម្ម វិទ្យាសាស្ត្រ បច្ចេកវិទ្យា និងនវានុវត្តន៍</t>
  </si>
  <si>
    <t>Report for Ministry of Industry, Science, Technology &amp; Innovation</t>
  </si>
  <si>
    <t>ទិន្នន័យប្រចាំខែ</t>
  </si>
  <si>
    <t xml:space="preserve">Monthly Data In ...........  202… </t>
  </si>
  <si>
    <t>សំគាល់ :​ ទិន្នន័យនៃរបាយការណ៍នេះត្រូវបានប្រើប្រាស់តែក្នុងគោលបំណង  ស្ថិតិឧស្សាហកម្មតែប៉ុណ្ណោះ មិនត្រូវបានយកទៅចែកចាយដើម្បីប្រើប្រាស់</t>
  </si>
  <si>
    <t>ក្នុងគោលបំណងពាណិជ្ជកម្ម ឬក្នុងការគណនាបង់ពន្ធដារទេ។</t>
  </si>
  <si>
    <t>Remark: This report is used for industrial statistic only,​ not for commercial or tax purpose</t>
  </si>
  <si>
    <t>Total asset excluding land comprises of : building &amp; material attached.</t>
  </si>
  <si>
    <t>ទុនសរុបមិនគិតដីធ្លី រួមមាន៖ ទុនអចលនទ្រព្យមិនគិតដីធ្លី, មធ្យោបាយដឹកជញ្ជូន, គ្រឿងចក្រ-ម៉ាស៊ីន និងឧបករណ៍សម្ភារប្រើប្រាស់ក្នុងផលិតកម្ម, សង្ហារឹម និងសម្ភារការិយាល័យ</t>
  </si>
  <si>
    <t xml:space="preserve">Total fixed asset excluding land comprises of : real estate capital excluding land, transportation, machinery, and instrument utilised in the production line, </t>
  </si>
  <si>
    <t>furniture and office equiment.</t>
  </si>
  <si>
    <t>ទំនាក់ទំនង : Tel 077 330 279/090 922 237  E-mail : industryaffair.mih@gmail.com : TELEGRAM :077 330 279</t>
  </si>
  <si>
    <t>ទីផ្សារលក់ផលិតផលប្រចាំខែ</t>
  </si>
  <si>
    <t>មករា</t>
  </si>
  <si>
    <t>ឈ្មោះប្រទេសនាំចេញផលិតផល</t>
  </si>
  <si>
    <r>
      <t xml:space="preserve">មុខផលិតផល    </t>
    </r>
    <r>
      <rPr>
        <sz val="14"/>
        <rFont val="Times New Roman"/>
        <family val="1"/>
      </rPr>
      <t>Products</t>
    </r>
    <r>
      <rPr>
        <sz val="14"/>
        <rFont val="Khmer OS Siemreap"/>
      </rPr>
      <t xml:space="preserve"> </t>
    </r>
  </si>
  <si>
    <r>
      <t>ឯកតា</t>
    </r>
    <r>
      <rPr>
        <sz val="14"/>
        <rFont val="Times New Roman"/>
        <family val="1"/>
      </rPr>
      <t>Unit</t>
    </r>
  </si>
  <si>
    <r>
      <t xml:space="preserve">បរិមាណ និងតម្លៃផលិតផល </t>
    </r>
    <r>
      <rPr>
        <sz val="14"/>
        <rFont val="Times New Roman"/>
        <family val="1"/>
      </rPr>
      <t>Total Output</t>
    </r>
  </si>
  <si>
    <r>
      <t xml:space="preserve">ឆ្នាំមុន </t>
    </r>
    <r>
      <rPr>
        <sz val="14"/>
        <rFont val="Times New Roman"/>
        <family val="1"/>
      </rPr>
      <t>(Data Last Year)</t>
    </r>
  </si>
  <si>
    <r>
      <t xml:space="preserve">ទិន្នន័យប្រចាំខែ </t>
    </r>
    <r>
      <rPr>
        <sz val="14"/>
        <rFont val="Times New Roman"/>
        <family val="1"/>
      </rPr>
      <t>(Monthly Data)</t>
    </r>
  </si>
  <si>
    <r>
      <t xml:space="preserve">សរុបពីដើមឆ្នាំ </t>
    </r>
    <r>
      <rPr>
        <sz val="14"/>
        <rFont val="Times New Roman"/>
        <family val="1"/>
      </rPr>
      <t>(From beginning of the Year )</t>
    </r>
  </si>
  <si>
    <r>
      <t xml:space="preserve">​ បរិមាណ </t>
    </r>
    <r>
      <rPr>
        <sz val="14"/>
        <rFont val="Times New Roman"/>
        <family val="1"/>
      </rPr>
      <t>Quantity</t>
    </r>
  </si>
  <si>
    <r>
      <t xml:space="preserve">      តម្លៃ</t>
    </r>
    <r>
      <rPr>
        <sz val="14"/>
        <rFont val="Times New Roman"/>
        <family val="1"/>
      </rPr>
      <t xml:space="preserve"> Value(USD)</t>
    </r>
  </si>
  <si>
    <r>
      <t xml:space="preserve">បរិមាណផលិតផល </t>
    </r>
    <r>
      <rPr>
        <sz val="14"/>
        <rFont val="Times New Roman"/>
        <family val="1"/>
      </rPr>
      <t>Product Quantity</t>
    </r>
  </si>
  <si>
    <r>
      <t xml:space="preserve">      តម្លៃផលិតផល      </t>
    </r>
    <r>
      <rPr>
        <sz val="14"/>
        <rFont val="Times New Roman"/>
        <family val="1"/>
      </rPr>
      <t>Product Value(USD)</t>
    </r>
  </si>
  <si>
    <r>
      <t xml:space="preserve">   បរិមាណផលិតផល   </t>
    </r>
    <r>
      <rPr>
        <sz val="14"/>
        <rFont val="Times New Roman"/>
        <family val="1"/>
      </rPr>
      <t>Product Quantity</t>
    </r>
  </si>
  <si>
    <r>
      <t xml:space="preserve">         តម្លៃផលិតផល          </t>
    </r>
    <r>
      <rPr>
        <sz val="14"/>
        <rFont val="Times New Roman"/>
        <family val="1"/>
      </rPr>
      <t>Product Value(USD)</t>
    </r>
  </si>
  <si>
    <r>
      <t xml:space="preserve">ក្នុងស្រុក </t>
    </r>
    <r>
      <rPr>
        <sz val="14"/>
        <rFont val="Times New Roman"/>
        <family val="1"/>
      </rPr>
      <t>Domestic</t>
    </r>
  </si>
  <si>
    <r>
      <t xml:space="preserve">នាំចេញ </t>
    </r>
    <r>
      <rPr>
        <sz val="14"/>
        <rFont val="Times New Roman"/>
        <family val="1"/>
      </rPr>
      <t>Export</t>
    </r>
  </si>
  <si>
    <r>
      <t xml:space="preserve"> នាំចេញ </t>
    </r>
    <r>
      <rPr>
        <sz val="14"/>
        <rFont val="Times New Roman"/>
        <family val="1"/>
      </rPr>
      <t>Export</t>
    </r>
  </si>
  <si>
    <r>
      <t xml:space="preserve">  នាំចេញ  </t>
    </r>
    <r>
      <rPr>
        <sz val="14"/>
        <rFont val="Times New Roman"/>
        <family val="1"/>
      </rPr>
      <t>Export</t>
    </r>
  </si>
  <si>
    <r>
      <t xml:space="preserve">ទុនសរុបមិនគិតដីធ្លី </t>
    </r>
    <r>
      <rPr>
        <sz val="14"/>
        <rFont val="Times New Roman"/>
        <family val="1"/>
      </rPr>
      <t xml:space="preserve">Total Asset(Land exclude)     </t>
    </r>
  </si>
  <si>
    <t>ឈ្មោះប្រទេសនាំចូលវត្ថុធាតុដើម</t>
  </si>
  <si>
    <t>តម្លៃ $</t>
  </si>
  <si>
    <t>តម្លៃ  $</t>
  </si>
  <si>
    <t>ឆ្នាំ 2026</t>
  </si>
  <si>
    <t>ឈ្មោះអ្នកគ្រប់គ្រងរោងចក្រ NI, CUNLAN ទូរស័ព្ទៈ 855-85 441 621    ទូរសារ:..............................  អ៊ីម៉ែលៈ sanashipping8@gmail.com</t>
  </si>
  <si>
    <t>Manager Name:  NI, CUNLAN Tel:  855-85 441 621    Fax:………………………   E-mail: sanashipping8@gmail.com</t>
  </si>
  <si>
    <r>
      <t>Name of Factory:</t>
    </r>
    <r>
      <rPr>
        <b/>
        <sz val="14"/>
        <rFont val="Times New Roman"/>
        <family val="1"/>
      </rPr>
      <t xml:space="preserve"> JR APPAREL CO., LTD </t>
    </r>
    <r>
      <rPr>
        <sz val="14"/>
        <rFont val="Times New Roman"/>
        <family val="1"/>
      </rPr>
      <t xml:space="preserve"> Factory Address:  #LOM ROAD,KAOH KNOR PREAEK ROKA KANDAL STUENG​ KANDAL PROVINCE Prakas Number : 417</t>
    </r>
  </si>
  <si>
    <t>ឈ្មោះរោងចក្រ:​​​​​​​​​​ ជេអ អឹភែរឹល ឯ.ក អាស័យដ្ឋានរោងចក្រៈ # ផ្លូវលំ ភូមិ កោះខ្នុរ ឃុំ ព្រែករកា ស្រុក កណ្ដាលស្ទឹង ខេត្ត កណ្ដាល ប្រកាសលេខៈ៤១៧ ឧស.កឧ.ប្រក១២ ចុះថ្ងៃទី  ២៤​​  ខែ ធ្នូ  ឆ្នាំ ២០១៨</t>
  </si>
  <si>
    <t>ឈ្មោះរោងចក្រ ជេអ​ អឹភែរឹល ឯ.ក</t>
  </si>
  <si>
    <t>ឆ្នាំ២០២៦ (USD)</t>
  </si>
  <si>
    <t>LADIES</t>
  </si>
  <si>
    <t>PAJAMAS</t>
  </si>
  <si>
    <t>PANTS</t>
  </si>
  <si>
    <t>NIGHT GOWN</t>
  </si>
  <si>
    <t>កុម្ភៈ</t>
  </si>
  <si>
    <t>TANK</t>
  </si>
  <si>
    <t>SHORT</t>
  </si>
  <si>
    <t>SKIRT</t>
  </si>
  <si>
    <t>មីនា</t>
  </si>
  <si>
    <t>មេសា</t>
  </si>
  <si>
    <t>DRESS</t>
  </si>
  <si>
    <t>ឧសភា</t>
  </si>
  <si>
    <t>មិថុនា</t>
  </si>
  <si>
    <t>MTR</t>
  </si>
  <si>
    <t>DZN</t>
  </si>
  <si>
    <t>NI, CUNLAN</t>
  </si>
  <si>
    <t>NI, CUNALN</t>
  </si>
  <si>
    <t>ថ្ងៃទី 15 ខែ មករា ឆ្នាំ2026</t>
  </si>
  <si>
    <t>ថ្ងៃទី 15 ខែ កុម្ភៈ ឆ្នាំ2026</t>
  </si>
  <si>
    <t>ថ្ងៃទី 15 ខែ មីនា ឆ្នាំ2026</t>
  </si>
  <si>
    <t>ថ្ងៃទី 15 ខែ មេសា ឆ្នាំ2026</t>
  </si>
  <si>
    <t>ថ្ងៃទី 15 ខែ ឧសភា ឆ្នាំ2026</t>
  </si>
  <si>
    <t>ថ្ងៃទី 15 ខែ មិថុនា ឆ្នាំ2026</t>
  </si>
  <si>
    <t>កក្កដា</t>
  </si>
  <si>
    <t>ថ្ងៃទី 15 ខែ កក្កដា ឆ្នាំ2026</t>
  </si>
  <si>
    <t>SKORT</t>
  </si>
  <si>
    <t>SET</t>
  </si>
  <si>
    <t>សីហា</t>
  </si>
  <si>
    <t>ថ្ងៃទី 15 ខែ សីហា ឆ្នាំ2026</t>
  </si>
  <si>
    <t>THNIN</t>
  </si>
  <si>
    <t>Date:……./……../……</t>
  </si>
  <si>
    <t xml:space="preserve">Monthly Data In August 2026 </t>
  </si>
  <si>
    <t>ថ្ងៃទី 15 ខែ កញ្ញា ឆ្នាំ2026</t>
  </si>
  <si>
    <t>កញ្ញា</t>
  </si>
  <si>
    <t xml:space="preserve">Monthly Data In September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</si>
</sst>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USD&quot;"/>
    <numFmt numFmtId="165" formatCode="_(* #,##0_);_(* \(#,##0\);_(* &quot;-&quot;??_);_(@_)"/>
    <numFmt numFmtId="166" formatCode="[$-12000425]0"/>
    <numFmt numFmtId="167" formatCode="[$-12000000]mmm\-yyyy"/>
    <numFmt numFmtId="168" formatCode="#,##0\ &quot;Worker&quot;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Khmer OS Muol"/>
    </font>
    <font>
      <sz val="10"/>
      <name val="Wingdings"/>
      <charset val="2"/>
    </font>
    <font>
      <sz val="11"/>
      <name val="Arial"/>
      <family val="2"/>
    </font>
    <font>
      <sz val="10"/>
      <name val="Arial"/>
      <family val="2"/>
    </font>
    <font>
      <b/>
      <sz val="12"/>
      <name val="Khmer OS Siemreap"/>
    </font>
    <font>
      <b/>
      <sz val="11"/>
      <name val="Khmer OS Siemreap"/>
    </font>
    <font>
      <b/>
      <sz val="16"/>
      <color rgb="FF0000FF"/>
      <name val="Khmer OS Siemreap"/>
    </font>
    <font>
      <sz val="11"/>
      <name val="Times New Roman"/>
      <family val="1"/>
    </font>
    <font>
      <sz val="11"/>
      <name val="Khmer OS Siemreap"/>
    </font>
    <font>
      <sz val="12"/>
      <name val="Khmer OS Siemreap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Khmer OS Siemreap"/>
    </font>
    <font>
      <b/>
      <sz val="11"/>
      <name val="Arial"/>
      <family val="2"/>
    </font>
    <font>
      <sz val="11"/>
      <color theme="1"/>
      <name val="Kh Siemreap"/>
    </font>
    <font>
      <u/>
      <sz val="11"/>
      <name val="Khmer OS Siemreap"/>
    </font>
    <font>
      <u/>
      <sz val="11"/>
      <name val="Times New Roman"/>
      <family val="1"/>
    </font>
    <font>
      <sz val="14"/>
      <color theme="1"/>
      <name val="Khmer OS Siemreap"/>
    </font>
    <font>
      <b/>
      <sz val="11"/>
      <color theme="1"/>
      <name val="Khmer OS Siemreap"/>
    </font>
    <font>
      <b/>
      <sz val="12"/>
      <color theme="1"/>
      <name val="Khmer OS Siemreap"/>
    </font>
    <font>
      <sz val="13"/>
      <name val="Arial"/>
      <family val="2"/>
    </font>
    <font>
      <sz val="11"/>
      <color theme="1"/>
      <name val="Arial"/>
      <family val="2"/>
    </font>
    <font>
      <b/>
      <u/>
      <sz val="11"/>
      <name val="Khmer OS Siemreap"/>
    </font>
    <font>
      <sz val="16"/>
      <color theme="1"/>
      <name val="Khmer OS Battambang"/>
    </font>
    <font>
      <b/>
      <sz val="11"/>
      <color theme="1"/>
      <name val="Kh Siemreap"/>
    </font>
    <font>
      <b/>
      <sz val="11"/>
      <color theme="1"/>
      <name val="Calibri"/>
      <family val="2"/>
      <scheme val="minor"/>
    </font>
    <font>
      <sz val="12"/>
      <color theme="1"/>
      <name val="Khmer OS Siemreap"/>
    </font>
    <font>
      <sz val="16"/>
      <color theme="1"/>
      <name val="Khmer OS Siemreap"/>
    </font>
    <font>
      <b/>
      <sz val="14"/>
      <color theme="1"/>
      <name val="Khmer OS Siemreap"/>
    </font>
    <font>
      <b/>
      <sz val="16"/>
      <color theme="1"/>
      <name val="Khmer OS Siemreap"/>
    </font>
    <font>
      <sz val="18"/>
      <color theme="1"/>
      <name val="Khmer OS Siemreap"/>
    </font>
    <font>
      <sz val="12"/>
      <color theme="1"/>
      <name val="Kh Siemreap"/>
    </font>
    <font>
      <sz val="12"/>
      <name val="Arial"/>
      <family val="2"/>
    </font>
    <font>
      <sz val="14"/>
      <name val="Khmer OS Siemreap"/>
    </font>
    <font>
      <sz val="14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Khmer OS Siemreap"/>
    </font>
    <font>
      <sz val="14"/>
      <name val="Arial"/>
      <family val="2"/>
    </font>
    <font>
      <b/>
      <sz val="14"/>
      <name val="Khmer OS Siemreap"/>
    </font>
    <font>
      <b/>
      <sz val="16"/>
      <name val="Khmer OS Siemreap"/>
    </font>
    <font>
      <sz val="14"/>
      <color rgb="FF000000"/>
      <name val="Times New Roman"/>
      <family val="1"/>
    </font>
    <font>
      <sz val="14"/>
      <color rgb="FF000000"/>
      <name val="DaunPenh"/>
    </font>
    <font>
      <sz val="14"/>
      <color rgb="FF000000"/>
      <name val="Khmer OS Siemreap"/>
    </font>
    <font>
      <sz val="16"/>
      <name val="Arial"/>
      <family val="2"/>
    </font>
    <font>
      <sz val="16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8"/>
      <name val="Khmer OS Siemreap"/>
    </font>
    <font>
      <b/>
      <sz val="14"/>
      <name val="Times New Roman"/>
      <family val="1"/>
    </font>
    <font>
      <sz val="14"/>
      <color rgb="FFFF0000"/>
      <name val="Arial"/>
      <family val="2"/>
    </font>
    <font>
      <b/>
      <sz val="18"/>
      <color theme="1"/>
      <name val="Khmer OS Siemreap"/>
    </font>
    <font>
      <sz val="12"/>
      <color theme="1"/>
      <name val="Khmer OS Battambang"/>
    </font>
    <font>
      <b/>
      <sz val="12"/>
      <color theme="1"/>
      <name val="Kh Siemreap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51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10" fillId="2" borderId="0" xfId="3" applyFont="1" applyFill="1" applyAlignment="1">
      <alignment vertical="center"/>
    </xf>
    <xf numFmtId="0" fontId="4" fillId="2" borderId="0" xfId="3" applyFont="1" applyFill="1" applyAlignment="1">
      <alignment horizontal="left" vertical="center"/>
    </xf>
    <xf numFmtId="0" fontId="4" fillId="2" borderId="0" xfId="0" applyFont="1" applyFill="1"/>
    <xf numFmtId="0" fontId="4" fillId="2" borderId="3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vertical="center"/>
    </xf>
    <xf numFmtId="0" fontId="4" fillId="2" borderId="2" xfId="3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43" fontId="4" fillId="2" borderId="2" xfId="3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15" fillId="2" borderId="2" xfId="3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horizontal="left" vertical="center"/>
    </xf>
    <xf numFmtId="0" fontId="10" fillId="2" borderId="0" xfId="3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3" applyFont="1" applyFill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16" fillId="2" borderId="2" xfId="1" applyNumberFormat="1" applyFont="1" applyFill="1" applyBorder="1" applyAlignment="1">
      <alignment horizontal="center"/>
    </xf>
    <xf numFmtId="165" fontId="22" fillId="2" borderId="3" xfId="4" applyNumberFormat="1" applyFont="1" applyFill="1" applyBorder="1" applyAlignment="1">
      <alignment horizontal="center" vertical="center"/>
    </xf>
    <xf numFmtId="165" fontId="22" fillId="2" borderId="5" xfId="4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/>
    </xf>
    <xf numFmtId="43" fontId="16" fillId="2" borderId="2" xfId="1" applyFont="1" applyFill="1" applyBorder="1" applyAlignment="1">
      <alignment horizontal="center" vertical="center"/>
    </xf>
    <xf numFmtId="0" fontId="16" fillId="2" borderId="2" xfId="1" applyNumberFormat="1" applyFont="1" applyFill="1" applyBorder="1" applyAlignment="1">
      <alignment horizontal="center" vertical="center"/>
    </xf>
    <xf numFmtId="43" fontId="23" fillId="2" borderId="2" xfId="1" applyFont="1" applyFill="1" applyBorder="1" applyAlignment="1">
      <alignment vertical="center"/>
    </xf>
    <xf numFmtId="43" fontId="4" fillId="2" borderId="2" xfId="1" applyFont="1" applyFill="1" applyBorder="1" applyAlignment="1">
      <alignment vertical="center"/>
    </xf>
    <xf numFmtId="0" fontId="4" fillId="2" borderId="0" xfId="3" applyFont="1" applyFill="1" applyAlignment="1">
      <alignment vertical="center"/>
    </xf>
    <xf numFmtId="0" fontId="24" fillId="2" borderId="0" xfId="3" applyFont="1" applyFill="1" applyAlignment="1">
      <alignment horizontal="left" vertical="center"/>
    </xf>
    <xf numFmtId="17" fontId="4" fillId="2" borderId="0" xfId="0" applyNumberFormat="1" applyFont="1" applyFill="1"/>
    <xf numFmtId="43" fontId="16" fillId="2" borderId="2" xfId="1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166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3" fontId="4" fillId="2" borderId="2" xfId="0" applyNumberFormat="1" applyFont="1" applyFill="1" applyBorder="1" applyAlignment="1">
      <alignment vertical="center"/>
    </xf>
    <xf numFmtId="0" fontId="18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0" fillId="2" borderId="0" xfId="3" applyFont="1" applyFill="1" applyAlignment="1">
      <alignment horizontal="left" vertical="center"/>
    </xf>
    <xf numFmtId="0" fontId="10" fillId="2" borderId="0" xfId="3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43" fontId="4" fillId="2" borderId="7" xfId="3" applyNumberFormat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0" fillId="2" borderId="6" xfId="0" applyFill="1" applyBorder="1"/>
    <xf numFmtId="43" fontId="0" fillId="2" borderId="9" xfId="0" applyNumberFormat="1" applyFill="1" applyBorder="1"/>
    <xf numFmtId="43" fontId="0" fillId="2" borderId="16" xfId="0" applyNumberFormat="1" applyFill="1" applyBorder="1"/>
    <xf numFmtId="0" fontId="0" fillId="2" borderId="1" xfId="0" applyFill="1" applyBorder="1"/>
    <xf numFmtId="43" fontId="0" fillId="2" borderId="11" xfId="0" applyNumberFormat="1" applyFill="1" applyBorder="1"/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43" fontId="19" fillId="2" borderId="2" xfId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35" fillId="2" borderId="2" xfId="3" applyFont="1" applyFill="1" applyBorder="1" applyAlignment="1">
      <alignment horizontal="center" vertical="center" wrapText="1"/>
    </xf>
    <xf numFmtId="0" fontId="35" fillId="2" borderId="0" xfId="3" applyFont="1" applyFill="1" applyAlignment="1">
      <alignment vertical="center"/>
    </xf>
    <xf numFmtId="0" fontId="37" fillId="2" borderId="0" xfId="0" applyFont="1" applyFill="1"/>
    <xf numFmtId="0" fontId="38" fillId="2" borderId="0" xfId="0" applyFont="1" applyFill="1"/>
    <xf numFmtId="0" fontId="40" fillId="2" borderId="0" xfId="0" applyFont="1" applyFill="1" applyAlignment="1">
      <alignment horizontal="left" vertical="center"/>
    </xf>
    <xf numFmtId="0" fontId="42" fillId="2" borderId="0" xfId="3" applyFont="1" applyFill="1" applyAlignment="1">
      <alignment horizontal="center" vertical="center"/>
    </xf>
    <xf numFmtId="0" fontId="40" fillId="2" borderId="0" xfId="3" applyFont="1" applyFill="1" applyAlignment="1">
      <alignment horizontal="center" vertical="top"/>
    </xf>
    <xf numFmtId="0" fontId="40" fillId="2" borderId="0" xfId="3" applyFont="1" applyFill="1" applyAlignment="1">
      <alignment horizontal="center" vertical="center"/>
    </xf>
    <xf numFmtId="0" fontId="40" fillId="2" borderId="0" xfId="3" applyFont="1" applyFill="1" applyAlignment="1">
      <alignment horizontal="center" vertical="center" wrapText="1"/>
    </xf>
    <xf numFmtId="0" fontId="40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35" fillId="2" borderId="0" xfId="0" applyFont="1" applyFill="1"/>
    <xf numFmtId="0" fontId="35" fillId="2" borderId="0" xfId="0" applyFont="1" applyFill="1" applyAlignment="1">
      <alignment horizontal="center"/>
    </xf>
    <xf numFmtId="0" fontId="41" fillId="2" borderId="0" xfId="3" applyFont="1" applyFill="1" applyAlignment="1">
      <alignment vertical="center"/>
    </xf>
    <xf numFmtId="0" fontId="36" fillId="2" borderId="0" xfId="3" applyFont="1" applyFill="1" applyAlignment="1">
      <alignment vertical="center"/>
    </xf>
    <xf numFmtId="0" fontId="40" fillId="2" borderId="0" xfId="3" applyFont="1" applyFill="1" applyAlignment="1">
      <alignment horizontal="left" vertical="center"/>
    </xf>
    <xf numFmtId="0" fontId="53" fillId="2" borderId="0" xfId="3" applyFont="1" applyFill="1" applyAlignment="1">
      <alignment horizontal="left" vertical="center"/>
    </xf>
    <xf numFmtId="0" fontId="35" fillId="2" borderId="1" xfId="3" applyFont="1" applyFill="1" applyBorder="1" applyAlignment="1">
      <alignment vertical="center"/>
    </xf>
    <xf numFmtId="0" fontId="44" fillId="2" borderId="0" xfId="0" applyFont="1" applyFill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vertical="center"/>
    </xf>
    <xf numFmtId="0" fontId="29" fillId="2" borderId="1" xfId="0" applyFont="1" applyFill="1" applyBorder="1"/>
    <xf numFmtId="43" fontId="37" fillId="2" borderId="0" xfId="0" applyNumberFormat="1" applyFont="1" applyFill="1"/>
    <xf numFmtId="44" fontId="37" fillId="2" borderId="0" xfId="0" applyNumberFormat="1" applyFont="1" applyFill="1"/>
    <xf numFmtId="0" fontId="16" fillId="2" borderId="0" xfId="0" applyFont="1" applyFill="1" applyAlignment="1">
      <alignment horizontal="center" vertical="center"/>
    </xf>
    <xf numFmtId="0" fontId="27" fillId="2" borderId="0" xfId="0" applyFont="1" applyFill="1"/>
    <xf numFmtId="0" fontId="57" fillId="2" borderId="0" xfId="0" applyFont="1" applyFill="1"/>
    <xf numFmtId="0" fontId="48" fillId="2" borderId="0" xfId="0" applyFont="1" applyFill="1"/>
    <xf numFmtId="43" fontId="16" fillId="2" borderId="0" xfId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center" vertical="center"/>
    </xf>
    <xf numFmtId="4" fontId="15" fillId="2" borderId="0" xfId="0" applyNumberFormat="1" applyFont="1" applyFill="1" applyAlignment="1">
      <alignment horizontal="right" vertical="center"/>
    </xf>
    <xf numFmtId="44" fontId="15" fillId="2" borderId="0" xfId="0" applyNumberFormat="1" applyFont="1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43" fontId="26" fillId="2" borderId="13" xfId="1" applyFont="1" applyFill="1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3" fontId="16" fillId="2" borderId="7" xfId="1" applyFont="1" applyFill="1" applyBorder="1" applyAlignment="1">
      <alignment vertical="center"/>
    </xf>
    <xf numFmtId="43" fontId="4" fillId="2" borderId="7" xfId="1" applyFont="1" applyFill="1" applyBorder="1" applyAlignment="1">
      <alignment vertical="center"/>
    </xf>
    <xf numFmtId="0" fontId="48" fillId="2" borderId="13" xfId="3" applyFont="1" applyFill="1" applyBorder="1" applyAlignment="1">
      <alignment horizontal="center" vertical="center"/>
    </xf>
    <xf numFmtId="43" fontId="48" fillId="2" borderId="13" xfId="3" applyNumberFormat="1" applyFont="1" applyFill="1" applyBorder="1" applyAlignment="1">
      <alignment horizontal="center" vertical="center"/>
    </xf>
    <xf numFmtId="43" fontId="48" fillId="2" borderId="13" xfId="1" applyFont="1" applyFill="1" applyBorder="1" applyAlignment="1">
      <alignment horizontal="center" vertical="center"/>
    </xf>
    <xf numFmtId="43" fontId="48" fillId="2" borderId="14" xfId="1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43" fontId="56" fillId="2" borderId="13" xfId="1" applyFont="1" applyFill="1" applyBorder="1" applyAlignment="1">
      <alignment horizontal="center" vertical="center"/>
    </xf>
    <xf numFmtId="4" fontId="48" fillId="2" borderId="13" xfId="0" applyNumberFormat="1" applyFont="1" applyFill="1" applyBorder="1" applyAlignment="1">
      <alignment horizontal="right" vertical="center"/>
    </xf>
    <xf numFmtId="44" fontId="48" fillId="2" borderId="14" xfId="0" applyNumberFormat="1" applyFont="1" applyFill="1" applyBorder="1" applyAlignment="1">
      <alignment horizontal="center" vertical="center"/>
    </xf>
    <xf numFmtId="43" fontId="23" fillId="2" borderId="7" xfId="1" applyFont="1" applyFill="1" applyBorder="1" applyAlignment="1">
      <alignment vertical="center"/>
    </xf>
    <xf numFmtId="43" fontId="0" fillId="2" borderId="7" xfId="1" applyFont="1" applyFill="1" applyBorder="1"/>
    <xf numFmtId="0" fontId="33" fillId="2" borderId="7" xfId="0" applyFont="1" applyFill="1" applyBorder="1" applyAlignment="1">
      <alignment horizontal="center" vertical="center"/>
    </xf>
    <xf numFmtId="43" fontId="55" fillId="2" borderId="7" xfId="1" applyFont="1" applyFill="1" applyBorder="1" applyAlignment="1">
      <alignment horizontal="center" vertical="center"/>
    </xf>
    <xf numFmtId="43" fontId="33" fillId="2" borderId="7" xfId="1" applyFont="1" applyFill="1" applyBorder="1" applyAlignment="1">
      <alignment vertical="center"/>
    </xf>
    <xf numFmtId="0" fontId="33" fillId="2" borderId="12" xfId="1" applyNumberFormat="1" applyFont="1" applyFill="1" applyBorder="1" applyAlignment="1">
      <alignment horizontal="center" vertical="center"/>
    </xf>
    <xf numFmtId="43" fontId="56" fillId="2" borderId="13" xfId="1" applyFont="1" applyFill="1" applyBorder="1" applyAlignment="1">
      <alignment vertical="center"/>
    </xf>
    <xf numFmtId="0" fontId="33" fillId="2" borderId="7" xfId="1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43" fontId="4" fillId="2" borderId="2" xfId="1" applyFont="1" applyFill="1" applyBorder="1" applyAlignment="1">
      <alignment horizontal="right" vertical="center" wrapText="1"/>
    </xf>
    <xf numFmtId="43" fontId="4" fillId="2" borderId="7" xfId="1" applyFont="1" applyFill="1" applyBorder="1" applyAlignment="1">
      <alignment horizontal="right" vertical="center" wrapText="1"/>
    </xf>
    <xf numFmtId="0" fontId="35" fillId="2" borderId="0" xfId="3" applyFont="1" applyFill="1"/>
    <xf numFmtId="0" fontId="40" fillId="2" borderId="0" xfId="0" applyFont="1" applyFill="1" applyAlignment="1">
      <alignment horizontal="left"/>
    </xf>
    <xf numFmtId="43" fontId="27" fillId="2" borderId="8" xfId="0" applyNumberFormat="1" applyFont="1" applyFill="1" applyBorder="1"/>
    <xf numFmtId="43" fontId="27" fillId="2" borderId="9" xfId="0" applyNumberFormat="1" applyFont="1" applyFill="1" applyBorder="1"/>
    <xf numFmtId="43" fontId="27" fillId="2" borderId="15" xfId="0" applyNumberFormat="1" applyFont="1" applyFill="1" applyBorder="1"/>
    <xf numFmtId="43" fontId="27" fillId="2" borderId="16" xfId="0" applyNumberFormat="1" applyFont="1" applyFill="1" applyBorder="1"/>
    <xf numFmtId="43" fontId="27" fillId="2" borderId="10" xfId="0" applyNumberFormat="1" applyFont="1" applyFill="1" applyBorder="1"/>
    <xf numFmtId="43" fontId="27" fillId="2" borderId="11" xfId="0" applyNumberFormat="1" applyFont="1" applyFill="1" applyBorder="1"/>
    <xf numFmtId="0" fontId="26" fillId="2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43" fontId="4" fillId="2" borderId="8" xfId="0" applyNumberFormat="1" applyFont="1" applyFill="1" applyBorder="1"/>
    <xf numFmtId="43" fontId="4" fillId="2" borderId="15" xfId="0" applyNumberFormat="1" applyFont="1" applyFill="1" applyBorder="1"/>
    <xf numFmtId="43" fontId="4" fillId="2" borderId="10" xfId="0" applyNumberFormat="1" applyFont="1" applyFill="1" applyBorder="1"/>
    <xf numFmtId="168" fontId="41" fillId="0" borderId="0" xfId="3" applyNumberFormat="1" applyFont="1" applyAlignment="1">
      <alignment horizontal="left"/>
    </xf>
    <xf numFmtId="3" fontId="4" fillId="2" borderId="2" xfId="3" applyNumberFormat="1" applyFont="1" applyFill="1" applyBorder="1" applyAlignment="1">
      <alignment horizontal="right" vertical="center"/>
    </xf>
    <xf numFmtId="4" fontId="4" fillId="2" borderId="2" xfId="3" applyNumberFormat="1" applyFont="1" applyFill="1" applyBorder="1" applyAlignment="1">
      <alignment vertical="center"/>
    </xf>
    <xf numFmtId="43" fontId="23" fillId="2" borderId="2" xfId="1" applyFont="1" applyFill="1" applyBorder="1" applyAlignment="1">
      <alignment horizontal="center" vertical="center"/>
    </xf>
    <xf numFmtId="165" fontId="22" fillId="2" borderId="3" xfId="4" applyNumberFormat="1" applyFont="1" applyFill="1" applyBorder="1" applyAlignment="1">
      <alignment horizontal="left" vertical="center"/>
    </xf>
    <xf numFmtId="165" fontId="22" fillId="2" borderId="5" xfId="4" applyNumberFormat="1" applyFont="1" applyFill="1" applyBorder="1" applyAlignment="1">
      <alignment horizontal="left" vertical="center"/>
    </xf>
    <xf numFmtId="168" fontId="41" fillId="2" borderId="0" xfId="3" applyNumberFormat="1" applyFont="1" applyFill="1" applyAlignment="1">
      <alignment horizontal="left"/>
    </xf>
    <xf numFmtId="0" fontId="23" fillId="2" borderId="2" xfId="0" applyFont="1" applyFill="1" applyBorder="1" applyAlignment="1">
      <alignment vertical="center"/>
    </xf>
    <xf numFmtId="43" fontId="16" fillId="2" borderId="7" xfId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9" fillId="2" borderId="0" xfId="3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19" fillId="2" borderId="5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/>
    </xf>
    <xf numFmtId="0" fontId="35" fillId="2" borderId="2" xfId="3" applyFont="1" applyFill="1" applyBorder="1" applyAlignment="1">
      <alignment horizontal="center" vertical="center" wrapText="1"/>
    </xf>
    <xf numFmtId="0" fontId="42" fillId="2" borderId="0" xfId="3" applyFont="1" applyFill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10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center" vertical="center" wrapText="1"/>
    </xf>
    <xf numFmtId="0" fontId="40" fillId="2" borderId="0" xfId="3" applyFont="1" applyFill="1" applyAlignment="1">
      <alignment horizontal="center" vertical="center"/>
    </xf>
    <xf numFmtId="0" fontId="0" fillId="2" borderId="0" xfId="0" applyFill="1" applyBorder="1"/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7" fillId="2" borderId="0" xfId="3" applyFont="1" applyFill="1" applyBorder="1" applyAlignment="1">
      <alignment vertical="center"/>
    </xf>
    <xf numFmtId="0" fontId="8" fillId="2" borderId="0" xfId="3" applyFont="1" applyFill="1" applyBorder="1" applyAlignment="1">
      <alignment horizontal="center" vertical="center"/>
    </xf>
    <xf numFmtId="0" fontId="42" fillId="2" borderId="0" xfId="3" applyFont="1" applyFill="1" applyBorder="1" applyAlignment="1">
      <alignment horizontal="left" vertical="center"/>
    </xf>
    <xf numFmtId="0" fontId="7" fillId="2" borderId="0" xfId="3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9" fillId="2" borderId="0" xfId="3" applyFont="1" applyFill="1" applyBorder="1" applyAlignment="1">
      <alignment vertical="center" wrapText="1"/>
    </xf>
    <xf numFmtId="0" fontId="9" fillId="2" borderId="0" xfId="3" applyFont="1" applyFill="1" applyBorder="1" applyAlignment="1">
      <alignment vertical="center"/>
    </xf>
    <xf numFmtId="0" fontId="35" fillId="2" borderId="0" xfId="3" applyFont="1" applyFill="1" applyBorder="1" applyAlignment="1">
      <alignment vertical="center"/>
    </xf>
    <xf numFmtId="0" fontId="10" fillId="2" borderId="0" xfId="3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36" fillId="2" borderId="0" xfId="3" applyFont="1" applyFill="1" applyBorder="1" applyAlignment="1">
      <alignment horizontal="left" vertical="center"/>
    </xf>
    <xf numFmtId="0" fontId="36" fillId="2" borderId="0" xfId="0" applyFont="1" applyFill="1" applyBorder="1" applyAlignment="1">
      <alignment horizontal="left"/>
    </xf>
    <xf numFmtId="0" fontId="36" fillId="2" borderId="0" xfId="0" applyFont="1" applyFill="1" applyBorder="1" applyAlignment="1">
      <alignment vertical="center"/>
    </xf>
    <xf numFmtId="0" fontId="38" fillId="2" borderId="0" xfId="0" applyFont="1" applyFill="1" applyBorder="1"/>
    <xf numFmtId="0" fontId="12" fillId="2" borderId="0" xfId="3" applyFont="1" applyFill="1" applyBorder="1" applyAlignment="1">
      <alignment vertical="center"/>
    </xf>
    <xf numFmtId="0" fontId="12" fillId="2" borderId="0" xfId="0" applyFont="1" applyFill="1" applyBorder="1"/>
    <xf numFmtId="167" fontId="12" fillId="2" borderId="0" xfId="0" applyNumberFormat="1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37" fillId="2" borderId="0" xfId="0" applyFont="1" applyFill="1" applyBorder="1"/>
    <xf numFmtId="168" fontId="35" fillId="2" borderId="0" xfId="3" applyNumberFormat="1" applyFont="1" applyFill="1" applyBorder="1" applyAlignment="1">
      <alignment horizontal="left" vertical="center"/>
    </xf>
    <xf numFmtId="168" fontId="35" fillId="2" borderId="0" xfId="3" applyNumberFormat="1" applyFont="1" applyFill="1" applyBorder="1" applyAlignment="1">
      <alignment horizontal="center" vertical="center"/>
    </xf>
    <xf numFmtId="43" fontId="19" fillId="2" borderId="0" xfId="1" applyFont="1" applyFill="1" applyBorder="1" applyAlignment="1">
      <alignment vertical="center"/>
    </xf>
    <xf numFmtId="164" fontId="19" fillId="2" borderId="0" xfId="0" applyNumberFormat="1" applyFont="1" applyFill="1" applyBorder="1" applyAlignment="1">
      <alignment vertical="center"/>
    </xf>
    <xf numFmtId="0" fontId="39" fillId="2" borderId="0" xfId="3" applyFont="1" applyFill="1" applyBorder="1" applyAlignment="1">
      <alignment vertical="center"/>
    </xf>
    <xf numFmtId="0" fontId="40" fillId="2" borderId="0" xfId="0" applyFont="1" applyFill="1" applyBorder="1" applyAlignment="1">
      <alignment horizontal="left" vertical="center"/>
    </xf>
    <xf numFmtId="0" fontId="4" fillId="2" borderId="0" xfId="3" applyFont="1" applyFill="1" applyBorder="1" applyAlignment="1">
      <alignment horizontal="left" vertical="center"/>
    </xf>
    <xf numFmtId="0" fontId="11" fillId="2" borderId="0" xfId="3" applyFont="1" applyFill="1" applyBorder="1" applyAlignment="1">
      <alignment vertical="center"/>
    </xf>
    <xf numFmtId="0" fontId="34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35" fillId="2" borderId="0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vertical="center"/>
    </xf>
    <xf numFmtId="43" fontId="4" fillId="2" borderId="0" xfId="3" applyNumberFormat="1" applyFont="1" applyFill="1" applyBorder="1" applyAlignment="1">
      <alignment horizontal="center" vertical="center"/>
    </xf>
    <xf numFmtId="43" fontId="4" fillId="2" borderId="0" xfId="0" applyNumberFormat="1" applyFont="1" applyFill="1" applyBorder="1"/>
    <xf numFmtId="43" fontId="0" fillId="2" borderId="0" xfId="0" applyNumberFormat="1" applyFill="1" applyBorder="1"/>
    <xf numFmtId="0" fontId="16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left" vertical="center"/>
    </xf>
    <xf numFmtId="43" fontId="15" fillId="2" borderId="0" xfId="3" applyNumberFormat="1" applyFont="1" applyFill="1" applyBorder="1" applyAlignment="1">
      <alignment horizontal="center" vertical="center"/>
    </xf>
    <xf numFmtId="43" fontId="15" fillId="2" borderId="0" xfId="1" applyFont="1" applyFill="1" applyBorder="1" applyAlignment="1">
      <alignment horizontal="center" vertical="center"/>
    </xf>
    <xf numFmtId="0" fontId="10" fillId="2" borderId="0" xfId="3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top"/>
    </xf>
    <xf numFmtId="0" fontId="10" fillId="2" borderId="0" xfId="3" applyFont="1" applyFill="1" applyBorder="1" applyAlignment="1">
      <alignment horizontal="left" vertical="center"/>
    </xf>
    <xf numFmtId="0" fontId="40" fillId="2" borderId="0" xfId="3" applyFont="1" applyFill="1" applyBorder="1" applyAlignment="1">
      <alignment horizontal="center" vertical="center"/>
    </xf>
    <xf numFmtId="0" fontId="40" fillId="2" borderId="0" xfId="3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0" fillId="2" borderId="0" xfId="3" applyFont="1" applyFill="1" applyBorder="1" applyAlignment="1">
      <alignment horizontal="left" vertical="center" wrapText="1"/>
    </xf>
    <xf numFmtId="17" fontId="4" fillId="2" borderId="0" xfId="0" quotePrefix="1" applyNumberFormat="1" applyFont="1" applyFill="1" applyBorder="1"/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25" fillId="2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0" fontId="16" fillId="2" borderId="0" xfId="1" applyNumberFormat="1" applyFont="1" applyFill="1" applyBorder="1" applyAlignment="1">
      <alignment horizontal="center"/>
    </xf>
    <xf numFmtId="165" fontId="22" fillId="2" borderId="0" xfId="4" applyNumberFormat="1" applyFont="1" applyFill="1" applyBorder="1" applyAlignment="1">
      <alignment horizontal="center" vertical="center"/>
    </xf>
    <xf numFmtId="43" fontId="16" fillId="2" borderId="0" xfId="1" applyFont="1" applyFill="1" applyBorder="1" applyAlignment="1">
      <alignment horizontal="center"/>
    </xf>
    <xf numFmtId="43" fontId="4" fillId="2" borderId="0" xfId="1" applyFont="1" applyFill="1" applyBorder="1" applyAlignment="1">
      <alignment horizontal="center"/>
    </xf>
    <xf numFmtId="43" fontId="16" fillId="2" borderId="0" xfId="1" applyFont="1" applyFill="1" applyBorder="1"/>
    <xf numFmtId="43" fontId="4" fillId="2" borderId="0" xfId="1" applyFont="1" applyFill="1" applyBorder="1"/>
    <xf numFmtId="44" fontId="4" fillId="2" borderId="0" xfId="0" applyNumberFormat="1" applyFont="1" applyFill="1" applyBorder="1"/>
    <xf numFmtId="0" fontId="14" fillId="2" borderId="0" xfId="0" applyFont="1" applyFill="1" applyBorder="1" applyAlignment="1">
      <alignment horizontal="center" vertical="center"/>
    </xf>
    <xf numFmtId="43" fontId="26" fillId="2" borderId="0" xfId="1" applyFont="1" applyFill="1" applyBorder="1" applyAlignment="1">
      <alignment horizontal="center" vertical="center"/>
    </xf>
    <xf numFmtId="4" fontId="15" fillId="2" borderId="0" xfId="0" applyNumberFormat="1" applyFont="1" applyFill="1" applyBorder="1" applyAlignment="1">
      <alignment horizontal="right" vertical="center"/>
    </xf>
    <xf numFmtId="44" fontId="15" fillId="2" borderId="0" xfId="0" applyNumberFormat="1" applyFont="1" applyFill="1" applyBorder="1" applyAlignment="1">
      <alignment horizontal="center" vertical="center"/>
    </xf>
    <xf numFmtId="0" fontId="31" fillId="2" borderId="0" xfId="0" applyFont="1" applyFill="1" applyBorder="1"/>
    <xf numFmtId="0" fontId="20" fillId="2" borderId="0" xfId="0" applyFont="1" applyFill="1" applyBorder="1"/>
    <xf numFmtId="43" fontId="19" fillId="2" borderId="0" xfId="1" applyFont="1" applyFill="1" applyBorder="1" applyAlignment="1">
      <alignment horizontal="center" vertical="center"/>
    </xf>
    <xf numFmtId="0" fontId="33" fillId="2" borderId="0" xfId="1" applyNumberFormat="1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43" fontId="33" fillId="2" borderId="0" xfId="1" applyFont="1" applyFill="1" applyBorder="1" applyAlignment="1">
      <alignment vertical="center"/>
    </xf>
    <xf numFmtId="44" fontId="33" fillId="2" borderId="0" xfId="2" applyFont="1" applyFill="1" applyBorder="1" applyAlignment="1">
      <alignment vertical="center"/>
    </xf>
    <xf numFmtId="43" fontId="12" fillId="2" borderId="0" xfId="4" applyFont="1" applyFill="1" applyBorder="1" applyAlignment="1">
      <alignment horizontal="right" vertical="center" wrapText="1"/>
    </xf>
    <xf numFmtId="44" fontId="34" fillId="2" borderId="0" xfId="2" applyFont="1" applyFill="1" applyBorder="1" applyAlignment="1">
      <alignment vertical="center"/>
    </xf>
    <xf numFmtId="2" fontId="34" fillId="2" borderId="0" xfId="0" applyNumberFormat="1" applyFont="1" applyFill="1" applyBorder="1" applyAlignment="1">
      <alignment vertical="center"/>
    </xf>
    <xf numFmtId="0" fontId="34" fillId="2" borderId="0" xfId="0" applyFont="1" applyFill="1" applyBorder="1" applyAlignment="1">
      <alignment vertical="center"/>
    </xf>
    <xf numFmtId="43" fontId="34" fillId="2" borderId="0" xfId="0" applyNumberFormat="1" applyFont="1" applyFill="1" applyBorder="1" applyAlignment="1">
      <alignment vertical="center"/>
    </xf>
    <xf numFmtId="0" fontId="16" fillId="2" borderId="0" xfId="1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vertical="center"/>
    </xf>
    <xf numFmtId="43" fontId="16" fillId="2" borderId="0" xfId="1" applyFont="1" applyFill="1" applyBorder="1" applyAlignment="1">
      <alignment vertical="center"/>
    </xf>
    <xf numFmtId="43" fontId="9" fillId="2" borderId="0" xfId="1" applyFont="1" applyFill="1" applyBorder="1" applyAlignment="1">
      <alignment horizontal="right" vertical="center" wrapText="1"/>
    </xf>
    <xf numFmtId="44" fontId="16" fillId="2" borderId="0" xfId="2" applyFont="1" applyFill="1" applyBorder="1" applyAlignment="1">
      <alignment vertical="center"/>
    </xf>
    <xf numFmtId="43" fontId="4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43" fontId="1" fillId="2" borderId="0" xfId="1" applyFont="1" applyFill="1" applyBorder="1"/>
    <xf numFmtId="44" fontId="26" fillId="2" borderId="0" xfId="2" applyFont="1" applyFill="1" applyBorder="1" applyAlignment="1">
      <alignment horizontal="center" vertical="center"/>
    </xf>
    <xf numFmtId="44" fontId="26" fillId="2" borderId="0" xfId="0" applyNumberFormat="1" applyFont="1" applyFill="1" applyBorder="1" applyAlignment="1">
      <alignment horizontal="center" vertical="center"/>
    </xf>
    <xf numFmtId="43" fontId="15" fillId="2" borderId="0" xfId="0" applyNumberFormat="1" applyFont="1" applyFill="1" applyBorder="1" applyAlignment="1">
      <alignment horizontal="center"/>
    </xf>
    <xf numFmtId="0" fontId="24" fillId="2" borderId="0" xfId="3" applyFont="1" applyFill="1" applyBorder="1" applyAlignment="1">
      <alignment horizontal="left" vertical="center"/>
    </xf>
    <xf numFmtId="0" fontId="35" fillId="2" borderId="0" xfId="0" applyFont="1" applyFill="1" applyBorder="1"/>
    <xf numFmtId="0" fontId="11" fillId="2" borderId="0" xfId="0" applyFont="1" applyFill="1" applyBorder="1"/>
    <xf numFmtId="0" fontId="46" fillId="2" borderId="0" xfId="0" applyFont="1" applyFill="1" applyBorder="1"/>
    <xf numFmtId="0" fontId="47" fillId="2" borderId="0" xfId="0" applyFont="1" applyFill="1" applyBorder="1"/>
    <xf numFmtId="0" fontId="50" fillId="2" borderId="0" xfId="0" applyFont="1" applyFill="1" applyBorder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43" fontId="50" fillId="2" borderId="0" xfId="1" applyFont="1" applyFill="1" applyBorder="1" applyAlignment="1">
      <alignment horizontal="center" vertical="center"/>
    </xf>
    <xf numFmtId="44" fontId="50" fillId="2" borderId="0" xfId="2" applyFont="1" applyFill="1" applyBorder="1" applyAlignment="1">
      <alignment horizontal="center" vertical="center"/>
    </xf>
    <xf numFmtId="43" fontId="50" fillId="2" borderId="0" xfId="1" applyFont="1" applyFill="1" applyBorder="1" applyAlignment="1">
      <alignment vertical="center"/>
    </xf>
    <xf numFmtId="44" fontId="50" fillId="2" borderId="0" xfId="2" applyFont="1" applyFill="1" applyBorder="1" applyAlignment="1">
      <alignment vertical="center"/>
    </xf>
    <xf numFmtId="43" fontId="50" fillId="2" borderId="0" xfId="0" applyNumberFormat="1" applyFont="1" applyFill="1" applyBorder="1" applyAlignment="1">
      <alignment vertical="center"/>
    </xf>
    <xf numFmtId="44" fontId="50" fillId="2" borderId="0" xfId="0" applyNumberFormat="1" applyFont="1" applyFill="1" applyBorder="1" applyAlignment="1">
      <alignment vertical="center"/>
    </xf>
    <xf numFmtId="0" fontId="50" fillId="2" borderId="0" xfId="0" applyFont="1" applyFill="1" applyBorder="1" applyAlignment="1">
      <alignment vertical="center"/>
    </xf>
    <xf numFmtId="0" fontId="58" fillId="2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43" fontId="58" fillId="2" borderId="0" xfId="1" applyFont="1" applyFill="1" applyBorder="1" applyAlignment="1">
      <alignment horizontal="center" vertical="center"/>
    </xf>
    <xf numFmtId="44" fontId="58" fillId="2" borderId="0" xfId="2" applyFont="1" applyFill="1" applyBorder="1" applyAlignment="1">
      <alignment horizontal="center" vertical="center"/>
    </xf>
    <xf numFmtId="43" fontId="58" fillId="2" borderId="0" xfId="1" applyFont="1" applyFill="1" applyBorder="1" applyAlignment="1">
      <alignment vertical="center"/>
    </xf>
    <xf numFmtId="44" fontId="58" fillId="2" borderId="0" xfId="2" applyFont="1" applyFill="1" applyBorder="1" applyAlignment="1">
      <alignment vertical="center"/>
    </xf>
    <xf numFmtId="43" fontId="58" fillId="2" borderId="0" xfId="0" applyNumberFormat="1" applyFont="1" applyFill="1" applyBorder="1" applyAlignment="1">
      <alignment vertical="center"/>
    </xf>
    <xf numFmtId="44" fontId="58" fillId="2" borderId="0" xfId="0" applyNumberFormat="1" applyFont="1" applyFill="1" applyBorder="1" applyAlignment="1">
      <alignment vertical="center"/>
    </xf>
    <xf numFmtId="0" fontId="58" fillId="2" borderId="0" xfId="0" applyFont="1" applyFill="1" applyBorder="1" applyAlignment="1">
      <alignment vertical="center"/>
    </xf>
    <xf numFmtId="166" fontId="16" fillId="2" borderId="0" xfId="0" applyNumberFormat="1" applyFont="1" applyFill="1" applyBorder="1" applyAlignment="1">
      <alignment horizontal="center" vertical="center"/>
    </xf>
    <xf numFmtId="0" fontId="40" fillId="2" borderId="0" xfId="0" applyFont="1" applyFill="1" applyBorder="1"/>
    <xf numFmtId="0" fontId="30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/>
    </xf>
    <xf numFmtId="0" fontId="50" fillId="2" borderId="0" xfId="1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41" fillId="2" borderId="0" xfId="0" applyFont="1" applyFill="1" applyBorder="1" applyAlignment="1">
      <alignment vertical="center"/>
    </xf>
    <xf numFmtId="43" fontId="58" fillId="2" borderId="0" xfId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/>
    </xf>
    <xf numFmtId="0" fontId="35" fillId="2" borderId="0" xfId="3" applyFont="1" applyFill="1" applyBorder="1" applyAlignment="1">
      <alignment horizontal="center" vertical="center" wrapText="1"/>
    </xf>
    <xf numFmtId="0" fontId="40" fillId="2" borderId="0" xfId="3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10" fillId="2" borderId="0" xfId="3" applyFont="1" applyFill="1" applyBorder="1" applyAlignment="1">
      <alignment horizontal="left" vertical="center" wrapText="1"/>
    </xf>
    <xf numFmtId="0" fontId="35" fillId="2" borderId="2" xfId="3" applyFont="1" applyFill="1" applyBorder="1" applyAlignment="1">
      <alignment horizontal="center" vertical="center" wrapText="1"/>
    </xf>
    <xf numFmtId="0" fontId="42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center" vertical="center" wrapText="1"/>
    </xf>
    <xf numFmtId="0" fontId="40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21" fillId="2" borderId="1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43" fontId="58" fillId="2" borderId="0" xfId="1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43" fontId="48" fillId="2" borderId="22" xfId="3" applyNumberFormat="1" applyFont="1" applyFill="1" applyBorder="1" applyAlignment="1">
      <alignment horizontal="center" vertical="center"/>
    </xf>
    <xf numFmtId="43" fontId="48" fillId="2" borderId="22" xfId="1" applyFont="1" applyFill="1" applyBorder="1" applyAlignment="1">
      <alignment horizontal="center" vertical="center"/>
    </xf>
    <xf numFmtId="0" fontId="48" fillId="2" borderId="22" xfId="3" applyFont="1" applyFill="1" applyBorder="1" applyAlignment="1">
      <alignment horizontal="center" vertical="center"/>
    </xf>
    <xf numFmtId="43" fontId="48" fillId="2" borderId="23" xfId="1" applyFont="1" applyFill="1" applyBorder="1" applyAlignment="1">
      <alignment horizontal="center" vertical="center"/>
    </xf>
    <xf numFmtId="43" fontId="4" fillId="2" borderId="21" xfId="0" applyNumberFormat="1" applyFont="1" applyFill="1" applyBorder="1" applyAlignment="1">
      <alignment vertical="center"/>
    </xf>
    <xf numFmtId="43" fontId="4" fillId="2" borderId="15" xfId="0" applyNumberFormat="1" applyFont="1" applyFill="1" applyBorder="1" applyAlignment="1">
      <alignment vertical="center"/>
    </xf>
    <xf numFmtId="43" fontId="56" fillId="2" borderId="22" xfId="1" applyFont="1" applyFill="1" applyBorder="1" applyAlignment="1">
      <alignment horizontal="center" vertical="center"/>
    </xf>
    <xf numFmtId="0" fontId="35" fillId="0" borderId="0" xfId="3" applyFont="1" applyFill="1" applyAlignment="1">
      <alignment vertical="center"/>
    </xf>
    <xf numFmtId="0" fontId="9" fillId="2" borderId="0" xfId="3" applyFont="1" applyFill="1" applyAlignment="1">
      <alignment horizontal="center" vertical="center"/>
    </xf>
    <xf numFmtId="0" fontId="35" fillId="2" borderId="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43" fontId="58" fillId="2" borderId="0" xfId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35" fillId="2" borderId="0" xfId="3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/>
    </xf>
    <xf numFmtId="0" fontId="21" fillId="2" borderId="1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0" fillId="2" borderId="0" xfId="3" applyFont="1" applyFill="1" applyAlignment="1">
      <alignment horizontal="left" vertical="center"/>
    </xf>
    <xf numFmtId="0" fontId="10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center" vertical="center" wrapText="1"/>
    </xf>
    <xf numFmtId="0" fontId="40" fillId="2" borderId="0" xfId="3" applyFont="1" applyFill="1" applyAlignment="1">
      <alignment horizontal="center" vertical="center"/>
    </xf>
    <xf numFmtId="0" fontId="35" fillId="2" borderId="2" xfId="3" applyFont="1" applyFill="1" applyBorder="1" applyAlignment="1">
      <alignment horizontal="center" vertical="center" wrapText="1"/>
    </xf>
    <xf numFmtId="0" fontId="40" fillId="2" borderId="0" xfId="3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0" fillId="2" borderId="0" xfId="3" applyFont="1" applyFill="1" applyBorder="1" applyAlignment="1">
      <alignment horizontal="left" vertical="center" wrapText="1"/>
    </xf>
    <xf numFmtId="0" fontId="42" fillId="2" borderId="0" xfId="3" applyFont="1" applyFill="1" applyAlignment="1">
      <alignment horizontal="center" vertical="center"/>
    </xf>
    <xf numFmtId="0" fontId="9" fillId="2" borderId="0" xfId="3" applyFont="1" applyFill="1" applyBorder="1" applyAlignment="1">
      <alignment horizontal="center" vertical="center"/>
    </xf>
    <xf numFmtId="0" fontId="35" fillId="2" borderId="0" xfId="3" applyFont="1" applyFill="1" applyBorder="1" applyAlignment="1">
      <alignment horizontal="center" vertical="center" wrapText="1"/>
    </xf>
    <xf numFmtId="0" fontId="35" fillId="2" borderId="0" xfId="3" applyFont="1" applyFill="1" applyBorder="1" applyAlignment="1">
      <alignment horizontal="center" vertical="center"/>
    </xf>
    <xf numFmtId="0" fontId="40" fillId="2" borderId="0" xfId="3" applyFont="1" applyFill="1" applyBorder="1" applyAlignment="1">
      <alignment horizontal="center" vertical="center" wrapText="1"/>
    </xf>
    <xf numFmtId="0" fontId="40" fillId="2" borderId="0" xfId="3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10" fillId="2" borderId="0" xfId="3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1" fillId="2" borderId="0" xfId="3" applyFont="1" applyFill="1" applyAlignment="1">
      <alignment horizontal="center" vertical="center"/>
    </xf>
    <xf numFmtId="0" fontId="41" fillId="2" borderId="0" xfId="3" applyFont="1" applyFill="1" applyAlignment="1">
      <alignment horizontal="center" vertical="center"/>
    </xf>
    <xf numFmtId="0" fontId="35" fillId="2" borderId="2" xfId="3" applyFont="1" applyFill="1" applyBorder="1" applyAlignment="1">
      <alignment horizontal="center" vertical="center" wrapText="1"/>
    </xf>
    <xf numFmtId="0" fontId="35" fillId="2" borderId="2" xfId="3" applyFont="1" applyFill="1" applyBorder="1" applyAlignment="1">
      <alignment horizontal="center" vertical="center"/>
    </xf>
    <xf numFmtId="0" fontId="35" fillId="2" borderId="3" xfId="3" applyFont="1" applyFill="1" applyBorder="1" applyAlignment="1">
      <alignment horizontal="center" vertical="center"/>
    </xf>
    <xf numFmtId="0" fontId="35" fillId="2" borderId="4" xfId="3" applyFont="1" applyFill="1" applyBorder="1" applyAlignment="1">
      <alignment horizontal="center" vertical="center"/>
    </xf>
    <xf numFmtId="0" fontId="35" fillId="2" borderId="5" xfId="3" applyFont="1" applyFill="1" applyBorder="1" applyAlignment="1">
      <alignment horizontal="center" vertical="center"/>
    </xf>
    <xf numFmtId="0" fontId="35" fillId="2" borderId="3" xfId="3" applyFont="1" applyFill="1" applyBorder="1" applyAlignment="1">
      <alignment horizontal="center" vertical="center" wrapText="1"/>
    </xf>
    <xf numFmtId="0" fontId="35" fillId="2" borderId="5" xfId="3" applyFont="1" applyFill="1" applyBorder="1" applyAlignment="1">
      <alignment horizontal="center" vertical="center" wrapText="1"/>
    </xf>
    <xf numFmtId="0" fontId="42" fillId="2" borderId="0" xfId="3" applyFont="1" applyFill="1" applyAlignment="1">
      <alignment horizontal="center" vertical="center"/>
    </xf>
    <xf numFmtId="164" fontId="35" fillId="2" borderId="1" xfId="1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168" fontId="41" fillId="0" borderId="0" xfId="1" applyNumberFormat="1" applyFont="1" applyFill="1" applyAlignment="1">
      <alignment horizontal="center"/>
    </xf>
    <xf numFmtId="43" fontId="38" fillId="2" borderId="0" xfId="1" applyFont="1" applyFill="1" applyAlignment="1"/>
    <xf numFmtId="0" fontId="43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35" fillId="2" borderId="0" xfId="3" applyFont="1" applyFill="1" applyAlignment="1">
      <alignment horizontal="center" vertical="center" wrapText="1"/>
    </xf>
    <xf numFmtId="0" fontId="35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center" vertical="center" wrapText="1"/>
    </xf>
    <xf numFmtId="0" fontId="40" fillId="2" borderId="0" xfId="3" applyFont="1" applyFill="1" applyAlignment="1">
      <alignment horizontal="center" vertical="center"/>
    </xf>
    <xf numFmtId="0" fontId="13" fillId="2" borderId="12" xfId="3" applyFont="1" applyFill="1" applyBorder="1" applyAlignment="1">
      <alignment horizontal="center" vertical="center"/>
    </xf>
    <xf numFmtId="0" fontId="13" fillId="2" borderId="13" xfId="3" applyFont="1" applyFill="1" applyBorder="1" applyAlignment="1">
      <alignment horizontal="center" vertical="center"/>
    </xf>
    <xf numFmtId="0" fontId="17" fillId="2" borderId="0" xfId="3" applyFont="1" applyFill="1" applyAlignment="1">
      <alignment horizontal="left" vertical="center" wrapText="1"/>
    </xf>
    <xf numFmtId="0" fontId="10" fillId="2" borderId="0" xfId="3" applyFont="1" applyFill="1" applyAlignment="1">
      <alignment horizontal="left" vertical="center"/>
    </xf>
    <xf numFmtId="0" fontId="49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/>
    </xf>
    <xf numFmtId="0" fontId="54" fillId="2" borderId="0" xfId="0" applyFont="1" applyFill="1" applyAlignment="1">
      <alignment horizontal="left" vertical="center"/>
    </xf>
    <xf numFmtId="0" fontId="31" fillId="2" borderId="1" xfId="0" applyFont="1" applyFill="1" applyBorder="1" applyAlignment="1">
      <alignment horizontal="right"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28" fillId="2" borderId="3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/>
    </xf>
    <xf numFmtId="0" fontId="29" fillId="2" borderId="1" xfId="0" applyFont="1" applyFill="1" applyBorder="1" applyAlignment="1">
      <alignment horizontal="right"/>
    </xf>
    <xf numFmtId="0" fontId="34" fillId="2" borderId="17" xfId="0" applyFont="1" applyFill="1" applyBorder="1" applyAlignment="1">
      <alignment horizontal="center"/>
    </xf>
    <xf numFmtId="0" fontId="34" fillId="2" borderId="20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43" fontId="33" fillId="2" borderId="8" xfId="0" applyNumberFormat="1" applyFont="1" applyFill="1" applyBorder="1" applyAlignment="1">
      <alignment horizontal="center" vertical="center"/>
    </xf>
    <xf numFmtId="43" fontId="33" fillId="2" borderId="9" xfId="0" applyNumberFormat="1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/>
    </xf>
    <xf numFmtId="0" fontId="34" fillId="2" borderId="9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43" fontId="56" fillId="2" borderId="17" xfId="0" applyNumberFormat="1" applyFont="1" applyFill="1" applyBorder="1" applyAlignment="1">
      <alignment horizontal="center" vertical="center"/>
    </xf>
    <xf numFmtId="43" fontId="56" fillId="2" borderId="19" xfId="0" applyNumberFormat="1" applyFont="1" applyFill="1" applyBorder="1" applyAlignment="1">
      <alignment horizontal="center" vertical="center"/>
    </xf>
    <xf numFmtId="44" fontId="48" fillId="2" borderId="17" xfId="0" applyNumberFormat="1" applyFont="1" applyFill="1" applyBorder="1" applyAlignment="1">
      <alignment horizontal="center" vertical="center"/>
    </xf>
    <xf numFmtId="44" fontId="48" fillId="2" borderId="19" xfId="0" applyNumberFormat="1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17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5" fillId="2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2" fillId="2" borderId="0" xfId="3" applyFont="1" applyFill="1" applyBorder="1" applyAlignment="1">
      <alignment horizontal="center" vertical="center"/>
    </xf>
    <xf numFmtId="0" fontId="41" fillId="2" borderId="0" xfId="3" applyFont="1" applyFill="1" applyBorder="1" applyAlignment="1">
      <alignment horizontal="center" vertical="center"/>
    </xf>
    <xf numFmtId="164" fontId="11" fillId="2" borderId="0" xfId="1" applyNumberFormat="1" applyFont="1" applyFill="1" applyBorder="1" applyAlignment="1">
      <alignment horizontal="center" vertical="center"/>
    </xf>
    <xf numFmtId="164" fontId="10" fillId="2" borderId="0" xfId="1" applyNumberFormat="1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left" vertical="center"/>
    </xf>
    <xf numFmtId="0" fontId="48" fillId="2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right"/>
    </xf>
    <xf numFmtId="0" fontId="40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43" fontId="50" fillId="2" borderId="0" xfId="0" applyNumberFormat="1" applyFont="1" applyFill="1" applyBorder="1" applyAlignment="1">
      <alignment horizontal="center" vertical="center"/>
    </xf>
    <xf numFmtId="44" fontId="34" fillId="2" borderId="0" xfId="0" applyNumberFormat="1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horizontal="center" vertical="center"/>
    </xf>
    <xf numFmtId="43" fontId="58" fillId="2" borderId="0" xfId="0" applyNumberFormat="1" applyFont="1" applyFill="1" applyBorder="1" applyAlignment="1">
      <alignment horizontal="center" vertical="center"/>
    </xf>
    <xf numFmtId="44" fontId="48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43" fontId="58" fillId="2" borderId="0" xfId="1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5" fillId="2" borderId="0" xfId="3" applyFont="1" applyFill="1" applyAlignment="1">
      <alignment horizontal="left" vertical="center" wrapText="1"/>
    </xf>
    <xf numFmtId="168" fontId="41" fillId="2" borderId="0" xfId="1" applyNumberFormat="1" applyFont="1" applyFill="1" applyAlignment="1">
      <alignment horizontal="center"/>
    </xf>
    <xf numFmtId="0" fontId="35" fillId="2" borderId="0" xfId="3" applyFont="1" applyFill="1" applyAlignment="1">
      <alignment horizontal="right"/>
    </xf>
    <xf numFmtId="43" fontId="57" fillId="2" borderId="0" xfId="0" applyNumberFormat="1" applyFont="1" applyFill="1"/>
  </cellXfs>
  <cellStyles count="5">
    <cellStyle name="Comma" xfId="1" builtinId="3"/>
    <cellStyle name="Comma 2" xfId="4"/>
    <cellStyle name="Currency" xfId="2" builtinId="4"/>
    <cellStyle name="Normal" xfId="0" builtinId="0"/>
    <cellStyle name="Normal 2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8"/>
  <sheetViews>
    <sheetView view="pageBreakPreview" zoomScaleNormal="100" zoomScaleSheetLayoutView="100" workbookViewId="0">
      <selection activeCell="I67" sqref="I67"/>
    </sheetView>
  </sheetViews>
  <sheetFormatPr defaultColWidth="9.140625" defaultRowHeight="15"/>
  <cols>
    <col min="1" max="2" width="15.85546875" style="1" customWidth="1"/>
    <col min="3" max="3" width="17.855468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9.425781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69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329"/>
      <c r="J9" s="329"/>
      <c r="K9" s="329"/>
      <c r="L9" s="329"/>
      <c r="M9" s="32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1">
        <v>168</v>
      </c>
      <c r="E13" s="128" t="s">
        <v>4</v>
      </c>
      <c r="F13" s="381">
        <v>111</v>
      </c>
      <c r="G13" s="381"/>
      <c r="H13" s="128" t="s">
        <v>5</v>
      </c>
      <c r="J13" s="382">
        <v>45784.38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96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99</v>
      </c>
      <c r="C20" s="16" t="s">
        <v>8</v>
      </c>
      <c r="D20" s="17"/>
      <c r="E20" s="17"/>
      <c r="F20" s="17"/>
      <c r="G20" s="17"/>
      <c r="H20" s="16"/>
      <c r="I20" s="142">
        <v>25768</v>
      </c>
      <c r="J20" s="16"/>
      <c r="K20" s="30">
        <v>27190</v>
      </c>
      <c r="L20" s="16"/>
      <c r="M20" s="142">
        <f>I20</f>
        <v>25768</v>
      </c>
      <c r="N20" s="16"/>
      <c r="O20" s="17">
        <f>K20</f>
        <v>27190</v>
      </c>
      <c r="Q20" s="138">
        <f>M20+I20</f>
        <v>51536</v>
      </c>
      <c r="R20" s="57"/>
      <c r="S20" s="58">
        <f>O20+K20</f>
        <v>54380</v>
      </c>
    </row>
    <row r="21" spans="1:19" ht="22.15" customHeight="1">
      <c r="A21" s="14" t="s">
        <v>98</v>
      </c>
      <c r="B21" s="15" t="s">
        <v>100</v>
      </c>
      <c r="C21" s="16" t="s">
        <v>8</v>
      </c>
      <c r="D21" s="17"/>
      <c r="E21" s="17"/>
      <c r="F21" s="17"/>
      <c r="G21" s="17"/>
      <c r="H21" s="16"/>
      <c r="I21" s="142">
        <v>60216</v>
      </c>
      <c r="J21" s="16"/>
      <c r="K21" s="30">
        <v>53155.360000000001</v>
      </c>
      <c r="L21" s="20"/>
      <c r="M21" s="142">
        <f>I21</f>
        <v>60216</v>
      </c>
      <c r="N21" s="16"/>
      <c r="O21" s="17">
        <f>K21</f>
        <v>53155.360000000001</v>
      </c>
      <c r="Q21" s="139">
        <f>M21+I21</f>
        <v>120432</v>
      </c>
      <c r="S21" s="59">
        <f>O21+K21</f>
        <v>106310.72</v>
      </c>
    </row>
    <row r="22" spans="1:19" ht="22.15" customHeight="1">
      <c r="A22" s="14" t="s">
        <v>98</v>
      </c>
      <c r="B22" s="21" t="s">
        <v>101</v>
      </c>
      <c r="C22" s="16" t="s">
        <v>8</v>
      </c>
      <c r="D22" s="17"/>
      <c r="E22" s="17"/>
      <c r="F22" s="17"/>
      <c r="G22" s="17"/>
      <c r="H22" s="16"/>
      <c r="I22" s="142">
        <v>2080</v>
      </c>
      <c r="J22" s="16"/>
      <c r="K22" s="30">
        <v>155240</v>
      </c>
      <c r="L22" s="16"/>
      <c r="M22" s="142">
        <f>I22</f>
        <v>2080</v>
      </c>
      <c r="N22" s="16"/>
      <c r="O22" s="17">
        <f>K22</f>
        <v>155240</v>
      </c>
      <c r="Q22" s="139">
        <f>M22+I22</f>
        <v>4160</v>
      </c>
      <c r="S22" s="59">
        <f>O22+K22</f>
        <v>310480</v>
      </c>
    </row>
    <row r="23" spans="1:19" ht="22.15" customHeight="1">
      <c r="A23" s="14" t="s">
        <v>98</v>
      </c>
      <c r="B23" s="15" t="s">
        <v>103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7"/>
      <c r="N23" s="16"/>
      <c r="O23" s="17">
        <f t="shared" ref="O23:O26" si="0">K23</f>
        <v>0</v>
      </c>
      <c r="Q23" s="139"/>
      <c r="S23" s="59"/>
    </row>
    <row r="24" spans="1:19" ht="21.75" customHeight="1">
      <c r="A24" s="14" t="s">
        <v>98</v>
      </c>
      <c r="B24" s="15" t="s">
        <v>105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7"/>
      <c r="N24" s="16"/>
      <c r="O24" s="17">
        <f t="shared" si="0"/>
        <v>0</v>
      </c>
      <c r="Q24" s="139"/>
      <c r="S24" s="59"/>
    </row>
    <row r="25" spans="1:19" ht="22.15" customHeight="1">
      <c r="A25" s="14" t="s">
        <v>98</v>
      </c>
      <c r="B25" s="21" t="s">
        <v>104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7">
        <v>0</v>
      </c>
      <c r="N25" s="16"/>
      <c r="O25" s="17">
        <f t="shared" si="0"/>
        <v>0</v>
      </c>
      <c r="Q25" s="139">
        <f t="shared" ref="Q25:Q26" si="1">M25+I25</f>
        <v>0</v>
      </c>
      <c r="S25" s="59">
        <f t="shared" ref="S25:S26" si="2">O25+K25</f>
        <v>0</v>
      </c>
    </row>
    <row r="26" spans="1:19" ht="22.15" customHeight="1" thickBot="1">
      <c r="A26" s="50" t="s">
        <v>98</v>
      </c>
      <c r="B26" s="22" t="s">
        <v>108</v>
      </c>
      <c r="C26" s="42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7">
        <v>0</v>
      </c>
      <c r="N26" s="16"/>
      <c r="O26" s="17">
        <f t="shared" si="0"/>
        <v>0</v>
      </c>
      <c r="Q26" s="139">
        <f t="shared" si="1"/>
        <v>0</v>
      </c>
      <c r="S26" s="59">
        <f t="shared" si="2"/>
        <v>0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88064</v>
      </c>
      <c r="J27" s="107"/>
      <c r="K27" s="109">
        <f>SUM(K20:K26)</f>
        <v>235585.36</v>
      </c>
      <c r="L27" s="107"/>
      <c r="M27" s="109">
        <f>SUM(M20:M26)</f>
        <v>88064</v>
      </c>
      <c r="N27" s="107"/>
      <c r="O27" s="110">
        <f>SUM(O20:O26)</f>
        <v>235585.36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385" t="s">
        <v>115</v>
      </c>
      <c r="L29" s="385"/>
      <c r="M29" s="74"/>
      <c r="N29" s="385" t="str">
        <f>K29</f>
        <v>ថ្ងៃទី 15 ខែ មករា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113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មករា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28" t="str">
        <f t="shared" ref="B46:C48" si="3">A20</f>
        <v>LADIES</v>
      </c>
      <c r="C46" s="146" t="str">
        <f t="shared" si="3"/>
        <v>PAJAMAS</v>
      </c>
      <c r="D46" s="42" t="s">
        <v>8</v>
      </c>
      <c r="E46" s="150"/>
      <c r="F46" s="150"/>
      <c r="G46" s="31">
        <v>2719</v>
      </c>
      <c r="H46" s="17">
        <v>27190</v>
      </c>
      <c r="I46" s="31"/>
      <c r="J46" s="31"/>
      <c r="K46" s="31"/>
      <c r="L46" s="17"/>
      <c r="M46" s="31"/>
      <c r="N46" s="17"/>
      <c r="O46" s="44">
        <f>M20</f>
        <v>25768</v>
      </c>
      <c r="P46" s="44">
        <f>O20</f>
        <v>27190</v>
      </c>
    </row>
    <row r="47" spans="1:16" ht="25.15" customHeight="1">
      <c r="A47" s="27">
        <f>A46+1</f>
        <v>2</v>
      </c>
      <c r="B47" s="28" t="str">
        <f t="shared" si="3"/>
        <v>LADIES</v>
      </c>
      <c r="C47" s="146" t="str">
        <f t="shared" si="3"/>
        <v>PANTS</v>
      </c>
      <c r="D47" s="42" t="s">
        <v>8</v>
      </c>
      <c r="E47" s="150"/>
      <c r="F47" s="150"/>
      <c r="G47" s="31">
        <v>6536</v>
      </c>
      <c r="H47" s="17">
        <v>53155.360000000001</v>
      </c>
      <c r="I47" s="34"/>
      <c r="J47" s="34"/>
      <c r="K47" s="31"/>
      <c r="L47" s="17"/>
      <c r="M47" s="31"/>
      <c r="N47" s="17"/>
      <c r="O47" s="44">
        <f>M21</f>
        <v>60216</v>
      </c>
      <c r="P47" s="44">
        <f>O21</f>
        <v>53155.360000000001</v>
      </c>
    </row>
    <row r="48" spans="1:16" ht="25.15" customHeight="1">
      <c r="A48" s="27">
        <f t="shared" ref="A48:A52" si="4">A47+1</f>
        <v>3</v>
      </c>
      <c r="B48" s="28" t="str">
        <f t="shared" si="3"/>
        <v>LADIES</v>
      </c>
      <c r="C48" s="146" t="str">
        <f t="shared" si="3"/>
        <v>NIGHT GOWN</v>
      </c>
      <c r="D48" s="42" t="s">
        <v>8</v>
      </c>
      <c r="E48" s="150"/>
      <c r="F48" s="150"/>
      <c r="G48" s="31">
        <v>7762</v>
      </c>
      <c r="H48" s="17">
        <v>155240</v>
      </c>
      <c r="I48" s="31"/>
      <c r="J48" s="31"/>
      <c r="K48" s="31"/>
      <c r="L48" s="17"/>
      <c r="M48" s="31"/>
      <c r="N48" s="17"/>
      <c r="O48" s="44">
        <f>M22</f>
        <v>2080</v>
      </c>
      <c r="P48" s="44">
        <f>O22</f>
        <v>155240</v>
      </c>
    </row>
    <row r="49" spans="1:20" ht="25.15" customHeight="1">
      <c r="A49" s="27">
        <f t="shared" si="4"/>
        <v>4</v>
      </c>
      <c r="B49" s="28" t="str">
        <f t="shared" ref="B49:C49" si="5">A23</f>
        <v>LADIES</v>
      </c>
      <c r="C49" s="146" t="str">
        <f t="shared" si="5"/>
        <v>TANK</v>
      </c>
      <c r="D49" s="42" t="s">
        <v>8</v>
      </c>
      <c r="E49" s="31"/>
      <c r="F49" s="17"/>
      <c r="G49" s="31"/>
      <c r="H49" s="17"/>
      <c r="I49" s="34"/>
      <c r="J49" s="34"/>
      <c r="K49" s="31"/>
      <c r="L49" s="17"/>
      <c r="M49" s="31"/>
      <c r="N49" s="17"/>
      <c r="O49" s="44">
        <f t="shared" ref="O49:O52" si="6">M23</f>
        <v>0</v>
      </c>
      <c r="P49" s="44">
        <f t="shared" ref="P49:P52" si="7">O23</f>
        <v>0</v>
      </c>
    </row>
    <row r="50" spans="1:20" ht="25.15" customHeight="1">
      <c r="A50" s="27">
        <f t="shared" si="4"/>
        <v>5</v>
      </c>
      <c r="B50" s="28" t="str">
        <f t="shared" ref="B50:C50" si="8">A24</f>
        <v>LADIES</v>
      </c>
      <c r="C50" s="146" t="str">
        <f t="shared" si="8"/>
        <v>SKIRT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6"/>
        <v>0</v>
      </c>
      <c r="P50" s="44">
        <f t="shared" si="7"/>
        <v>0</v>
      </c>
    </row>
    <row r="51" spans="1:20" ht="25.15" customHeight="1">
      <c r="A51" s="27">
        <f t="shared" si="4"/>
        <v>6</v>
      </c>
      <c r="B51" s="28" t="str">
        <f t="shared" ref="B51:C51" si="9">A25</f>
        <v>LADIES</v>
      </c>
      <c r="C51" s="146" t="str">
        <f t="shared" si="9"/>
        <v>SHORT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6"/>
        <v>0</v>
      </c>
      <c r="P51" s="44">
        <f t="shared" si="7"/>
        <v>0</v>
      </c>
    </row>
    <row r="52" spans="1:20" ht="25.15" customHeight="1" thickBot="1">
      <c r="A52" s="27">
        <f t="shared" si="4"/>
        <v>7</v>
      </c>
      <c r="B52" s="28" t="str">
        <f t="shared" ref="B52:C52" si="10">A26</f>
        <v>LADIES</v>
      </c>
      <c r="C52" s="146" t="str">
        <f t="shared" si="10"/>
        <v>DRESS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6"/>
        <v>0</v>
      </c>
      <c r="P52" s="44">
        <f t="shared" si="7"/>
        <v>0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11">SUM(E46:E52)</f>
        <v>0</v>
      </c>
      <c r="F53" s="113">
        <f t="shared" si="11"/>
        <v>0</v>
      </c>
      <c r="G53" s="113">
        <f t="shared" si="11"/>
        <v>17017</v>
      </c>
      <c r="H53" s="113">
        <f t="shared" si="11"/>
        <v>235585.36</v>
      </c>
      <c r="I53" s="113">
        <f t="shared" si="11"/>
        <v>0</v>
      </c>
      <c r="J53" s="113">
        <f t="shared" si="11"/>
        <v>0</v>
      </c>
      <c r="K53" s="113">
        <f t="shared" si="11"/>
        <v>0</v>
      </c>
      <c r="L53" s="113">
        <f t="shared" si="11"/>
        <v>0</v>
      </c>
      <c r="M53" s="113">
        <f t="shared" si="11"/>
        <v>0</v>
      </c>
      <c r="N53" s="113">
        <f t="shared" si="11"/>
        <v>0</v>
      </c>
      <c r="O53" s="114">
        <f t="shared" si="11"/>
        <v>88064</v>
      </c>
      <c r="P53" s="115">
        <f t="shared" si="11"/>
        <v>235585.36</v>
      </c>
    </row>
    <row r="54" spans="1:20" ht="23.25">
      <c r="A54" s="94"/>
      <c r="B54" s="43"/>
      <c r="C54" s="43"/>
      <c r="D54" s="43"/>
      <c r="E54" s="98"/>
      <c r="F54" s="99"/>
      <c r="G54" s="98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មករា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12">E59+G59+I59+K59+M59</f>
        <v>0</v>
      </c>
      <c r="R59" s="19">
        <f t="shared" si="12"/>
        <v>0</v>
      </c>
      <c r="S59" s="130">
        <f t="shared" ref="S59:T61" si="13">Q59+O59</f>
        <v>0</v>
      </c>
      <c r="T59" s="131">
        <f t="shared" si="13"/>
        <v>0</v>
      </c>
    </row>
    <row r="60" spans="1:20" ht="31.15" customHeight="1">
      <c r="A60" s="32">
        <v>3</v>
      </c>
      <c r="B60" s="412" t="s">
        <v>33</v>
      </c>
      <c r="C60" s="413"/>
      <c r="D60" s="42" t="s">
        <v>111</v>
      </c>
      <c r="E60" s="34">
        <v>96774.799999999988</v>
      </c>
      <c r="F60" s="34">
        <v>160385.04</v>
      </c>
      <c r="G60" s="33"/>
      <c r="H60" s="33"/>
      <c r="I60" s="126"/>
      <c r="J60" s="34"/>
      <c r="K60" s="34"/>
      <c r="L60" s="34"/>
      <c r="M60" s="33"/>
      <c r="N60" s="33"/>
      <c r="O60" s="34">
        <f>E60</f>
        <v>96774.799999999988</v>
      </c>
      <c r="P60" s="34">
        <f>F60</f>
        <v>160385.04</v>
      </c>
      <c r="Q60" s="19">
        <f t="shared" si="12"/>
        <v>96774.799999999988</v>
      </c>
      <c r="R60" s="19">
        <f t="shared" si="12"/>
        <v>160385.04</v>
      </c>
      <c r="S60" s="132">
        <f t="shared" si="13"/>
        <v>193549.59999999998</v>
      </c>
      <c r="T60" s="133">
        <f t="shared" si="13"/>
        <v>320770.08</v>
      </c>
    </row>
    <row r="61" spans="1:20" ht="31.15" customHeight="1" thickBot="1">
      <c r="A61" s="104">
        <v>4</v>
      </c>
      <c r="B61" s="414" t="s">
        <v>34</v>
      </c>
      <c r="C61" s="414"/>
      <c r="D61" s="53" t="s">
        <v>112</v>
      </c>
      <c r="E61" s="127">
        <v>380</v>
      </c>
      <c r="F61" s="116">
        <v>380</v>
      </c>
      <c r="G61" s="116"/>
      <c r="H61" s="116"/>
      <c r="I61" s="116"/>
      <c r="J61" s="116"/>
      <c r="K61" s="117"/>
      <c r="L61" s="117"/>
      <c r="M61" s="116"/>
      <c r="N61" s="116"/>
      <c r="O61" s="34">
        <f>E61</f>
        <v>380</v>
      </c>
      <c r="P61" s="34">
        <f>F61</f>
        <v>380</v>
      </c>
      <c r="Q61" s="19">
        <f t="shared" si="12"/>
        <v>380</v>
      </c>
      <c r="R61" s="19">
        <f t="shared" si="12"/>
        <v>380</v>
      </c>
      <c r="S61" s="134">
        <f t="shared" si="13"/>
        <v>760</v>
      </c>
      <c r="T61" s="135">
        <f t="shared" si="13"/>
        <v>760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14">SUM(E59:E61)</f>
        <v>97154.799999999988</v>
      </c>
      <c r="F62" s="103">
        <f t="shared" si="14"/>
        <v>160765.04</v>
      </c>
      <c r="G62" s="103">
        <f t="shared" si="14"/>
        <v>0</v>
      </c>
      <c r="H62" s="103">
        <f t="shared" si="14"/>
        <v>0</v>
      </c>
      <c r="I62" s="103">
        <f t="shared" si="14"/>
        <v>0</v>
      </c>
      <c r="J62" s="103">
        <f t="shared" si="14"/>
        <v>0</v>
      </c>
      <c r="K62" s="103">
        <f t="shared" si="14"/>
        <v>0</v>
      </c>
      <c r="L62" s="103">
        <f t="shared" si="14"/>
        <v>0</v>
      </c>
      <c r="M62" s="103">
        <f t="shared" si="14"/>
        <v>0</v>
      </c>
      <c r="N62" s="103">
        <f t="shared" si="14"/>
        <v>0</v>
      </c>
      <c r="O62" s="103">
        <f t="shared" si="14"/>
        <v>97154.799999999988</v>
      </c>
      <c r="P62" s="103">
        <f t="shared" si="14"/>
        <v>160765.04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មករា ឆ្នាំ2026</v>
      </c>
      <c r="L64" s="386"/>
      <c r="M64" s="69"/>
      <c r="N64" s="386" t="str">
        <f>N29</f>
        <v>ថ្ងៃទី 15 ខែ មករា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CUNLAN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មករា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</f>
        <v>11368</v>
      </c>
      <c r="L78" s="436"/>
      <c r="M78" s="435">
        <f>J78</f>
        <v>1557.4160000000002</v>
      </c>
      <c r="N78" s="436"/>
      <c r="O78" s="437"/>
      <c r="P78" s="438"/>
      <c r="Q78" s="92">
        <f>K78+I78</f>
        <v>22736</v>
      </c>
      <c r="R78" s="93">
        <f>M78+J78</f>
        <v>3114.8320000000003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11368</v>
      </c>
      <c r="L79" s="444"/>
      <c r="M79" s="445">
        <f>SUM(M78)</f>
        <v>1557.4160000000002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មករា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</f>
        <v>83</v>
      </c>
      <c r="L84" s="436"/>
      <c r="M84" s="435">
        <f>J84</f>
        <v>45.650000000000006</v>
      </c>
      <c r="N84" s="436"/>
      <c r="O84" s="437"/>
      <c r="P84" s="438"/>
      <c r="Q84" s="92">
        <f>K84+I84</f>
        <v>166</v>
      </c>
      <c r="R84" s="93">
        <f>M84+J84</f>
        <v>91.300000000000011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83</v>
      </c>
      <c r="L85" s="444"/>
      <c r="M85" s="445">
        <f>SUM(M84)</f>
        <v>45.650000000000006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មករា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មករា ឆ្នាំ2026</v>
      </c>
      <c r="L94" s="386"/>
      <c r="M94" s="80"/>
      <c r="N94" s="460" t="str">
        <f>N29</f>
        <v>ថ្ងៃទី 15 ខែ មករា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CUNLAN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510">
        <f>K145</f>
        <v>0</v>
      </c>
      <c r="L228" s="510"/>
      <c r="M228" s="13"/>
      <c r="N228" s="510">
        <f>N188</f>
        <v>0</v>
      </c>
      <c r="O228" s="510"/>
      <c r="P228" s="13"/>
    </row>
  </sheetData>
  <mergeCells count="297">
    <mergeCell ref="G7:J7"/>
    <mergeCell ref="K228:L228"/>
    <mergeCell ref="N228:O228"/>
    <mergeCell ref="K212:L212"/>
    <mergeCell ref="N212:O212"/>
    <mergeCell ref="K213:L213"/>
    <mergeCell ref="N213:O213"/>
    <mergeCell ref="K214:L214"/>
    <mergeCell ref="N214:O214"/>
    <mergeCell ref="K211:L211"/>
    <mergeCell ref="N211:O211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B202:D202"/>
    <mergeCell ref="E202:F202"/>
    <mergeCell ref="K202:L202"/>
    <mergeCell ref="M202:N202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O202:P202"/>
    <mergeCell ref="A199:A200"/>
    <mergeCell ref="B199:D200"/>
    <mergeCell ref="E199:F200"/>
    <mergeCell ref="G199:H199"/>
    <mergeCell ref="I199:J199"/>
    <mergeCell ref="K199:N199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B196:D196"/>
    <mergeCell ref="E196:F196"/>
    <mergeCell ref="K196:L196"/>
    <mergeCell ref="M196:N196"/>
    <mergeCell ref="O196:P196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K176:L176"/>
    <mergeCell ref="N176:O176"/>
    <mergeCell ref="K177:L177"/>
    <mergeCell ref="N177:O177"/>
    <mergeCell ref="K188:L188"/>
    <mergeCell ref="N188:O188"/>
    <mergeCell ref="B162:C162"/>
    <mergeCell ref="A164:I164"/>
    <mergeCell ref="E166:F166"/>
    <mergeCell ref="G166:H166"/>
    <mergeCell ref="B170:C170"/>
    <mergeCell ref="B172:C172"/>
    <mergeCell ref="K174:L174"/>
    <mergeCell ref="N174:O174"/>
    <mergeCell ref="K175:L175"/>
    <mergeCell ref="N175:O175"/>
    <mergeCell ref="I166:J166"/>
    <mergeCell ref="K166:L166"/>
    <mergeCell ref="M166:N166"/>
    <mergeCell ref="B168:C168"/>
    <mergeCell ref="B169:C169"/>
    <mergeCell ref="B171:C171"/>
    <mergeCell ref="A165:A167"/>
    <mergeCell ref="B165:C167"/>
    <mergeCell ref="D165:D167"/>
    <mergeCell ref="E165:N165"/>
    <mergeCell ref="O165:P166"/>
    <mergeCell ref="K135:L135"/>
    <mergeCell ref="N135:O135"/>
    <mergeCell ref="K136:L136"/>
    <mergeCell ref="N136:O136"/>
    <mergeCell ref="B148:I148"/>
    <mergeCell ref="A149:I149"/>
    <mergeCell ref="G151:H151"/>
    <mergeCell ref="I151:J151"/>
    <mergeCell ref="K137:L137"/>
    <mergeCell ref="K151:L151"/>
    <mergeCell ref="A150:A152"/>
    <mergeCell ref="B150:C152"/>
    <mergeCell ref="D150:D152"/>
    <mergeCell ref="M151:N151"/>
    <mergeCell ref="O150:P151"/>
    <mergeCell ref="E151:F151"/>
    <mergeCell ref="E150:N150"/>
    <mergeCell ref="B110:O110"/>
    <mergeCell ref="G112:I112"/>
    <mergeCell ref="A120:B123"/>
    <mergeCell ref="C120:C123"/>
    <mergeCell ref="D120:O120"/>
    <mergeCell ref="D121:G121"/>
    <mergeCell ref="H121:K121"/>
    <mergeCell ref="L121:O121"/>
    <mergeCell ref="D122:E122"/>
    <mergeCell ref="G111:H111"/>
    <mergeCell ref="J119:K119"/>
    <mergeCell ref="D119:E119"/>
    <mergeCell ref="F122:G122"/>
    <mergeCell ref="H122:I122"/>
    <mergeCell ref="J122:K122"/>
    <mergeCell ref="L122:M122"/>
    <mergeCell ref="N122:O122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K94:L94"/>
    <mergeCell ref="N94:O94"/>
    <mergeCell ref="B90:C90"/>
    <mergeCell ref="E90:F90"/>
    <mergeCell ref="G90:J90"/>
    <mergeCell ref="K89:N89"/>
    <mergeCell ref="O90:P90"/>
    <mergeCell ref="B91:C91"/>
    <mergeCell ref="E91:F91"/>
    <mergeCell ref="G91:J91"/>
    <mergeCell ref="K91:N91"/>
    <mergeCell ref="O91:P91"/>
    <mergeCell ref="B92:C92"/>
    <mergeCell ref="E92:F92"/>
    <mergeCell ref="G92:J92"/>
    <mergeCell ref="K92:N92"/>
    <mergeCell ref="O92:P92"/>
    <mergeCell ref="B88:C88"/>
    <mergeCell ref="E88:F88"/>
    <mergeCell ref="G88:J88"/>
    <mergeCell ref="K88:N88"/>
    <mergeCell ref="O88:P88"/>
    <mergeCell ref="B89:C89"/>
    <mergeCell ref="E89:F89"/>
    <mergeCell ref="G89:J89"/>
    <mergeCell ref="O89:P89"/>
    <mergeCell ref="A82:A83"/>
    <mergeCell ref="B82:D83"/>
    <mergeCell ref="E82:F83"/>
    <mergeCell ref="G82:H82"/>
    <mergeCell ref="I82:J82"/>
    <mergeCell ref="K82:N82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B85:D85"/>
    <mergeCell ref="E85:F85"/>
    <mergeCell ref="K85:L85"/>
    <mergeCell ref="M85:N85"/>
    <mergeCell ref="O85:P85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B79:D79"/>
    <mergeCell ref="E79:F79"/>
    <mergeCell ref="K79:L79"/>
    <mergeCell ref="M79:N79"/>
    <mergeCell ref="A76:A77"/>
    <mergeCell ref="B76:D77"/>
    <mergeCell ref="E76:F77"/>
    <mergeCell ref="G76:H76"/>
    <mergeCell ref="I76:J76"/>
    <mergeCell ref="K76:N76"/>
    <mergeCell ref="K67:L67"/>
    <mergeCell ref="N67:O67"/>
    <mergeCell ref="K73:L73"/>
    <mergeCell ref="N73:O73"/>
    <mergeCell ref="B74:K74"/>
    <mergeCell ref="B75:I75"/>
    <mergeCell ref="K65:L65"/>
    <mergeCell ref="N65:O65"/>
    <mergeCell ref="K66:L66"/>
    <mergeCell ref="N66:O66"/>
    <mergeCell ref="K57:L57"/>
    <mergeCell ref="M57:N57"/>
    <mergeCell ref="B59:C59"/>
    <mergeCell ref="B60:C60"/>
    <mergeCell ref="B61:C61"/>
    <mergeCell ref="O56:P57"/>
    <mergeCell ref="E57:F57"/>
    <mergeCell ref="G57:H57"/>
    <mergeCell ref="I57:J57"/>
    <mergeCell ref="A56:A58"/>
    <mergeCell ref="B56:C58"/>
    <mergeCell ref="D56:D58"/>
    <mergeCell ref="E56:N56"/>
    <mergeCell ref="B53:C53"/>
    <mergeCell ref="A55:I55"/>
    <mergeCell ref="B62:C62"/>
    <mergeCell ref="K64:L64"/>
    <mergeCell ref="N64:O64"/>
    <mergeCell ref="A36:G36"/>
    <mergeCell ref="K40:L40"/>
    <mergeCell ref="N40:O40"/>
    <mergeCell ref="B41:I41"/>
    <mergeCell ref="A42:I42"/>
    <mergeCell ref="E44:F44"/>
    <mergeCell ref="G44:H44"/>
    <mergeCell ref="A43:A45"/>
    <mergeCell ref="B43:C45"/>
    <mergeCell ref="D43:D45"/>
    <mergeCell ref="E43:N43"/>
    <mergeCell ref="O43:P44"/>
    <mergeCell ref="I44:J44"/>
    <mergeCell ref="K44:L44"/>
    <mergeCell ref="M44:N44"/>
    <mergeCell ref="D15:E15"/>
    <mergeCell ref="F13:G13"/>
    <mergeCell ref="J13:K13"/>
    <mergeCell ref="K30:L30"/>
    <mergeCell ref="N30:O30"/>
    <mergeCell ref="K31:L31"/>
    <mergeCell ref="N31:O31"/>
    <mergeCell ref="A33:I33"/>
    <mergeCell ref="K33:L33"/>
    <mergeCell ref="N33:O33"/>
    <mergeCell ref="J18:K18"/>
    <mergeCell ref="L18:M18"/>
    <mergeCell ref="N18:O18"/>
    <mergeCell ref="A27:B27"/>
    <mergeCell ref="A28:I28"/>
    <mergeCell ref="A29:I29"/>
    <mergeCell ref="K29:L29"/>
    <mergeCell ref="N29:O29"/>
    <mergeCell ref="A133:B133"/>
    <mergeCell ref="N137:O137"/>
    <mergeCell ref="K138:L138"/>
    <mergeCell ref="N138:O138"/>
    <mergeCell ref="K145:L145"/>
    <mergeCell ref="N145:O145"/>
    <mergeCell ref="A134:I134"/>
    <mergeCell ref="A135:I135"/>
    <mergeCell ref="B1:O1"/>
    <mergeCell ref="B2:O2"/>
    <mergeCell ref="G3:J3"/>
    <mergeCell ref="B4:O4"/>
    <mergeCell ref="B5:O5"/>
    <mergeCell ref="A16:B19"/>
    <mergeCell ref="C16:C19"/>
    <mergeCell ref="D16:O16"/>
    <mergeCell ref="D17:G17"/>
    <mergeCell ref="H17:K17"/>
    <mergeCell ref="L17:O17"/>
    <mergeCell ref="D18:E18"/>
    <mergeCell ref="F18:G18"/>
    <mergeCell ref="H18:I18"/>
    <mergeCell ref="G6:H6"/>
    <mergeCell ref="J15:K15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"/>
  <sheetViews>
    <sheetView view="pageBreakPreview" topLeftCell="A21" zoomScale="85" zoomScaleNormal="100" zoomScaleSheetLayoutView="85" workbookViewId="0">
      <selection activeCell="K33" sqref="K33:L33"/>
    </sheetView>
  </sheetViews>
  <sheetFormatPr defaultColWidth="9.140625" defaultRowHeight="15"/>
  <cols>
    <col min="1" max="2" width="15.85546875" style="1" customWidth="1"/>
    <col min="3" max="3" width="18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9.425781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102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1">
        <v>175</v>
      </c>
      <c r="E13" s="128" t="s">
        <v>4</v>
      </c>
      <c r="F13" s="381">
        <v>117</v>
      </c>
      <c r="G13" s="381"/>
      <c r="H13" s="128" t="s">
        <v>5</v>
      </c>
      <c r="J13" s="382">
        <v>58602.51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96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22549</v>
      </c>
      <c r="J20" s="16"/>
      <c r="K20" s="17">
        <f>ROUND(I20*2.03594837908555,2)</f>
        <v>45908.6</v>
      </c>
      <c r="L20" s="16"/>
      <c r="M20" s="142">
        <f>I20+'1-JAN'!M21</f>
        <v>82765</v>
      </c>
      <c r="N20" s="16"/>
      <c r="O20" s="17">
        <f>'2-FEB'!K20+'1-JAN'!O21</f>
        <v>99063.959999999992</v>
      </c>
      <c r="Q20" s="138">
        <f>M20+I20</f>
        <v>105314</v>
      </c>
      <c r="R20" s="57"/>
      <c r="S20" s="58">
        <f t="shared" ref="S20:S26" si="0">O20+K20</f>
        <v>144972.56</v>
      </c>
    </row>
    <row r="21" spans="1:19" ht="22.15" customHeight="1">
      <c r="A21" s="14" t="s">
        <v>98</v>
      </c>
      <c r="B21" s="15" t="s">
        <v>103</v>
      </c>
      <c r="C21" s="16" t="s">
        <v>8</v>
      </c>
      <c r="D21" s="17"/>
      <c r="E21" s="17"/>
      <c r="F21" s="17"/>
      <c r="G21" s="17"/>
      <c r="H21" s="16"/>
      <c r="I21" s="143">
        <v>3396</v>
      </c>
      <c r="J21" s="16"/>
      <c r="K21" s="17">
        <f>ROUND(I21*0.669257950530035,2)</f>
        <v>2272.8000000000002</v>
      </c>
      <c r="L21" s="20"/>
      <c r="M21" s="142">
        <f>I21</f>
        <v>3396</v>
      </c>
      <c r="N21" s="16"/>
      <c r="O21" s="17">
        <f>K21</f>
        <v>2272.8000000000002</v>
      </c>
      <c r="Q21" s="139">
        <f t="shared" ref="Q21:Q26" si="1">M21+I21</f>
        <v>6792</v>
      </c>
      <c r="S21" s="59">
        <f t="shared" si="0"/>
        <v>4545.6000000000004</v>
      </c>
    </row>
    <row r="22" spans="1:19" ht="22.15" customHeight="1">
      <c r="A22" s="14" t="s">
        <v>98</v>
      </c>
      <c r="B22" s="15" t="s">
        <v>105</v>
      </c>
      <c r="C22" s="16" t="s">
        <v>8</v>
      </c>
      <c r="D22" s="17"/>
      <c r="E22" s="17"/>
      <c r="F22" s="17"/>
      <c r="G22" s="17"/>
      <c r="H22" s="16"/>
      <c r="I22" s="143">
        <v>1635</v>
      </c>
      <c r="J22" s="16"/>
      <c r="K22" s="17">
        <f>ROUND(I22*1.5,2)</f>
        <v>2452.5</v>
      </c>
      <c r="L22" s="20"/>
      <c r="M22" s="142">
        <f t="shared" ref="M22:M23" si="2">I22</f>
        <v>1635</v>
      </c>
      <c r="N22" s="16"/>
      <c r="O22" s="17">
        <f t="shared" ref="O22:O23" si="3">K22</f>
        <v>2452.5</v>
      </c>
      <c r="Q22" s="139"/>
      <c r="S22" s="59"/>
    </row>
    <row r="23" spans="1:19" ht="22.15" customHeight="1">
      <c r="A23" s="14" t="s">
        <v>98</v>
      </c>
      <c r="B23" s="21" t="s">
        <v>104</v>
      </c>
      <c r="C23" s="16" t="s">
        <v>8</v>
      </c>
      <c r="D23" s="17"/>
      <c r="E23" s="17"/>
      <c r="F23" s="17"/>
      <c r="G23" s="17"/>
      <c r="H23" s="16"/>
      <c r="I23" s="143">
        <v>1848</v>
      </c>
      <c r="J23" s="16"/>
      <c r="K23" s="17">
        <f>ROUND(I23*1.41,2)</f>
        <v>2605.6799999999998</v>
      </c>
      <c r="L23" s="16"/>
      <c r="M23" s="142">
        <f t="shared" si="2"/>
        <v>1848</v>
      </c>
      <c r="N23" s="16"/>
      <c r="O23" s="17">
        <f t="shared" si="3"/>
        <v>2605.6799999999998</v>
      </c>
      <c r="Q23" s="139">
        <f t="shared" si="1"/>
        <v>3696</v>
      </c>
      <c r="S23" s="59">
        <f t="shared" si="0"/>
        <v>5211.3599999999997</v>
      </c>
    </row>
    <row r="24" spans="1:19" ht="22.15" customHeight="1">
      <c r="A24" s="14" t="s">
        <v>98</v>
      </c>
      <c r="B24" s="21" t="s">
        <v>99</v>
      </c>
      <c r="C24" s="16" t="s">
        <v>8</v>
      </c>
      <c r="D24" s="17"/>
      <c r="E24" s="17"/>
      <c r="F24" s="17"/>
      <c r="G24" s="17"/>
      <c r="H24" s="16"/>
      <c r="I24" s="143">
        <v>4026</v>
      </c>
      <c r="J24" s="16"/>
      <c r="K24" s="17">
        <f>ROUND(I24*2.04,2)</f>
        <v>8213.0400000000009</v>
      </c>
      <c r="L24" s="16"/>
      <c r="M24" s="17">
        <f>'1-JAN'!M20</f>
        <v>25768</v>
      </c>
      <c r="N24" s="16"/>
      <c r="O24" s="17">
        <f>K24+'1-JAN'!O22</f>
        <v>163453.04</v>
      </c>
      <c r="Q24" s="139"/>
      <c r="S24" s="59"/>
    </row>
    <row r="25" spans="1:19" ht="21.75" customHeight="1">
      <c r="A25" s="14" t="s">
        <v>98</v>
      </c>
      <c r="B25" s="21" t="s">
        <v>101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7">
        <f>'1-JAN'!M22</f>
        <v>2080</v>
      </c>
      <c r="N25" s="16"/>
      <c r="O25" s="17">
        <f>'1-JAN'!O22</f>
        <v>155240</v>
      </c>
      <c r="Q25" s="139"/>
      <c r="S25" s="59"/>
    </row>
    <row r="26" spans="1:19" ht="22.15" customHeight="1" thickBot="1">
      <c r="A26" s="50" t="s">
        <v>98</v>
      </c>
      <c r="B26" s="21" t="s">
        <v>108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7">
        <v>0</v>
      </c>
      <c r="N26" s="16"/>
      <c r="O26" s="17">
        <v>0</v>
      </c>
      <c r="Q26" s="139">
        <f t="shared" si="1"/>
        <v>0</v>
      </c>
      <c r="S26" s="59">
        <f t="shared" si="0"/>
        <v>0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33454</v>
      </c>
      <c r="J27" s="107"/>
      <c r="K27" s="109">
        <f>SUM(K20:K26)</f>
        <v>61452.62</v>
      </c>
      <c r="L27" s="107"/>
      <c r="M27" s="109">
        <f>SUM(M20:M26)</f>
        <v>117492</v>
      </c>
      <c r="N27" s="107"/>
      <c r="O27" s="110">
        <f>SUM(O20:O26)</f>
        <v>425087.98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385" t="s">
        <v>116</v>
      </c>
      <c r="L29" s="385"/>
      <c r="M29" s="74"/>
      <c r="N29" s="385" t="str">
        <f>K29</f>
        <v>ថ្ងៃទី 15 ខែ កុម្ភៈ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113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កុម្ភៈ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28" t="str">
        <f t="shared" ref="B46:C52" si="4">A20</f>
        <v>LADIES</v>
      </c>
      <c r="C46" s="146" t="str">
        <f t="shared" si="4"/>
        <v>PANTS</v>
      </c>
      <c r="D46" s="42" t="s">
        <v>8</v>
      </c>
      <c r="E46" s="148">
        <v>17949</v>
      </c>
      <c r="F46" s="148">
        <v>36321.4</v>
      </c>
      <c r="G46" s="144">
        <v>4600</v>
      </c>
      <c r="H46" s="17">
        <v>9587.2000000000007</v>
      </c>
      <c r="I46" s="31"/>
      <c r="J46" s="31"/>
      <c r="K46" s="31"/>
      <c r="L46" s="17"/>
      <c r="M46" s="31"/>
      <c r="N46" s="17"/>
      <c r="O46" s="44">
        <f t="shared" ref="O46:O52" si="5">M20</f>
        <v>82765</v>
      </c>
      <c r="P46" s="44">
        <f t="shared" ref="P46:P52" si="6">O20</f>
        <v>99063.959999999992</v>
      </c>
    </row>
    <row r="47" spans="1:16" ht="25.15" customHeight="1">
      <c r="A47" s="27">
        <f>A46+1</f>
        <v>2</v>
      </c>
      <c r="B47" s="28" t="str">
        <f t="shared" si="4"/>
        <v>LADIES</v>
      </c>
      <c r="C47" s="146" t="str">
        <f t="shared" si="4"/>
        <v>TANK</v>
      </c>
      <c r="D47" s="42" t="s">
        <v>8</v>
      </c>
      <c r="E47" s="148">
        <v>2196</v>
      </c>
      <c r="F47" s="148">
        <v>1317.6</v>
      </c>
      <c r="G47" s="144">
        <v>1200</v>
      </c>
      <c r="H47" s="17">
        <v>955.2</v>
      </c>
      <c r="I47" s="34"/>
      <c r="J47" s="34"/>
      <c r="K47" s="31"/>
      <c r="L47" s="17"/>
      <c r="M47" s="31"/>
      <c r="N47" s="17"/>
      <c r="O47" s="44">
        <f t="shared" si="5"/>
        <v>3396</v>
      </c>
      <c r="P47" s="44">
        <f t="shared" si="6"/>
        <v>2272.8000000000002</v>
      </c>
    </row>
    <row r="48" spans="1:16" ht="25.15" customHeight="1">
      <c r="A48" s="27">
        <f>A47+1</f>
        <v>3</v>
      </c>
      <c r="B48" s="28" t="str">
        <f t="shared" si="4"/>
        <v>LADIES</v>
      </c>
      <c r="C48" s="146" t="str">
        <f t="shared" si="4"/>
        <v>SKIRT</v>
      </c>
      <c r="D48" s="42" t="s">
        <v>8</v>
      </c>
      <c r="E48" s="148">
        <v>1635</v>
      </c>
      <c r="F48" s="148">
        <v>2452.5</v>
      </c>
      <c r="G48" s="144"/>
      <c r="H48" s="17"/>
      <c r="I48" s="34"/>
      <c r="J48" s="34"/>
      <c r="K48" s="31"/>
      <c r="L48" s="17"/>
      <c r="M48" s="31"/>
      <c r="N48" s="17"/>
      <c r="O48" s="44">
        <f t="shared" si="5"/>
        <v>1635</v>
      </c>
      <c r="P48" s="44">
        <f t="shared" si="6"/>
        <v>2452.5</v>
      </c>
    </row>
    <row r="49" spans="1:20" ht="25.15" customHeight="1">
      <c r="A49" s="27">
        <f t="shared" ref="A49:A52" si="7">A48+1</f>
        <v>4</v>
      </c>
      <c r="B49" s="28" t="str">
        <f t="shared" si="4"/>
        <v>LADIES</v>
      </c>
      <c r="C49" s="146" t="str">
        <f t="shared" si="4"/>
        <v>SHORT</v>
      </c>
      <c r="D49" s="42" t="s">
        <v>8</v>
      </c>
      <c r="E49" s="148">
        <v>1848</v>
      </c>
      <c r="F49" s="148">
        <v>2605.48</v>
      </c>
      <c r="G49" s="144"/>
      <c r="H49" s="17"/>
      <c r="I49" s="31"/>
      <c r="J49" s="31"/>
      <c r="K49" s="31"/>
      <c r="L49" s="17"/>
      <c r="M49" s="31"/>
      <c r="N49" s="17"/>
      <c r="O49" s="44">
        <f t="shared" si="5"/>
        <v>1848</v>
      </c>
      <c r="P49" s="44">
        <f t="shared" si="6"/>
        <v>2605.6799999999998</v>
      </c>
    </row>
    <row r="50" spans="1:20" ht="25.15" customHeight="1">
      <c r="A50" s="27">
        <f t="shared" si="7"/>
        <v>5</v>
      </c>
      <c r="B50" s="28" t="str">
        <f t="shared" si="4"/>
        <v>LADIES</v>
      </c>
      <c r="C50" s="146" t="str">
        <f t="shared" si="4"/>
        <v>PAJAMAS</v>
      </c>
      <c r="D50" s="42" t="s">
        <v>8</v>
      </c>
      <c r="E50" s="144">
        <v>4026</v>
      </c>
      <c r="F50" s="17">
        <v>8213.0400000000009</v>
      </c>
      <c r="G50" s="144"/>
      <c r="H50" s="17"/>
      <c r="I50" s="34"/>
      <c r="J50" s="34"/>
      <c r="K50" s="31"/>
      <c r="L50" s="17"/>
      <c r="M50" s="31"/>
      <c r="N50" s="17"/>
      <c r="O50" s="44">
        <f t="shared" si="5"/>
        <v>25768</v>
      </c>
      <c r="P50" s="44">
        <f t="shared" si="6"/>
        <v>163453.04</v>
      </c>
    </row>
    <row r="51" spans="1:20" ht="25.15" customHeight="1">
      <c r="A51" s="27">
        <f t="shared" si="7"/>
        <v>6</v>
      </c>
      <c r="B51" s="28" t="str">
        <f t="shared" si="4"/>
        <v>LADIES</v>
      </c>
      <c r="C51" s="146" t="str">
        <f t="shared" si="4"/>
        <v>NIGHT GOWN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5"/>
        <v>2080</v>
      </c>
      <c r="P51" s="44">
        <f t="shared" si="6"/>
        <v>155240</v>
      </c>
    </row>
    <row r="52" spans="1:20" ht="25.15" customHeight="1" thickBot="1">
      <c r="A52" s="27">
        <f t="shared" si="7"/>
        <v>7</v>
      </c>
      <c r="B52" s="28" t="str">
        <f t="shared" si="4"/>
        <v>LADIES</v>
      </c>
      <c r="C52" s="146" t="str">
        <f t="shared" si="4"/>
        <v>DRESS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5"/>
        <v>0</v>
      </c>
      <c r="P52" s="44">
        <f t="shared" si="6"/>
        <v>0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8">SUM(E46:E52)</f>
        <v>27654</v>
      </c>
      <c r="F53" s="113">
        <f t="shared" si="8"/>
        <v>50910.020000000004</v>
      </c>
      <c r="G53" s="113">
        <f t="shared" si="8"/>
        <v>5800</v>
      </c>
      <c r="H53" s="113">
        <f t="shared" si="8"/>
        <v>10542.400000000001</v>
      </c>
      <c r="I53" s="113">
        <f t="shared" si="8"/>
        <v>0</v>
      </c>
      <c r="J53" s="113">
        <f t="shared" si="8"/>
        <v>0</v>
      </c>
      <c r="K53" s="113">
        <f t="shared" si="8"/>
        <v>0</v>
      </c>
      <c r="L53" s="113">
        <f t="shared" si="8"/>
        <v>0</v>
      </c>
      <c r="M53" s="113">
        <f t="shared" si="8"/>
        <v>0</v>
      </c>
      <c r="N53" s="113">
        <f t="shared" si="8"/>
        <v>0</v>
      </c>
      <c r="O53" s="114">
        <f t="shared" si="8"/>
        <v>117492</v>
      </c>
      <c r="P53" s="115">
        <f t="shared" si="8"/>
        <v>425087.98</v>
      </c>
    </row>
    <row r="54" spans="1:20" ht="23.25">
      <c r="A54" s="94"/>
      <c r="B54" s="43"/>
      <c r="C54" s="43"/>
      <c r="D54" s="43"/>
      <c r="E54" s="98"/>
      <c r="F54" s="99"/>
      <c r="G54" s="98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កុម្ភៈ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9">E59+G59+I59+K59+M59</f>
        <v>0</v>
      </c>
      <c r="R59" s="19">
        <f t="shared" si="9"/>
        <v>0</v>
      </c>
      <c r="S59" s="130">
        <f t="shared" ref="S59:T61" si="10">Q59+O59</f>
        <v>0</v>
      </c>
      <c r="T59" s="131">
        <f t="shared" si="10"/>
        <v>0</v>
      </c>
    </row>
    <row r="60" spans="1:20" ht="31.15" customHeight="1">
      <c r="A60" s="32">
        <v>3</v>
      </c>
      <c r="B60" s="412" t="s">
        <v>33</v>
      </c>
      <c r="C60" s="413"/>
      <c r="D60" s="42"/>
      <c r="E60" s="34">
        <v>81187.700000000012</v>
      </c>
      <c r="F60" s="34">
        <v>81187.700000000012</v>
      </c>
      <c r="G60" s="33"/>
      <c r="H60" s="33"/>
      <c r="I60" s="126"/>
      <c r="J60" s="34"/>
      <c r="K60" s="34"/>
      <c r="L60" s="34"/>
      <c r="M60" s="33"/>
      <c r="N60" s="33"/>
      <c r="O60" s="34">
        <f>E60+'1-JAN'!O60</f>
        <v>177962.5</v>
      </c>
      <c r="P60" s="34">
        <f>'1-JAN'!P60</f>
        <v>160385.04</v>
      </c>
      <c r="Q60" s="19">
        <f t="shared" si="9"/>
        <v>81187.700000000012</v>
      </c>
      <c r="R60" s="19">
        <f t="shared" si="9"/>
        <v>81187.700000000012</v>
      </c>
      <c r="S60" s="132">
        <f t="shared" si="10"/>
        <v>259150.2</v>
      </c>
      <c r="T60" s="133">
        <f t="shared" si="10"/>
        <v>241572.74000000002</v>
      </c>
    </row>
    <row r="61" spans="1:20" ht="31.15" customHeight="1" thickBot="1">
      <c r="A61" s="104">
        <v>4</v>
      </c>
      <c r="B61" s="414" t="s">
        <v>34</v>
      </c>
      <c r="C61" s="414"/>
      <c r="D61" s="53"/>
      <c r="E61" s="127"/>
      <c r="F61" s="116"/>
      <c r="G61" s="116"/>
      <c r="H61" s="116"/>
      <c r="I61" s="116"/>
      <c r="J61" s="116"/>
      <c r="K61" s="117"/>
      <c r="L61" s="117"/>
      <c r="M61" s="116"/>
      <c r="N61" s="116"/>
      <c r="O61" s="106">
        <f>'1-JAN'!O61</f>
        <v>380</v>
      </c>
      <c r="P61" s="106">
        <f>'1-JAN'!P61</f>
        <v>380</v>
      </c>
      <c r="Q61" s="19">
        <f t="shared" si="9"/>
        <v>0</v>
      </c>
      <c r="R61" s="19">
        <f t="shared" si="9"/>
        <v>0</v>
      </c>
      <c r="S61" s="134">
        <f t="shared" si="10"/>
        <v>380</v>
      </c>
      <c r="T61" s="135">
        <f t="shared" si="10"/>
        <v>380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11">SUM(E59:E61)</f>
        <v>81187.700000000012</v>
      </c>
      <c r="F62" s="103">
        <f t="shared" si="11"/>
        <v>81187.700000000012</v>
      </c>
      <c r="G62" s="103">
        <f t="shared" si="11"/>
        <v>0</v>
      </c>
      <c r="H62" s="103">
        <f t="shared" si="11"/>
        <v>0</v>
      </c>
      <c r="I62" s="103">
        <f t="shared" si="11"/>
        <v>0</v>
      </c>
      <c r="J62" s="103">
        <f t="shared" si="11"/>
        <v>0</v>
      </c>
      <c r="K62" s="103">
        <f t="shared" si="11"/>
        <v>0</v>
      </c>
      <c r="L62" s="103">
        <f t="shared" si="11"/>
        <v>0</v>
      </c>
      <c r="M62" s="103">
        <f t="shared" si="11"/>
        <v>0</v>
      </c>
      <c r="N62" s="103">
        <f t="shared" si="11"/>
        <v>0</v>
      </c>
      <c r="O62" s="103">
        <f t="shared" si="11"/>
        <v>178342.5</v>
      </c>
      <c r="P62" s="103">
        <f t="shared" si="11"/>
        <v>160765.04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កុម្ភៈ ឆ្នាំ2026</v>
      </c>
      <c r="L64" s="386"/>
      <c r="M64" s="69"/>
      <c r="N64" s="386" t="str">
        <f>N29</f>
        <v>ថ្ងៃទី 15 ខែ កុម្ភៈ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CUNLAN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កុម្ភៈ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I78+'1-JAN'!K78:L78</f>
        <v>22736</v>
      </c>
      <c r="L78" s="436"/>
      <c r="M78" s="435">
        <f>J78+'1-JAN'!M78:N78</f>
        <v>3114.8320000000003</v>
      </c>
      <c r="N78" s="436"/>
      <c r="O78" s="437"/>
      <c r="P78" s="438"/>
      <c r="Q78" s="92">
        <f>K78+I78</f>
        <v>34104</v>
      </c>
      <c r="R78" s="93">
        <f>M78+J78</f>
        <v>4672.2480000000005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22736</v>
      </c>
      <c r="L79" s="444"/>
      <c r="M79" s="445">
        <f>SUM(M78)</f>
        <v>3114.8320000000003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កុម្ភៈ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I84+'1-JAN'!K84:L84</f>
        <v>166</v>
      </c>
      <c r="L84" s="436"/>
      <c r="M84" s="435">
        <f>J84+'1-JAN'!M84:N84</f>
        <v>91.300000000000011</v>
      </c>
      <c r="N84" s="436"/>
      <c r="O84" s="437"/>
      <c r="P84" s="438"/>
      <c r="Q84" s="92">
        <f>K84+I84</f>
        <v>249</v>
      </c>
      <c r="R84" s="93">
        <f>M84+J84</f>
        <v>136.95000000000002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166</v>
      </c>
      <c r="L85" s="444"/>
      <c r="M85" s="445">
        <f>SUM(M84)</f>
        <v>91.300000000000011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កុម្ភៈ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កុម្ភៈ ឆ្នាំ2026</v>
      </c>
      <c r="L94" s="386"/>
      <c r="M94" s="80"/>
      <c r="N94" s="460" t="str">
        <f>N29</f>
        <v>ថ្ងៃទី 15 ខែ កុម្ភៈ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CUNLAN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363"/>
      <c r="L228" s="363"/>
      <c r="M228" s="200"/>
      <c r="N228" s="363"/>
      <c r="O228" s="363"/>
      <c r="P228" s="200"/>
    </row>
    <row r="229" spans="1:16" s="164" customFormat="1"/>
    <row r="230" spans="1:16" s="164" customFormat="1"/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  <row r="250" s="164" customFormat="1"/>
    <row r="251" s="164" customFormat="1"/>
    <row r="252" s="164" customFormat="1"/>
    <row r="253" s="164" customFormat="1"/>
    <row r="254" s="164" customFormat="1"/>
    <row r="255" s="164" customFormat="1"/>
    <row r="256" s="164" customFormat="1"/>
    <row r="257" s="164" customFormat="1"/>
    <row r="258" s="164" customFormat="1"/>
    <row r="259" s="164" customFormat="1"/>
    <row r="260" s="164" customFormat="1"/>
    <row r="261" s="164" customFormat="1"/>
    <row r="262" s="164" customFormat="1"/>
    <row r="263" s="164" customFormat="1"/>
    <row r="264" s="164" customFormat="1"/>
    <row r="265" s="164" customFormat="1"/>
    <row r="266" s="164" customFormat="1"/>
    <row r="267" s="164" customFormat="1"/>
    <row r="268" s="164" customFormat="1"/>
    <row r="269" s="164" customFormat="1"/>
    <row r="270" s="164" customFormat="1"/>
    <row r="271" s="164" customFormat="1"/>
    <row r="272" s="164" customFormat="1"/>
    <row r="273" s="164" customFormat="1"/>
    <row r="274" s="164" customFormat="1"/>
    <row r="275" s="164" customFormat="1"/>
    <row r="276" s="164" customFormat="1"/>
    <row r="277" s="164" customFormat="1"/>
    <row r="278" s="164" customFormat="1"/>
    <row r="279" s="164" customFormat="1"/>
    <row r="280" s="164" customFormat="1"/>
    <row r="281" s="164" customFormat="1"/>
    <row r="282" s="164" customFormat="1"/>
    <row r="283" s="164" customFormat="1"/>
    <row r="284" s="164" customFormat="1"/>
    <row r="285" s="164" customFormat="1"/>
    <row r="286" s="164" customFormat="1"/>
    <row r="287" s="164" customFormat="1"/>
    <row r="288" s="164" customFormat="1"/>
    <row r="289" s="164" customFormat="1"/>
    <row r="290" s="164" customFormat="1"/>
    <row r="291" s="164" customFormat="1"/>
    <row r="292" s="164" customFormat="1"/>
    <row r="293" s="164" customFormat="1"/>
    <row r="294" s="164" customFormat="1"/>
    <row r="295" s="164" customFormat="1"/>
    <row r="296" s="164" customFormat="1"/>
    <row r="297" s="164" customFormat="1"/>
    <row r="298" s="164" customFormat="1"/>
    <row r="299" s="164" customFormat="1"/>
    <row r="300" s="164" customFormat="1"/>
    <row r="301" s="164" customFormat="1"/>
    <row r="302" s="164" customFormat="1"/>
    <row r="303" s="164" customFormat="1"/>
    <row r="304" s="164" customFormat="1"/>
    <row r="305" s="164" customFormat="1"/>
    <row r="306" s="164" customFormat="1"/>
    <row r="307" s="164" customFormat="1"/>
    <row r="308" s="164" customFormat="1"/>
    <row r="309" s="164" customFormat="1"/>
    <row r="310" s="164" customFormat="1"/>
    <row r="311" s="164" customFormat="1"/>
    <row r="312" s="164" customFormat="1"/>
    <row r="313" s="164" customFormat="1"/>
    <row r="314" s="164" customFormat="1"/>
    <row r="315" s="164" customFormat="1"/>
    <row r="316" s="164" customFormat="1"/>
    <row r="317" s="164" customFormat="1"/>
    <row r="318" s="164" customFormat="1"/>
    <row r="319" s="164" customFormat="1"/>
    <row r="320" s="164" customFormat="1"/>
    <row r="321" s="164" customFormat="1"/>
    <row r="322" s="164" customFormat="1"/>
    <row r="323" s="164" customFormat="1"/>
    <row r="324" s="164" customFormat="1"/>
    <row r="325" s="164" customFormat="1"/>
    <row r="326" s="164" customFormat="1"/>
    <row r="327" s="164" customFormat="1"/>
    <row r="328" s="164" customFormat="1"/>
    <row r="329" s="164" customFormat="1"/>
    <row r="330" s="164" customFormat="1"/>
    <row r="331" s="164" customFormat="1"/>
    <row r="332" s="164" customFormat="1"/>
    <row r="333" s="164" customFormat="1"/>
    <row r="334" s="164" customFormat="1"/>
    <row r="335" s="164" customFormat="1"/>
    <row r="336" s="164" customFormat="1"/>
    <row r="337" s="164" customFormat="1"/>
    <row r="338" s="164" customFormat="1"/>
    <row r="339" s="164" customFormat="1"/>
    <row r="340" s="164" customFormat="1"/>
    <row r="341" s="164" customFormat="1"/>
    <row r="342" s="164" customFormat="1"/>
    <row r="343" s="164" customFormat="1"/>
    <row r="344" s="164" customFormat="1"/>
    <row r="345" s="164" customFormat="1"/>
    <row r="346" s="164" customFormat="1"/>
    <row r="347" s="164" customFormat="1"/>
    <row r="348" s="164" customFormat="1"/>
    <row r="349" s="164" customFormat="1"/>
    <row r="350" s="164" customFormat="1"/>
    <row r="351" s="164" customFormat="1"/>
    <row r="352" s="164" customFormat="1"/>
    <row r="353" s="164" customFormat="1"/>
    <row r="354" s="164" customFormat="1"/>
    <row r="355" s="164" customFormat="1"/>
    <row r="356" s="164" customFormat="1"/>
    <row r="357" s="164" customFormat="1"/>
    <row r="358" s="164" customFormat="1"/>
    <row r="359" s="164" customFormat="1"/>
    <row r="360" s="164" customFormat="1"/>
    <row r="361" s="164" customFormat="1"/>
    <row r="362" s="164" customFormat="1"/>
    <row r="363" s="164" customFormat="1"/>
    <row r="364" s="164" customFormat="1"/>
    <row r="365" s="164" customFormat="1"/>
    <row r="366" s="164" customFormat="1"/>
    <row r="367" s="164" customFormat="1"/>
    <row r="368" s="164" customFormat="1"/>
    <row r="369" s="164" customFormat="1"/>
    <row r="370" s="164" customFormat="1"/>
    <row r="371" s="164" customFormat="1"/>
    <row r="372" s="164" customFormat="1"/>
    <row r="373" s="164" customFormat="1"/>
    <row r="374" s="164" customFormat="1"/>
    <row r="375" s="164" customFormat="1"/>
    <row r="376" s="164" customFormat="1"/>
    <row r="377" s="164" customFormat="1"/>
    <row r="378" s="164" customFormat="1"/>
    <row r="379" s="164" customFormat="1"/>
    <row r="380" s="164" customFormat="1"/>
    <row r="381" s="164" customFormat="1"/>
    <row r="382" s="164" customFormat="1"/>
    <row r="383" s="164" customFormat="1"/>
    <row r="384" s="164" customFormat="1"/>
    <row r="385" s="164" customFormat="1"/>
    <row r="386" s="164" customFormat="1"/>
    <row r="387" s="164" customFormat="1"/>
    <row r="388" s="164" customFormat="1"/>
    <row r="389" s="164" customFormat="1"/>
    <row r="390" s="164" customFormat="1"/>
    <row r="391" s="164" customFormat="1"/>
    <row r="392" s="164" customFormat="1"/>
    <row r="393" s="164" customFormat="1"/>
    <row r="394" s="164" customFormat="1"/>
    <row r="395" s="164" customFormat="1"/>
    <row r="396" s="164" customFormat="1"/>
    <row r="397" s="164" customFormat="1"/>
    <row r="398" s="164" customFormat="1"/>
    <row r="399" s="164" customFormat="1"/>
    <row r="400" s="164" customFormat="1"/>
    <row r="401" s="164" customFormat="1"/>
    <row r="402" s="164" customFormat="1"/>
    <row r="403" s="164" customFormat="1"/>
    <row r="404" s="164" customFormat="1"/>
    <row r="405" s="164" customFormat="1"/>
    <row r="406" s="164" customFormat="1"/>
    <row r="407" s="164" customFormat="1"/>
    <row r="408" s="164" customFormat="1"/>
    <row r="409" s="164" customFormat="1"/>
    <row r="410" s="164" customFormat="1"/>
    <row r="411" s="164" customFormat="1"/>
    <row r="412" s="164" customFormat="1"/>
    <row r="413" s="164" customFormat="1"/>
    <row r="414" s="164" customFormat="1"/>
    <row r="415" s="164" customFormat="1"/>
    <row r="416" s="164" customFormat="1"/>
    <row r="417" s="164" customFormat="1"/>
    <row r="418" s="164" customFormat="1"/>
    <row r="419" s="164" customFormat="1"/>
    <row r="420" s="164" customFormat="1"/>
  </sheetData>
  <mergeCells count="297">
    <mergeCell ref="K214:L214"/>
    <mergeCell ref="N214:O214"/>
    <mergeCell ref="K228:L228"/>
    <mergeCell ref="N228:O228"/>
    <mergeCell ref="K211:L211"/>
    <mergeCell ref="N211:O211"/>
    <mergeCell ref="K212:L212"/>
    <mergeCell ref="N212:O212"/>
    <mergeCell ref="K213:L213"/>
    <mergeCell ref="N213:O213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B202:D202"/>
    <mergeCell ref="E202:F202"/>
    <mergeCell ref="K202:L202"/>
    <mergeCell ref="M202:N202"/>
    <mergeCell ref="O202:P202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A199:A200"/>
    <mergeCell ref="B199:D200"/>
    <mergeCell ref="E199:F200"/>
    <mergeCell ref="G199:H199"/>
    <mergeCell ref="I199:J199"/>
    <mergeCell ref="K199:N199"/>
    <mergeCell ref="B196:D196"/>
    <mergeCell ref="E196:F196"/>
    <mergeCell ref="K196:L196"/>
    <mergeCell ref="M196:N196"/>
    <mergeCell ref="O196:P196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K188:L188"/>
    <mergeCell ref="N188:O188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N174:O174"/>
    <mergeCell ref="K175:L175"/>
    <mergeCell ref="N175:O175"/>
    <mergeCell ref="K176:L176"/>
    <mergeCell ref="N176:O176"/>
    <mergeCell ref="K177:L177"/>
    <mergeCell ref="N177:O177"/>
    <mergeCell ref="B168:C168"/>
    <mergeCell ref="B169:C169"/>
    <mergeCell ref="B170:C170"/>
    <mergeCell ref="B171:C171"/>
    <mergeCell ref="B172:C172"/>
    <mergeCell ref="K174:L174"/>
    <mergeCell ref="O165:P166"/>
    <mergeCell ref="E166:F166"/>
    <mergeCell ref="G166:H166"/>
    <mergeCell ref="I166:J166"/>
    <mergeCell ref="K166:L166"/>
    <mergeCell ref="M166:N166"/>
    <mergeCell ref="B162:C162"/>
    <mergeCell ref="A164:I164"/>
    <mergeCell ref="A165:A167"/>
    <mergeCell ref="B165:C167"/>
    <mergeCell ref="D165:D167"/>
    <mergeCell ref="E165:N165"/>
    <mergeCell ref="O150:P151"/>
    <mergeCell ref="E151:F151"/>
    <mergeCell ref="G151:H151"/>
    <mergeCell ref="I151:J151"/>
    <mergeCell ref="K151:L151"/>
    <mergeCell ref="M151:N151"/>
    <mergeCell ref="B148:I148"/>
    <mergeCell ref="A149:I149"/>
    <mergeCell ref="A150:A152"/>
    <mergeCell ref="B150:C152"/>
    <mergeCell ref="D150:D152"/>
    <mergeCell ref="E150:N150"/>
    <mergeCell ref="K137:L137"/>
    <mergeCell ref="N137:O137"/>
    <mergeCell ref="K138:L138"/>
    <mergeCell ref="N138:O138"/>
    <mergeCell ref="K145:L145"/>
    <mergeCell ref="N145:O145"/>
    <mergeCell ref="A133:B133"/>
    <mergeCell ref="A134:I134"/>
    <mergeCell ref="A135:I135"/>
    <mergeCell ref="K135:L135"/>
    <mergeCell ref="N135:O135"/>
    <mergeCell ref="K136:L136"/>
    <mergeCell ref="N136:O136"/>
    <mergeCell ref="L121:O121"/>
    <mergeCell ref="D122:E122"/>
    <mergeCell ref="F122:G122"/>
    <mergeCell ref="H122:I122"/>
    <mergeCell ref="J122:K122"/>
    <mergeCell ref="L122:M122"/>
    <mergeCell ref="N122:O122"/>
    <mergeCell ref="B110:O110"/>
    <mergeCell ref="G111:H111"/>
    <mergeCell ref="G112:I112"/>
    <mergeCell ref="D119:E119"/>
    <mergeCell ref="J119:K119"/>
    <mergeCell ref="A120:B123"/>
    <mergeCell ref="C120:C123"/>
    <mergeCell ref="D120:O120"/>
    <mergeCell ref="D121:G121"/>
    <mergeCell ref="H121:K121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B92:C92"/>
    <mergeCell ref="E92:F92"/>
    <mergeCell ref="G92:J92"/>
    <mergeCell ref="K92:N92"/>
    <mergeCell ref="O92:P92"/>
    <mergeCell ref="K94:L94"/>
    <mergeCell ref="N94:O94"/>
    <mergeCell ref="B90:C90"/>
    <mergeCell ref="E90:F90"/>
    <mergeCell ref="G90:J90"/>
    <mergeCell ref="O90:P90"/>
    <mergeCell ref="B91:C91"/>
    <mergeCell ref="E91:F91"/>
    <mergeCell ref="G91:J91"/>
    <mergeCell ref="K91:N91"/>
    <mergeCell ref="O91:P91"/>
    <mergeCell ref="B88:C88"/>
    <mergeCell ref="E88:F88"/>
    <mergeCell ref="G88:J88"/>
    <mergeCell ref="K88:N88"/>
    <mergeCell ref="O88:P88"/>
    <mergeCell ref="B89:C89"/>
    <mergeCell ref="E89:F89"/>
    <mergeCell ref="G89:J89"/>
    <mergeCell ref="K89:N89"/>
    <mergeCell ref="O89:P89"/>
    <mergeCell ref="B85:D85"/>
    <mergeCell ref="E85:F85"/>
    <mergeCell ref="K85:L85"/>
    <mergeCell ref="M85:N85"/>
    <mergeCell ref="O85:P85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A82:A83"/>
    <mergeCell ref="B82:D83"/>
    <mergeCell ref="E82:F83"/>
    <mergeCell ref="G82:H82"/>
    <mergeCell ref="I82:J82"/>
    <mergeCell ref="K82:N82"/>
    <mergeCell ref="B79:D79"/>
    <mergeCell ref="E79:F79"/>
    <mergeCell ref="K79:L79"/>
    <mergeCell ref="M79:N79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K73:L73"/>
    <mergeCell ref="N73:O73"/>
    <mergeCell ref="B74:K74"/>
    <mergeCell ref="B75:I75"/>
    <mergeCell ref="A76:A77"/>
    <mergeCell ref="B76:D77"/>
    <mergeCell ref="E76:F77"/>
    <mergeCell ref="G76:H76"/>
    <mergeCell ref="I76:J76"/>
    <mergeCell ref="K76:N76"/>
    <mergeCell ref="K65:L65"/>
    <mergeCell ref="N65:O65"/>
    <mergeCell ref="K66:L66"/>
    <mergeCell ref="N66:O66"/>
    <mergeCell ref="K67:L67"/>
    <mergeCell ref="N67:O67"/>
    <mergeCell ref="B59:C59"/>
    <mergeCell ref="B60:C60"/>
    <mergeCell ref="B61:C61"/>
    <mergeCell ref="B62:C62"/>
    <mergeCell ref="K64:L64"/>
    <mergeCell ref="N64:O64"/>
    <mergeCell ref="A56:A58"/>
    <mergeCell ref="B56:C58"/>
    <mergeCell ref="D56:D58"/>
    <mergeCell ref="E56:N56"/>
    <mergeCell ref="O56:P57"/>
    <mergeCell ref="E57:F57"/>
    <mergeCell ref="G57:H57"/>
    <mergeCell ref="I57:J57"/>
    <mergeCell ref="K57:L57"/>
    <mergeCell ref="M57:N57"/>
    <mergeCell ref="G44:H44"/>
    <mergeCell ref="I44:J44"/>
    <mergeCell ref="K44:L44"/>
    <mergeCell ref="M44:N44"/>
    <mergeCell ref="B53:C53"/>
    <mergeCell ref="A55:I55"/>
    <mergeCell ref="K40:L40"/>
    <mergeCell ref="N40:O40"/>
    <mergeCell ref="B41:I41"/>
    <mergeCell ref="A42:I42"/>
    <mergeCell ref="A43:A45"/>
    <mergeCell ref="B43:C45"/>
    <mergeCell ref="D43:D45"/>
    <mergeCell ref="E43:N43"/>
    <mergeCell ref="O43:P44"/>
    <mergeCell ref="E44:F44"/>
    <mergeCell ref="K31:L31"/>
    <mergeCell ref="N31:O31"/>
    <mergeCell ref="A33:I33"/>
    <mergeCell ref="K33:L33"/>
    <mergeCell ref="N33:O33"/>
    <mergeCell ref="A36:G36"/>
    <mergeCell ref="A27:B27"/>
    <mergeCell ref="A28:I28"/>
    <mergeCell ref="A29:I29"/>
    <mergeCell ref="K29:L29"/>
    <mergeCell ref="N29:O29"/>
    <mergeCell ref="K30:L30"/>
    <mergeCell ref="N30:O30"/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F13:G13"/>
    <mergeCell ref="J13:K13"/>
    <mergeCell ref="D15:E15"/>
    <mergeCell ref="J15:K15"/>
    <mergeCell ref="G7:J7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8"/>
  <sheetViews>
    <sheetView view="pageBreakPreview" topLeftCell="A21" zoomScale="85" zoomScaleNormal="100" zoomScaleSheetLayoutView="85" workbookViewId="0">
      <selection activeCell="K33" sqref="K33:L33"/>
    </sheetView>
  </sheetViews>
  <sheetFormatPr defaultColWidth="9.140625" defaultRowHeight="15"/>
  <cols>
    <col min="1" max="2" width="15.85546875" style="1" customWidth="1"/>
    <col min="3" max="3" width="16.855468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9.425781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106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1">
        <v>179</v>
      </c>
      <c r="E13" s="128" t="s">
        <v>4</v>
      </c>
      <c r="F13" s="381">
        <v>122</v>
      </c>
      <c r="G13" s="381"/>
      <c r="H13" s="128" t="s">
        <v>5</v>
      </c>
      <c r="J13" s="382">
        <v>63192.24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96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60139</v>
      </c>
      <c r="J20" s="16"/>
      <c r="K20" s="17">
        <f>ROUND(I20*1.9865772626748,2)</f>
        <v>119470.77</v>
      </c>
      <c r="L20" s="16"/>
      <c r="M20" s="142">
        <f>I20+'2-FEB'!M20</f>
        <v>142904</v>
      </c>
      <c r="N20" s="16"/>
      <c r="O20" s="17">
        <f>K20+'2-FEB'!O20</f>
        <v>218534.72999999998</v>
      </c>
      <c r="Q20" s="138">
        <f>M20+I20</f>
        <v>203043</v>
      </c>
      <c r="R20" s="57"/>
      <c r="S20" s="58">
        <f t="shared" ref="S20:S26" si="0">O20+K20</f>
        <v>338005.5</v>
      </c>
    </row>
    <row r="21" spans="1:19" ht="22.15" customHeight="1">
      <c r="A21" s="14" t="s">
        <v>98</v>
      </c>
      <c r="B21" s="21" t="s">
        <v>101</v>
      </c>
      <c r="C21" s="16" t="s">
        <v>8</v>
      </c>
      <c r="D21" s="17"/>
      <c r="E21" s="17"/>
      <c r="F21" s="17"/>
      <c r="G21" s="17"/>
      <c r="H21" s="16"/>
      <c r="I21" s="143">
        <v>2004</v>
      </c>
      <c r="J21" s="16"/>
      <c r="K21" s="17">
        <f>ROUND(I21*2.04,2)</f>
        <v>4088.16</v>
      </c>
      <c r="L21" s="16"/>
      <c r="M21" s="142">
        <f>I21+'2-FEB'!M25</f>
        <v>4084</v>
      </c>
      <c r="N21" s="16"/>
      <c r="O21" s="17">
        <f>K21+'1-JAN'!O22</f>
        <v>159328.16</v>
      </c>
      <c r="Q21" s="139">
        <f t="shared" ref="Q21:Q26" si="1">M21+I21</f>
        <v>6088</v>
      </c>
      <c r="S21" s="59">
        <f t="shared" si="0"/>
        <v>163416.32000000001</v>
      </c>
    </row>
    <row r="22" spans="1:19" ht="22.15" customHeight="1">
      <c r="A22" s="14" t="s">
        <v>98</v>
      </c>
      <c r="B22" s="21" t="s">
        <v>99</v>
      </c>
      <c r="C22" s="16" t="s">
        <v>8</v>
      </c>
      <c r="D22" s="17"/>
      <c r="E22" s="17"/>
      <c r="F22" s="17"/>
      <c r="G22" s="17"/>
      <c r="H22" s="16"/>
      <c r="I22" s="143">
        <v>19680</v>
      </c>
      <c r="J22" s="16"/>
      <c r="K22" s="17">
        <f>ROUND(I22*2.13887804878049,2)</f>
        <v>42093.120000000003</v>
      </c>
      <c r="L22" s="16"/>
      <c r="M22" s="17">
        <f>I22+'2-FEB'!M24</f>
        <v>45448</v>
      </c>
      <c r="N22" s="16"/>
      <c r="O22" s="17">
        <f>K22+'2-FEB'!O24</f>
        <v>205546.16</v>
      </c>
      <c r="Q22" s="139"/>
      <c r="S22" s="59"/>
    </row>
    <row r="23" spans="1:19" ht="21.75" customHeight="1">
      <c r="A23" s="14" t="s">
        <v>98</v>
      </c>
      <c r="B23" s="15" t="s">
        <v>103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7">
        <f>'2-FEB'!M21</f>
        <v>3396</v>
      </c>
      <c r="N23" s="16"/>
      <c r="O23" s="17">
        <f>'2-FEB'!O21</f>
        <v>2272.8000000000002</v>
      </c>
      <c r="Q23" s="139"/>
      <c r="S23" s="59"/>
    </row>
    <row r="24" spans="1:19" ht="22.15" customHeight="1">
      <c r="A24" s="14" t="s">
        <v>98</v>
      </c>
      <c r="B24" s="15" t="s">
        <v>105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7">
        <f>'2-FEB'!M22</f>
        <v>1635</v>
      </c>
      <c r="N24" s="16"/>
      <c r="O24" s="17">
        <f>'2-FEB'!O22</f>
        <v>2452.5</v>
      </c>
      <c r="Q24" s="139">
        <f t="shared" si="1"/>
        <v>1635</v>
      </c>
      <c r="S24" s="59">
        <f t="shared" si="0"/>
        <v>2452.5</v>
      </c>
    </row>
    <row r="25" spans="1:19" ht="22.15" customHeight="1">
      <c r="A25" s="14" t="s">
        <v>98</v>
      </c>
      <c r="B25" s="21" t="s">
        <v>104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7">
        <f>'2-FEB'!M23</f>
        <v>1848</v>
      </c>
      <c r="N25" s="16"/>
      <c r="O25" s="17">
        <f>'2-FEB'!O23</f>
        <v>2605.6799999999998</v>
      </c>
      <c r="Q25" s="139">
        <f t="shared" si="1"/>
        <v>1848</v>
      </c>
      <c r="S25" s="59">
        <f t="shared" si="0"/>
        <v>2605.6799999999998</v>
      </c>
    </row>
    <row r="26" spans="1:19" ht="22.15" customHeight="1" thickBot="1">
      <c r="A26" s="50" t="s">
        <v>98</v>
      </c>
      <c r="B26" s="22" t="s">
        <v>108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7">
        <v>0</v>
      </c>
      <c r="N26" s="16"/>
      <c r="O26" s="17">
        <v>0</v>
      </c>
      <c r="Q26" s="139">
        <f t="shared" si="1"/>
        <v>0</v>
      </c>
      <c r="S26" s="59">
        <f t="shared" si="0"/>
        <v>0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81823</v>
      </c>
      <c r="J27" s="107"/>
      <c r="K27" s="109">
        <f>SUM(K20:K26)</f>
        <v>165652.05000000002</v>
      </c>
      <c r="L27" s="107"/>
      <c r="M27" s="109">
        <f>SUM(M20:M26)</f>
        <v>199315</v>
      </c>
      <c r="N27" s="107"/>
      <c r="O27" s="110">
        <f>SUM(O20:O26)</f>
        <v>590740.03000000014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385" t="s">
        <v>117</v>
      </c>
      <c r="L29" s="385"/>
      <c r="M29" s="74"/>
      <c r="N29" s="385" t="str">
        <f>K29</f>
        <v>ថ្ងៃទី 15 ខែ មីនា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113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មីនា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145" t="str">
        <f t="shared" ref="B46:C52" si="2">A20</f>
        <v>LADIES</v>
      </c>
      <c r="C46" s="146" t="str">
        <f t="shared" si="2"/>
        <v>PANTS</v>
      </c>
      <c r="D46" s="42" t="s">
        <v>8</v>
      </c>
      <c r="E46" s="148">
        <v>33344</v>
      </c>
      <c r="F46" s="148">
        <v>65144.85</v>
      </c>
      <c r="G46" s="144">
        <v>26795</v>
      </c>
      <c r="H46" s="17">
        <v>54325.919999999998</v>
      </c>
      <c r="I46" s="31"/>
      <c r="J46" s="31"/>
      <c r="K46" s="31"/>
      <c r="L46" s="17"/>
      <c r="M46" s="31"/>
      <c r="N46" s="17"/>
      <c r="O46" s="44">
        <f t="shared" ref="O46:O52" si="3">M20</f>
        <v>142904</v>
      </c>
      <c r="P46" s="44">
        <f t="shared" ref="P46:P52" si="4">O20</f>
        <v>218534.72999999998</v>
      </c>
    </row>
    <row r="47" spans="1:16" ht="25.15" customHeight="1">
      <c r="A47" s="27">
        <v>2</v>
      </c>
      <c r="B47" s="145" t="str">
        <f t="shared" si="2"/>
        <v>LADIES</v>
      </c>
      <c r="C47" s="29" t="str">
        <f t="shared" si="2"/>
        <v>NIGHT GOWN</v>
      </c>
      <c r="D47" s="42" t="s">
        <v>8</v>
      </c>
      <c r="E47" s="148"/>
      <c r="F47" s="148"/>
      <c r="G47" s="144">
        <v>2004</v>
      </c>
      <c r="H47" s="17">
        <v>4088.16</v>
      </c>
      <c r="I47" s="31"/>
      <c r="J47" s="31"/>
      <c r="K47" s="31"/>
      <c r="L47" s="17"/>
      <c r="M47" s="31"/>
      <c r="N47" s="17"/>
      <c r="O47" s="44">
        <f t="shared" si="3"/>
        <v>4084</v>
      </c>
      <c r="P47" s="44">
        <f t="shared" si="4"/>
        <v>159328.16</v>
      </c>
    </row>
    <row r="48" spans="1:16" ht="25.15" customHeight="1">
      <c r="A48" s="27">
        <v>3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>
        <v>11652</v>
      </c>
      <c r="F48" s="17">
        <v>24274.560000000001</v>
      </c>
      <c r="G48" s="144">
        <v>8028</v>
      </c>
      <c r="H48" s="17">
        <v>17818.560000000001</v>
      </c>
      <c r="I48" s="34"/>
      <c r="J48" s="34"/>
      <c r="K48" s="31"/>
      <c r="L48" s="17"/>
      <c r="M48" s="31"/>
      <c r="N48" s="17"/>
      <c r="O48" s="44">
        <f t="shared" si="3"/>
        <v>45448</v>
      </c>
      <c r="P48" s="44">
        <f t="shared" si="4"/>
        <v>205546.16</v>
      </c>
    </row>
    <row r="49" spans="1:20" ht="25.15" customHeight="1">
      <c r="A49" s="27">
        <v>4</v>
      </c>
      <c r="B49" s="145" t="str">
        <f t="shared" si="2"/>
        <v>LADIES</v>
      </c>
      <c r="C49" s="146" t="str">
        <f t="shared" si="2"/>
        <v>TANK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si="3"/>
        <v>3396</v>
      </c>
      <c r="P49" s="44">
        <f t="shared" si="4"/>
        <v>2272.8000000000002</v>
      </c>
    </row>
    <row r="50" spans="1:20" ht="25.15" customHeight="1">
      <c r="A50" s="27">
        <v>5</v>
      </c>
      <c r="B50" s="145" t="str">
        <f t="shared" si="2"/>
        <v>LADIES</v>
      </c>
      <c r="C50" s="146" t="str">
        <f t="shared" si="2"/>
        <v>SKIRT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3"/>
        <v>1635</v>
      </c>
      <c r="P50" s="44">
        <f t="shared" si="4"/>
        <v>2452.5</v>
      </c>
    </row>
    <row r="51" spans="1:20" ht="25.15" customHeight="1">
      <c r="A51" s="27">
        <v>6</v>
      </c>
      <c r="B51" s="145" t="str">
        <f t="shared" si="2"/>
        <v>LADIES</v>
      </c>
      <c r="C51" s="146" t="str">
        <f t="shared" si="2"/>
        <v>SHORT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3"/>
        <v>1848</v>
      </c>
      <c r="P51" s="44">
        <f t="shared" si="4"/>
        <v>2605.6799999999998</v>
      </c>
    </row>
    <row r="52" spans="1:20" ht="25.15" customHeight="1" thickBot="1">
      <c r="A52" s="27">
        <v>7</v>
      </c>
      <c r="B52" s="145" t="str">
        <f t="shared" si="2"/>
        <v>LADIES</v>
      </c>
      <c r="C52" s="146" t="str">
        <f t="shared" si="2"/>
        <v>DRESS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3"/>
        <v>0</v>
      </c>
      <c r="P52" s="44">
        <f t="shared" si="4"/>
        <v>0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5">SUM(E46:E52)</f>
        <v>44996</v>
      </c>
      <c r="F53" s="113">
        <f t="shared" si="5"/>
        <v>89419.41</v>
      </c>
      <c r="G53" s="113">
        <f t="shared" si="5"/>
        <v>36827</v>
      </c>
      <c r="H53" s="113">
        <f t="shared" si="5"/>
        <v>76232.639999999999</v>
      </c>
      <c r="I53" s="113">
        <f t="shared" si="5"/>
        <v>0</v>
      </c>
      <c r="J53" s="113">
        <f t="shared" si="5"/>
        <v>0</v>
      </c>
      <c r="K53" s="113">
        <f t="shared" si="5"/>
        <v>0</v>
      </c>
      <c r="L53" s="113">
        <f t="shared" si="5"/>
        <v>0</v>
      </c>
      <c r="M53" s="113">
        <f t="shared" si="5"/>
        <v>0</v>
      </c>
      <c r="N53" s="113">
        <f t="shared" si="5"/>
        <v>0</v>
      </c>
      <c r="O53" s="114">
        <f t="shared" si="5"/>
        <v>199315</v>
      </c>
      <c r="P53" s="115">
        <f t="shared" si="5"/>
        <v>590740.03000000014</v>
      </c>
    </row>
    <row r="54" spans="1:20" ht="23.25">
      <c r="A54" s="94"/>
      <c r="B54" s="43"/>
      <c r="C54" s="43"/>
      <c r="D54" s="43"/>
      <c r="E54" s="98"/>
      <c r="F54" s="99"/>
      <c r="G54" s="98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មីនា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6">E59+G59+I59+K59+M59</f>
        <v>0</v>
      </c>
      <c r="R59" s="19">
        <f t="shared" si="6"/>
        <v>0</v>
      </c>
      <c r="S59" s="130">
        <f t="shared" ref="S59:T61" si="7">Q59+O59</f>
        <v>0</v>
      </c>
      <c r="T59" s="131">
        <f t="shared" si="7"/>
        <v>0</v>
      </c>
    </row>
    <row r="60" spans="1:20" ht="31.15" customHeight="1">
      <c r="A60" s="32">
        <v>3</v>
      </c>
      <c r="B60" s="412" t="s">
        <v>33</v>
      </c>
      <c r="C60" s="413"/>
      <c r="D60" s="42" t="s">
        <v>111</v>
      </c>
      <c r="E60" s="34">
        <v>155861.90000000002</v>
      </c>
      <c r="F60" s="34">
        <v>162964.68</v>
      </c>
      <c r="G60" s="33"/>
      <c r="H60" s="33"/>
      <c r="I60" s="126"/>
      <c r="J60" s="34"/>
      <c r="K60" s="34"/>
      <c r="L60" s="34"/>
      <c r="M60" s="33"/>
      <c r="N60" s="33"/>
      <c r="O60" s="34">
        <f>E60+'2-FEB'!O60</f>
        <v>333824.40000000002</v>
      </c>
      <c r="P60" s="34">
        <f>F60+'2-FEB'!P60</f>
        <v>323349.71999999997</v>
      </c>
      <c r="Q60" s="19">
        <f t="shared" si="6"/>
        <v>155861.90000000002</v>
      </c>
      <c r="R60" s="19">
        <f t="shared" si="6"/>
        <v>162964.68</v>
      </c>
      <c r="S60" s="132">
        <f t="shared" si="7"/>
        <v>489686.30000000005</v>
      </c>
      <c r="T60" s="133">
        <f t="shared" si="7"/>
        <v>486314.39999999997</v>
      </c>
    </row>
    <row r="61" spans="1:20" ht="31.15" customHeight="1" thickBot="1">
      <c r="A61" s="104">
        <v>4</v>
      </c>
      <c r="B61" s="414" t="s">
        <v>34</v>
      </c>
      <c r="C61" s="414"/>
      <c r="D61" s="53" t="s">
        <v>112</v>
      </c>
      <c r="E61" s="127">
        <v>234</v>
      </c>
      <c r="F61" s="116">
        <v>234</v>
      </c>
      <c r="G61" s="116"/>
      <c r="H61" s="116"/>
      <c r="I61" s="116"/>
      <c r="J61" s="116"/>
      <c r="K61" s="117"/>
      <c r="L61" s="117"/>
      <c r="M61" s="116"/>
      <c r="N61" s="116"/>
      <c r="O61" s="106">
        <f>E61+'2-FEB'!O61</f>
        <v>614</v>
      </c>
      <c r="P61" s="106">
        <f>F61+'2-FEB'!P61</f>
        <v>614</v>
      </c>
      <c r="Q61" s="19">
        <f t="shared" si="6"/>
        <v>234</v>
      </c>
      <c r="R61" s="19">
        <f t="shared" si="6"/>
        <v>234</v>
      </c>
      <c r="S61" s="134">
        <f t="shared" si="7"/>
        <v>848</v>
      </c>
      <c r="T61" s="135">
        <f t="shared" si="7"/>
        <v>848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8">SUM(E59:E61)</f>
        <v>156095.90000000002</v>
      </c>
      <c r="F62" s="103">
        <f t="shared" si="8"/>
        <v>163198.68</v>
      </c>
      <c r="G62" s="103">
        <f t="shared" si="8"/>
        <v>0</v>
      </c>
      <c r="H62" s="103">
        <f t="shared" si="8"/>
        <v>0</v>
      </c>
      <c r="I62" s="103">
        <f t="shared" si="8"/>
        <v>0</v>
      </c>
      <c r="J62" s="103">
        <f t="shared" si="8"/>
        <v>0</v>
      </c>
      <c r="K62" s="103">
        <f t="shared" si="8"/>
        <v>0</v>
      </c>
      <c r="L62" s="103">
        <f t="shared" si="8"/>
        <v>0</v>
      </c>
      <c r="M62" s="103">
        <f t="shared" si="8"/>
        <v>0</v>
      </c>
      <c r="N62" s="103">
        <f t="shared" si="8"/>
        <v>0</v>
      </c>
      <c r="O62" s="103">
        <f t="shared" si="8"/>
        <v>334438.40000000002</v>
      </c>
      <c r="P62" s="103">
        <f t="shared" si="8"/>
        <v>323963.71999999997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មីនា ឆ្នាំ2026</v>
      </c>
      <c r="L64" s="386"/>
      <c r="M64" s="69"/>
      <c r="N64" s="386" t="str">
        <f>N29</f>
        <v>ថ្ងៃទី 15 ខែ មីនា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CUNLAN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មីនា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I78+'2-FEB'!K78:L78</f>
        <v>34104</v>
      </c>
      <c r="L78" s="436"/>
      <c r="M78" s="435">
        <f>J78+'2-FEB'!M78:N78</f>
        <v>4672.2480000000005</v>
      </c>
      <c r="N78" s="436"/>
      <c r="O78" s="437"/>
      <c r="P78" s="438"/>
      <c r="Q78" s="92">
        <f>K78+I78</f>
        <v>45472</v>
      </c>
      <c r="R78" s="93">
        <f>M78+J78</f>
        <v>6229.6640000000007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34104</v>
      </c>
      <c r="L79" s="444"/>
      <c r="M79" s="445">
        <f>SUM(M78)</f>
        <v>4672.2480000000005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មីនា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I84+'2-FEB'!K84:L84</f>
        <v>249</v>
      </c>
      <c r="L84" s="436"/>
      <c r="M84" s="435">
        <f>J84+'2-FEB'!M84:N84</f>
        <v>136.95000000000002</v>
      </c>
      <c r="N84" s="436"/>
      <c r="O84" s="437"/>
      <c r="P84" s="438"/>
      <c r="Q84" s="92">
        <f>K84+I84</f>
        <v>332</v>
      </c>
      <c r="R84" s="93">
        <f>M84+J84</f>
        <v>182.60000000000002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249</v>
      </c>
      <c r="L85" s="444"/>
      <c r="M85" s="445">
        <f>SUM(M84)</f>
        <v>136.95000000000002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មីនា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មីនា ឆ្នាំ2026</v>
      </c>
      <c r="L94" s="386"/>
      <c r="M94" s="80"/>
      <c r="N94" s="460" t="str">
        <f>N29</f>
        <v>ថ្ងៃទី 15 ខែ មីនា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CUNLAN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363"/>
      <c r="L228" s="363"/>
      <c r="M228" s="200"/>
      <c r="N228" s="363"/>
      <c r="O228" s="363"/>
      <c r="P228" s="200"/>
    </row>
    <row r="229" spans="1:16" s="164" customFormat="1"/>
    <row r="230" spans="1:16" s="164" customFormat="1"/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  <row r="250" s="164" customFormat="1"/>
    <row r="251" s="164" customFormat="1"/>
    <row r="252" s="164" customFormat="1"/>
    <row r="253" s="164" customFormat="1"/>
    <row r="254" s="164" customFormat="1"/>
    <row r="255" s="164" customFormat="1"/>
    <row r="256" s="164" customFormat="1"/>
    <row r="257" s="164" customFormat="1"/>
    <row r="258" s="164" customFormat="1"/>
    <row r="259" s="164" customFormat="1"/>
    <row r="260" s="164" customFormat="1"/>
    <row r="261" s="164" customFormat="1"/>
    <row r="262" s="164" customFormat="1"/>
    <row r="263" s="164" customFormat="1"/>
    <row r="264" s="164" customFormat="1"/>
    <row r="265" s="164" customFormat="1"/>
    <row r="266" s="164" customFormat="1"/>
    <row r="267" s="164" customFormat="1"/>
    <row r="268" s="164" customFormat="1"/>
    <row r="269" s="164" customFormat="1"/>
    <row r="270" s="164" customFormat="1"/>
    <row r="271" s="164" customFormat="1"/>
    <row r="272" s="164" customFormat="1"/>
    <row r="273" s="164" customFormat="1"/>
    <row r="274" s="164" customFormat="1"/>
    <row r="275" s="164" customFormat="1"/>
    <row r="276" s="164" customFormat="1"/>
    <row r="277" s="164" customFormat="1"/>
    <row r="278" s="164" customFormat="1"/>
    <row r="279" s="164" customFormat="1"/>
    <row r="280" s="164" customFormat="1"/>
    <row r="281" s="164" customFormat="1"/>
    <row r="282" s="164" customFormat="1"/>
    <row r="283" s="164" customFormat="1"/>
    <row r="284" s="164" customFormat="1"/>
    <row r="285" s="164" customFormat="1"/>
    <row r="286" s="164" customFormat="1"/>
    <row r="287" s="164" customFormat="1"/>
    <row r="288" s="164" customFormat="1"/>
    <row r="289" s="164" customFormat="1"/>
    <row r="290" s="164" customFormat="1"/>
    <row r="291" s="164" customFormat="1"/>
    <row r="292" s="164" customFormat="1"/>
    <row r="293" s="164" customFormat="1"/>
    <row r="294" s="164" customFormat="1"/>
    <row r="295" s="164" customFormat="1"/>
    <row r="296" s="164" customFormat="1"/>
    <row r="297" s="164" customFormat="1"/>
    <row r="298" s="164" customFormat="1"/>
    <row r="299" s="164" customFormat="1"/>
    <row r="300" s="164" customFormat="1"/>
    <row r="301" s="164" customFormat="1"/>
    <row r="302" s="164" customFormat="1"/>
    <row r="303" s="164" customFormat="1"/>
    <row r="304" s="164" customFormat="1"/>
    <row r="305" s="164" customFormat="1"/>
    <row r="306" s="164" customFormat="1"/>
    <row r="307" s="164" customFormat="1"/>
    <row r="308" s="164" customFormat="1"/>
    <row r="309" s="164" customFormat="1"/>
    <row r="310" s="164" customFormat="1"/>
    <row r="311" s="164" customFormat="1"/>
    <row r="312" s="164" customFormat="1"/>
    <row r="313" s="164" customFormat="1"/>
    <row r="314" s="164" customFormat="1"/>
    <row r="315" s="164" customFormat="1"/>
    <row r="316" s="164" customFormat="1"/>
    <row r="317" s="164" customFormat="1"/>
    <row r="318" s="164" customFormat="1"/>
    <row r="319" s="164" customFormat="1"/>
    <row r="320" s="164" customFormat="1"/>
    <row r="321" s="164" customFormat="1"/>
    <row r="322" s="164" customFormat="1"/>
    <row r="323" s="164" customFormat="1"/>
    <row r="324" s="164" customFormat="1"/>
    <row r="325" s="164" customFormat="1"/>
    <row r="326" s="164" customFormat="1"/>
    <row r="327" s="164" customFormat="1"/>
    <row r="328" s="164" customFormat="1"/>
    <row r="329" s="164" customFormat="1"/>
    <row r="330" s="164" customFormat="1"/>
    <row r="331" s="164" customFormat="1"/>
    <row r="332" s="164" customFormat="1"/>
    <row r="333" s="164" customFormat="1"/>
    <row r="334" s="164" customFormat="1"/>
    <row r="335" s="164" customFormat="1"/>
    <row r="336" s="164" customFormat="1"/>
    <row r="337" s="164" customFormat="1"/>
    <row r="338" s="164" customFormat="1"/>
    <row r="339" s="164" customFormat="1"/>
    <row r="340" s="164" customFormat="1"/>
    <row r="341" s="164" customFormat="1"/>
    <row r="342" s="164" customFormat="1"/>
    <row r="343" s="164" customFormat="1"/>
    <row r="344" s="164" customFormat="1"/>
    <row r="345" s="164" customFormat="1"/>
    <row r="346" s="164" customFormat="1"/>
    <row r="347" s="164" customFormat="1"/>
    <row r="348" s="164" customFormat="1"/>
    <row r="349" s="164" customFormat="1"/>
    <row r="350" s="164" customFormat="1"/>
    <row r="351" s="164" customFormat="1"/>
    <row r="352" s="164" customFormat="1"/>
    <row r="353" s="164" customFormat="1"/>
    <row r="354" s="164" customFormat="1"/>
    <row r="355" s="164" customFormat="1"/>
    <row r="356" s="164" customFormat="1"/>
    <row r="357" s="164" customFormat="1"/>
    <row r="358" s="164" customFormat="1"/>
    <row r="359" s="164" customFormat="1"/>
    <row r="360" s="164" customFormat="1"/>
    <row r="361" s="164" customFormat="1"/>
    <row r="362" s="164" customFormat="1"/>
    <row r="363" s="164" customFormat="1"/>
    <row r="364" s="164" customFormat="1"/>
    <row r="365" s="164" customFormat="1"/>
    <row r="366" s="164" customFormat="1"/>
    <row r="367" s="164" customFormat="1"/>
    <row r="368" s="164" customFormat="1"/>
    <row r="369" s="164" customFormat="1"/>
    <row r="370" s="164" customFormat="1"/>
    <row r="371" s="164" customFormat="1"/>
    <row r="372" s="164" customFormat="1"/>
    <row r="373" s="164" customFormat="1"/>
    <row r="374" s="164" customFormat="1"/>
    <row r="375" s="164" customFormat="1"/>
    <row r="376" s="164" customFormat="1"/>
    <row r="377" s="164" customFormat="1"/>
    <row r="378" s="164" customFormat="1"/>
    <row r="379" s="164" customFormat="1"/>
    <row r="380" s="164" customFormat="1"/>
    <row r="381" s="164" customFormat="1"/>
    <row r="382" s="164" customFormat="1"/>
    <row r="383" s="164" customFormat="1"/>
    <row r="384" s="164" customFormat="1"/>
    <row r="385" s="164" customFormat="1"/>
    <row r="386" s="164" customFormat="1"/>
    <row r="387" s="164" customFormat="1"/>
    <row r="388" s="164" customFormat="1"/>
    <row r="389" s="164" customFormat="1"/>
    <row r="390" s="164" customFormat="1"/>
    <row r="391" s="164" customFormat="1"/>
    <row r="392" s="164" customFormat="1"/>
    <row r="393" s="164" customFormat="1"/>
    <row r="394" s="164" customFormat="1"/>
    <row r="395" s="164" customFormat="1"/>
    <row r="396" s="164" customFormat="1"/>
    <row r="397" s="164" customFormat="1"/>
    <row r="398" s="164" customFormat="1"/>
    <row r="399" s="164" customFormat="1"/>
    <row r="400" s="164" customFormat="1"/>
    <row r="401" s="164" customFormat="1"/>
    <row r="402" s="164" customFormat="1"/>
    <row r="403" s="164" customFormat="1"/>
    <row r="404" s="164" customFormat="1"/>
    <row r="405" s="164" customFormat="1"/>
    <row r="406" s="164" customFormat="1"/>
    <row r="407" s="164" customFormat="1"/>
    <row r="408" s="164" customFormat="1"/>
    <row r="409" s="164" customFormat="1"/>
    <row r="410" s="164" customFormat="1"/>
    <row r="411" s="164" customFormat="1"/>
    <row r="412" s="164" customFormat="1"/>
    <row r="413" s="164" customFormat="1"/>
    <row r="414" s="164" customFormat="1"/>
    <row r="415" s="164" customFormat="1"/>
    <row r="416" s="164" customFormat="1"/>
    <row r="417" s="164" customFormat="1"/>
    <row r="418" s="164" customFormat="1"/>
  </sheetData>
  <mergeCells count="297"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  <mergeCell ref="K31:L31"/>
    <mergeCell ref="N31:O31"/>
    <mergeCell ref="A33:I33"/>
    <mergeCell ref="K33:L33"/>
    <mergeCell ref="N33:O33"/>
    <mergeCell ref="A36:G36"/>
    <mergeCell ref="A27:B27"/>
    <mergeCell ref="A28:I28"/>
    <mergeCell ref="A29:I29"/>
    <mergeCell ref="K29:L29"/>
    <mergeCell ref="N29:O29"/>
    <mergeCell ref="K30:L30"/>
    <mergeCell ref="N30:O30"/>
    <mergeCell ref="G44:H44"/>
    <mergeCell ref="I44:J44"/>
    <mergeCell ref="K44:L44"/>
    <mergeCell ref="M44:N44"/>
    <mergeCell ref="B53:C53"/>
    <mergeCell ref="A55:I55"/>
    <mergeCell ref="K40:L40"/>
    <mergeCell ref="N40:O40"/>
    <mergeCell ref="B41:I41"/>
    <mergeCell ref="A42:I42"/>
    <mergeCell ref="A43:A45"/>
    <mergeCell ref="B43:C45"/>
    <mergeCell ref="D43:D45"/>
    <mergeCell ref="E43:N43"/>
    <mergeCell ref="O43:P44"/>
    <mergeCell ref="E44:F44"/>
    <mergeCell ref="A56:A58"/>
    <mergeCell ref="B56:C58"/>
    <mergeCell ref="D56:D58"/>
    <mergeCell ref="E56:N56"/>
    <mergeCell ref="O56:P57"/>
    <mergeCell ref="E57:F57"/>
    <mergeCell ref="G57:H57"/>
    <mergeCell ref="I57:J57"/>
    <mergeCell ref="K57:L57"/>
    <mergeCell ref="M57:N57"/>
    <mergeCell ref="K65:L65"/>
    <mergeCell ref="N65:O65"/>
    <mergeCell ref="K66:L66"/>
    <mergeCell ref="N66:O66"/>
    <mergeCell ref="K67:L67"/>
    <mergeCell ref="N67:O67"/>
    <mergeCell ref="B59:C59"/>
    <mergeCell ref="B60:C60"/>
    <mergeCell ref="B61:C61"/>
    <mergeCell ref="B62:C62"/>
    <mergeCell ref="K64:L64"/>
    <mergeCell ref="N64:O64"/>
    <mergeCell ref="K73:L73"/>
    <mergeCell ref="N73:O73"/>
    <mergeCell ref="B74:K74"/>
    <mergeCell ref="B75:I75"/>
    <mergeCell ref="A76:A77"/>
    <mergeCell ref="B76:D77"/>
    <mergeCell ref="E76:F77"/>
    <mergeCell ref="G76:H76"/>
    <mergeCell ref="I76:J76"/>
    <mergeCell ref="K76:N76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A82:A83"/>
    <mergeCell ref="B82:D83"/>
    <mergeCell ref="E82:F83"/>
    <mergeCell ref="G82:H82"/>
    <mergeCell ref="I82:J82"/>
    <mergeCell ref="K82:N82"/>
    <mergeCell ref="B79:D79"/>
    <mergeCell ref="E79:F79"/>
    <mergeCell ref="K79:L79"/>
    <mergeCell ref="M79:N79"/>
    <mergeCell ref="B85:D85"/>
    <mergeCell ref="E85:F85"/>
    <mergeCell ref="K85:L85"/>
    <mergeCell ref="M85:N85"/>
    <mergeCell ref="O85:P85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B88:C88"/>
    <mergeCell ref="E88:F88"/>
    <mergeCell ref="G88:J88"/>
    <mergeCell ref="K88:N88"/>
    <mergeCell ref="O88:P88"/>
    <mergeCell ref="B89:C89"/>
    <mergeCell ref="E89:F89"/>
    <mergeCell ref="G89:J89"/>
    <mergeCell ref="K89:N89"/>
    <mergeCell ref="O89:P89"/>
    <mergeCell ref="B92:C92"/>
    <mergeCell ref="E92:F92"/>
    <mergeCell ref="G92:J92"/>
    <mergeCell ref="K92:N92"/>
    <mergeCell ref="O92:P92"/>
    <mergeCell ref="K94:L94"/>
    <mergeCell ref="N94:O94"/>
    <mergeCell ref="B90:C90"/>
    <mergeCell ref="E90:F90"/>
    <mergeCell ref="G90:J90"/>
    <mergeCell ref="O90:P90"/>
    <mergeCell ref="B91:C91"/>
    <mergeCell ref="E91:F91"/>
    <mergeCell ref="G91:J91"/>
    <mergeCell ref="K91:N91"/>
    <mergeCell ref="O91:P91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L121:O121"/>
    <mergeCell ref="D122:E122"/>
    <mergeCell ref="F122:G122"/>
    <mergeCell ref="H122:I122"/>
    <mergeCell ref="J122:K122"/>
    <mergeCell ref="L122:M122"/>
    <mergeCell ref="N122:O122"/>
    <mergeCell ref="B110:O110"/>
    <mergeCell ref="G111:H111"/>
    <mergeCell ref="G112:I112"/>
    <mergeCell ref="D119:E119"/>
    <mergeCell ref="J119:K119"/>
    <mergeCell ref="A120:B123"/>
    <mergeCell ref="C120:C123"/>
    <mergeCell ref="D120:O120"/>
    <mergeCell ref="D121:G121"/>
    <mergeCell ref="H121:K121"/>
    <mergeCell ref="K137:L137"/>
    <mergeCell ref="N137:O137"/>
    <mergeCell ref="K138:L138"/>
    <mergeCell ref="N138:O138"/>
    <mergeCell ref="K145:L145"/>
    <mergeCell ref="N145:O145"/>
    <mergeCell ref="A133:B133"/>
    <mergeCell ref="A134:I134"/>
    <mergeCell ref="A135:I135"/>
    <mergeCell ref="K135:L135"/>
    <mergeCell ref="N135:O135"/>
    <mergeCell ref="K136:L136"/>
    <mergeCell ref="N136:O136"/>
    <mergeCell ref="O150:P151"/>
    <mergeCell ref="E151:F151"/>
    <mergeCell ref="G151:H151"/>
    <mergeCell ref="I151:J151"/>
    <mergeCell ref="K151:L151"/>
    <mergeCell ref="M151:N151"/>
    <mergeCell ref="B148:I148"/>
    <mergeCell ref="A149:I149"/>
    <mergeCell ref="A150:A152"/>
    <mergeCell ref="B150:C152"/>
    <mergeCell ref="D150:D152"/>
    <mergeCell ref="E150:N150"/>
    <mergeCell ref="O165:P166"/>
    <mergeCell ref="E166:F166"/>
    <mergeCell ref="G166:H166"/>
    <mergeCell ref="I166:J166"/>
    <mergeCell ref="K166:L166"/>
    <mergeCell ref="M166:N166"/>
    <mergeCell ref="B162:C162"/>
    <mergeCell ref="A164:I164"/>
    <mergeCell ref="A165:A167"/>
    <mergeCell ref="B165:C167"/>
    <mergeCell ref="D165:D167"/>
    <mergeCell ref="E165:N165"/>
    <mergeCell ref="N174:O174"/>
    <mergeCell ref="K175:L175"/>
    <mergeCell ref="N175:O175"/>
    <mergeCell ref="K176:L176"/>
    <mergeCell ref="N176:O176"/>
    <mergeCell ref="K177:L177"/>
    <mergeCell ref="N177:O177"/>
    <mergeCell ref="B168:C168"/>
    <mergeCell ref="B169:C169"/>
    <mergeCell ref="B170:C170"/>
    <mergeCell ref="B171:C171"/>
    <mergeCell ref="B172:C172"/>
    <mergeCell ref="K174:L174"/>
    <mergeCell ref="K188:L188"/>
    <mergeCell ref="N188:O188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O196:P196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A199:A200"/>
    <mergeCell ref="B199:D200"/>
    <mergeCell ref="E199:F200"/>
    <mergeCell ref="G199:H199"/>
    <mergeCell ref="I199:J199"/>
    <mergeCell ref="K199:N199"/>
    <mergeCell ref="B196:D196"/>
    <mergeCell ref="E196:F196"/>
    <mergeCell ref="K196:L196"/>
    <mergeCell ref="M196:N196"/>
    <mergeCell ref="B202:D202"/>
    <mergeCell ref="E202:F202"/>
    <mergeCell ref="K202:L202"/>
    <mergeCell ref="M202:N202"/>
    <mergeCell ref="O202:P202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K214:L214"/>
    <mergeCell ref="N214:O214"/>
    <mergeCell ref="K228:L228"/>
    <mergeCell ref="N228:O228"/>
    <mergeCell ref="K211:L211"/>
    <mergeCell ref="N211:O211"/>
    <mergeCell ref="K212:L212"/>
    <mergeCell ref="N212:O212"/>
    <mergeCell ref="K213:L213"/>
    <mergeCell ref="N213:O213"/>
  </mergeCells>
  <printOptions horizontalCentered="1"/>
  <pageMargins left="0.2" right="0.2" top="0.25" bottom="0.25" header="0.3" footer="0.3"/>
  <pageSetup paperSize="9" scale="53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2"/>
  <sheetViews>
    <sheetView view="pageBreakPreview" topLeftCell="D11" zoomScaleNormal="100" zoomScaleSheetLayoutView="100" workbookViewId="0">
      <selection activeCell="J30" sqref="J30"/>
    </sheetView>
  </sheetViews>
  <sheetFormatPr defaultColWidth="9.140625" defaultRowHeight="15"/>
  <cols>
    <col min="1" max="2" width="15.85546875" style="1" customWidth="1"/>
    <col min="3" max="3" width="16.855468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9.425781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107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1">
        <v>169</v>
      </c>
      <c r="E13" s="128" t="s">
        <v>4</v>
      </c>
      <c r="F13" s="381">
        <v>116</v>
      </c>
      <c r="G13" s="381"/>
      <c r="H13" s="128" t="s">
        <v>5</v>
      </c>
      <c r="J13" s="382">
        <v>56704.61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96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26583</v>
      </c>
      <c r="J20" s="16"/>
      <c r="K20" s="30">
        <f>ROUND(I20*1.96772561411428,2)</f>
        <v>52308.05</v>
      </c>
      <c r="L20" s="16"/>
      <c r="M20" s="142">
        <f>I20+'3-MAR'!M20</f>
        <v>169487</v>
      </c>
      <c r="N20" s="16"/>
      <c r="O20" s="17">
        <f>K20+'3-MAR'!O20</f>
        <v>270842.77999999997</v>
      </c>
      <c r="Q20" s="138">
        <f>M20+I20</f>
        <v>196070</v>
      </c>
      <c r="R20" s="57"/>
      <c r="S20" s="58">
        <f t="shared" ref="S20:S26" si="0">O20+K20</f>
        <v>323150.82999999996</v>
      </c>
    </row>
    <row r="21" spans="1:19" ht="22.15" customHeight="1">
      <c r="A21" s="14" t="s">
        <v>98</v>
      </c>
      <c r="B21" s="21" t="s">
        <v>108</v>
      </c>
      <c r="C21" s="16" t="s">
        <v>8</v>
      </c>
      <c r="D21" s="17"/>
      <c r="E21" s="17"/>
      <c r="F21" s="17"/>
      <c r="G21" s="17"/>
      <c r="H21" s="16"/>
      <c r="I21" s="143">
        <v>576</v>
      </c>
      <c r="J21" s="16"/>
      <c r="K21" s="30">
        <f>ROUND(I21*2.66,2)</f>
        <v>1532.16</v>
      </c>
      <c r="L21" s="16"/>
      <c r="M21" s="142">
        <f>I21</f>
        <v>576</v>
      </c>
      <c r="N21" s="16"/>
      <c r="O21" s="17">
        <f>K21</f>
        <v>1532.16</v>
      </c>
      <c r="Q21" s="139">
        <f t="shared" ref="Q21:Q26" si="1">M21+I21</f>
        <v>1152</v>
      </c>
      <c r="S21" s="59">
        <f t="shared" si="0"/>
        <v>3064.32</v>
      </c>
    </row>
    <row r="22" spans="1:19" ht="22.15" customHeight="1">
      <c r="A22" s="14" t="s">
        <v>98</v>
      </c>
      <c r="B22" s="21" t="s">
        <v>99</v>
      </c>
      <c r="C22" s="16" t="s">
        <v>8</v>
      </c>
      <c r="D22" s="17"/>
      <c r="E22" s="17"/>
      <c r="F22" s="17"/>
      <c r="G22" s="17"/>
      <c r="H22" s="16"/>
      <c r="I22" s="143">
        <v>35832</v>
      </c>
      <c r="J22" s="16"/>
      <c r="K22" s="30">
        <f>ROUND(I22*1.73571667782987,2)</f>
        <v>62194.2</v>
      </c>
      <c r="L22" s="16"/>
      <c r="M22" s="17">
        <f>I22+'3-MAR'!M22</f>
        <v>81280</v>
      </c>
      <c r="N22" s="16"/>
      <c r="O22" s="17">
        <f>K22+'3-MAR'!O22</f>
        <v>267740.36</v>
      </c>
      <c r="Q22" s="139"/>
      <c r="S22" s="59"/>
    </row>
    <row r="23" spans="1:19" ht="21.75" customHeight="1">
      <c r="A23" s="14" t="s">
        <v>98</v>
      </c>
      <c r="B23" s="21" t="s">
        <v>101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7">
        <f>'3-MAR'!M21</f>
        <v>4084</v>
      </c>
      <c r="N23" s="16"/>
      <c r="O23" s="17">
        <f>'3-MAR'!O21</f>
        <v>159328.16</v>
      </c>
      <c r="Q23" s="139"/>
      <c r="S23" s="59"/>
    </row>
    <row r="24" spans="1:19" ht="22.15" customHeight="1">
      <c r="A24" s="14" t="s">
        <v>98</v>
      </c>
      <c r="B24" s="15" t="s">
        <v>103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7">
        <f>'3-MAR'!M23</f>
        <v>3396</v>
      </c>
      <c r="N24" s="16"/>
      <c r="O24" s="17">
        <f>'3-MAR'!O23</f>
        <v>2272.8000000000002</v>
      </c>
      <c r="Q24" s="139">
        <f t="shared" si="1"/>
        <v>3396</v>
      </c>
      <c r="S24" s="59">
        <f t="shared" si="0"/>
        <v>2272.8000000000002</v>
      </c>
    </row>
    <row r="25" spans="1:19" ht="22.15" customHeight="1">
      <c r="A25" s="14" t="s">
        <v>98</v>
      </c>
      <c r="B25" s="15" t="s">
        <v>105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7">
        <f>'3-MAR'!M24</f>
        <v>1635</v>
      </c>
      <c r="N25" s="16"/>
      <c r="O25" s="17">
        <f>'3-MAR'!O24</f>
        <v>2452.5</v>
      </c>
      <c r="Q25" s="139">
        <f t="shared" si="1"/>
        <v>1635</v>
      </c>
      <c r="S25" s="59">
        <f t="shared" si="0"/>
        <v>2452.5</v>
      </c>
    </row>
    <row r="26" spans="1:19" ht="22.15" customHeight="1" thickBot="1">
      <c r="A26" s="14" t="s">
        <v>98</v>
      </c>
      <c r="B26" s="21" t="s">
        <v>104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7">
        <f>'3-MAR'!M25</f>
        <v>1848</v>
      </c>
      <c r="N26" s="16"/>
      <c r="O26" s="17">
        <f>'3-MAR'!O25</f>
        <v>2605.6799999999998</v>
      </c>
      <c r="Q26" s="139">
        <f t="shared" si="1"/>
        <v>1848</v>
      </c>
      <c r="S26" s="59">
        <f t="shared" si="0"/>
        <v>2605.6799999999998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62991</v>
      </c>
      <c r="J27" s="107"/>
      <c r="K27" s="109">
        <f>SUM(K20:K26)</f>
        <v>116034.41</v>
      </c>
      <c r="L27" s="107"/>
      <c r="M27" s="109">
        <f>SUM(M20:M26)</f>
        <v>262306</v>
      </c>
      <c r="N27" s="107"/>
      <c r="O27" s="110">
        <f>SUM(O20:O26)</f>
        <v>706774.44000000006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 customHeight="1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511" t="s">
        <v>118</v>
      </c>
      <c r="L29" s="511"/>
      <c r="M29" s="511"/>
      <c r="N29" s="385" t="str">
        <f>K29</f>
        <v>ថ្ងៃទី 15 ខែ មេសា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113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មេសា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145" t="str">
        <f t="shared" ref="B46:C52" si="2">A20</f>
        <v>LADIES</v>
      </c>
      <c r="C46" s="146" t="str">
        <f t="shared" si="2"/>
        <v>PANTS</v>
      </c>
      <c r="D46" s="42" t="s">
        <v>8</v>
      </c>
      <c r="E46" s="148">
        <v>26583</v>
      </c>
      <c r="F46" s="148">
        <v>52308.05</v>
      </c>
      <c r="G46" s="144"/>
      <c r="H46" s="17"/>
      <c r="I46" s="31"/>
      <c r="J46" s="31"/>
      <c r="K46" s="31"/>
      <c r="L46" s="17"/>
      <c r="M46" s="31"/>
      <c r="N46" s="17"/>
      <c r="O46" s="44">
        <f>M20</f>
        <v>169487</v>
      </c>
      <c r="P46" s="44">
        <f>O20</f>
        <v>270842.77999999997</v>
      </c>
    </row>
    <row r="47" spans="1:16" ht="25.15" customHeight="1">
      <c r="A47" s="27">
        <v>2</v>
      </c>
      <c r="B47" s="145" t="str">
        <f t="shared" si="2"/>
        <v>LADIES</v>
      </c>
      <c r="C47" s="146" t="str">
        <f t="shared" si="2"/>
        <v>DRESS</v>
      </c>
      <c r="D47" s="42" t="s">
        <v>8</v>
      </c>
      <c r="E47" s="148">
        <v>576</v>
      </c>
      <c r="F47" s="148">
        <v>1532.16</v>
      </c>
      <c r="G47" s="144"/>
      <c r="H47" s="17"/>
      <c r="I47" s="31"/>
      <c r="J47" s="31"/>
      <c r="K47" s="31"/>
      <c r="L47" s="17"/>
      <c r="M47" s="31"/>
      <c r="N47" s="17"/>
      <c r="O47" s="44">
        <f>M21</f>
        <v>576</v>
      </c>
      <c r="P47" s="44">
        <f>O21</f>
        <v>1532.16</v>
      </c>
    </row>
    <row r="48" spans="1:16" ht="25.15" customHeight="1">
      <c r="A48" s="27">
        <v>3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>
        <v>17916</v>
      </c>
      <c r="F48" s="17">
        <v>38199.599999999999</v>
      </c>
      <c r="G48" s="144">
        <v>17916</v>
      </c>
      <c r="H48" s="17">
        <v>23994.6</v>
      </c>
      <c r="I48" s="34"/>
      <c r="J48" s="34"/>
      <c r="K48" s="31"/>
      <c r="L48" s="17"/>
      <c r="M48" s="31"/>
      <c r="N48" s="17"/>
      <c r="O48" s="44">
        <f>M22</f>
        <v>81280</v>
      </c>
      <c r="P48" s="44">
        <f>O22</f>
        <v>267740.36</v>
      </c>
    </row>
    <row r="49" spans="1:20" ht="25.15" customHeight="1">
      <c r="A49" s="27">
        <v>4</v>
      </c>
      <c r="B49" s="145" t="str">
        <f t="shared" si="2"/>
        <v>LADIES</v>
      </c>
      <c r="C49" s="146" t="str">
        <f t="shared" si="2"/>
        <v>NIGHT GOWN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ref="O49:O52" si="3">M23</f>
        <v>4084</v>
      </c>
      <c r="P49" s="44">
        <f t="shared" ref="P49:P52" si="4">O23</f>
        <v>159328.16</v>
      </c>
    </row>
    <row r="50" spans="1:20" ht="25.15" customHeight="1">
      <c r="A50" s="27">
        <v>5</v>
      </c>
      <c r="B50" s="145" t="str">
        <f t="shared" si="2"/>
        <v>LADIES</v>
      </c>
      <c r="C50" s="146" t="str">
        <f t="shared" si="2"/>
        <v>TANK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3"/>
        <v>3396</v>
      </c>
      <c r="P50" s="44">
        <f t="shared" si="4"/>
        <v>2272.8000000000002</v>
      </c>
    </row>
    <row r="51" spans="1:20" ht="25.15" customHeight="1">
      <c r="A51" s="27">
        <v>6</v>
      </c>
      <c r="B51" s="145" t="str">
        <f t="shared" si="2"/>
        <v>LADIES</v>
      </c>
      <c r="C51" s="146" t="str">
        <f t="shared" si="2"/>
        <v>SKIRT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3"/>
        <v>1635</v>
      </c>
      <c r="P51" s="44">
        <f t="shared" si="4"/>
        <v>2452.5</v>
      </c>
    </row>
    <row r="52" spans="1:20" ht="25.15" customHeight="1" thickBot="1">
      <c r="A52" s="27">
        <v>7</v>
      </c>
      <c r="B52" s="145" t="str">
        <f t="shared" si="2"/>
        <v>LADIES</v>
      </c>
      <c r="C52" s="146" t="str">
        <f t="shared" si="2"/>
        <v>SHORT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3"/>
        <v>1848</v>
      </c>
      <c r="P52" s="44">
        <f t="shared" si="4"/>
        <v>2605.6799999999998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5">SUM(E46:E52)</f>
        <v>45075</v>
      </c>
      <c r="F53" s="113">
        <f t="shared" si="5"/>
        <v>92039.81</v>
      </c>
      <c r="G53" s="113">
        <f t="shared" si="5"/>
        <v>17916</v>
      </c>
      <c r="H53" s="113">
        <f t="shared" si="5"/>
        <v>23994.6</v>
      </c>
      <c r="I53" s="113">
        <f t="shared" si="5"/>
        <v>0</v>
      </c>
      <c r="J53" s="113">
        <f t="shared" si="5"/>
        <v>0</v>
      </c>
      <c r="K53" s="113">
        <f t="shared" si="5"/>
        <v>0</v>
      </c>
      <c r="L53" s="113">
        <f t="shared" si="5"/>
        <v>0</v>
      </c>
      <c r="M53" s="113">
        <f t="shared" si="5"/>
        <v>0</v>
      </c>
      <c r="N53" s="113">
        <f t="shared" si="5"/>
        <v>0</v>
      </c>
      <c r="O53" s="114">
        <f t="shared" si="5"/>
        <v>262306</v>
      </c>
      <c r="P53" s="115">
        <f t="shared" si="5"/>
        <v>706774.44000000006</v>
      </c>
    </row>
    <row r="54" spans="1:20" ht="23.25">
      <c r="A54" s="94"/>
      <c r="B54" s="43"/>
      <c r="C54" s="43"/>
      <c r="D54" s="43"/>
      <c r="E54" s="98"/>
      <c r="F54" s="99"/>
      <c r="G54" s="99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មេសា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6">E59+G59+I59+K59+M59</f>
        <v>0</v>
      </c>
      <c r="R59" s="19">
        <f t="shared" si="6"/>
        <v>0</v>
      </c>
      <c r="S59" s="130">
        <f t="shared" ref="S59:T61" si="7">Q59+O59</f>
        <v>0</v>
      </c>
      <c r="T59" s="131">
        <f t="shared" si="7"/>
        <v>0</v>
      </c>
    </row>
    <row r="60" spans="1:20" ht="31.15" customHeight="1">
      <c r="A60" s="32">
        <v>3</v>
      </c>
      <c r="B60" s="412" t="s">
        <v>33</v>
      </c>
      <c r="C60" s="413"/>
      <c r="D60" s="42"/>
      <c r="E60" s="34">
        <v>116399</v>
      </c>
      <c r="F60" s="34">
        <v>119687.88</v>
      </c>
      <c r="G60" s="33"/>
      <c r="H60" s="33"/>
      <c r="I60" s="126"/>
      <c r="J60" s="34"/>
      <c r="K60" s="34"/>
      <c r="L60" s="34"/>
      <c r="M60" s="33"/>
      <c r="N60" s="33"/>
      <c r="O60" s="34">
        <f>E60+'3-MAR'!O60</f>
        <v>450223.4</v>
      </c>
      <c r="P60" s="34">
        <f>F60+'3-MAR'!P60</f>
        <v>443037.6</v>
      </c>
      <c r="Q60" s="19">
        <f t="shared" si="6"/>
        <v>116399</v>
      </c>
      <c r="R60" s="19">
        <f t="shared" si="6"/>
        <v>119687.88</v>
      </c>
      <c r="S60" s="132">
        <f t="shared" si="7"/>
        <v>566622.4</v>
      </c>
      <c r="T60" s="133">
        <f t="shared" si="7"/>
        <v>562725.48</v>
      </c>
    </row>
    <row r="61" spans="1:20" ht="31.15" customHeight="1" thickBot="1">
      <c r="A61" s="104">
        <v>4</v>
      </c>
      <c r="B61" s="414" t="s">
        <v>34</v>
      </c>
      <c r="C61" s="414"/>
      <c r="D61" s="53"/>
      <c r="E61" s="127">
        <v>142</v>
      </c>
      <c r="F61" s="116">
        <v>142</v>
      </c>
      <c r="G61" s="116"/>
      <c r="H61" s="116"/>
      <c r="I61" s="116"/>
      <c r="J61" s="116"/>
      <c r="K61" s="117"/>
      <c r="L61" s="117"/>
      <c r="M61" s="116"/>
      <c r="N61" s="116"/>
      <c r="O61" s="106">
        <f>E61+'3-MAR'!O61</f>
        <v>756</v>
      </c>
      <c r="P61" s="106">
        <f>F61+'3-MAR'!P61</f>
        <v>756</v>
      </c>
      <c r="Q61" s="19">
        <f t="shared" si="6"/>
        <v>142</v>
      </c>
      <c r="R61" s="19">
        <f t="shared" si="6"/>
        <v>142</v>
      </c>
      <c r="S61" s="134">
        <f t="shared" si="7"/>
        <v>898</v>
      </c>
      <c r="T61" s="135">
        <f t="shared" si="7"/>
        <v>898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8">SUM(E59:E61)</f>
        <v>116541</v>
      </c>
      <c r="F62" s="103">
        <f t="shared" si="8"/>
        <v>119829.88</v>
      </c>
      <c r="G62" s="103">
        <f t="shared" si="8"/>
        <v>0</v>
      </c>
      <c r="H62" s="103">
        <f t="shared" si="8"/>
        <v>0</v>
      </c>
      <c r="I62" s="103">
        <f t="shared" si="8"/>
        <v>0</v>
      </c>
      <c r="J62" s="103">
        <f t="shared" si="8"/>
        <v>0</v>
      </c>
      <c r="K62" s="103">
        <f t="shared" si="8"/>
        <v>0</v>
      </c>
      <c r="L62" s="103">
        <f t="shared" si="8"/>
        <v>0</v>
      </c>
      <c r="M62" s="103">
        <f t="shared" si="8"/>
        <v>0</v>
      </c>
      <c r="N62" s="103">
        <f t="shared" si="8"/>
        <v>0</v>
      </c>
      <c r="O62" s="103">
        <f t="shared" si="8"/>
        <v>450979.4</v>
      </c>
      <c r="P62" s="103">
        <f t="shared" si="8"/>
        <v>443793.6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មេសា ឆ្នាំ2026</v>
      </c>
      <c r="L64" s="386"/>
      <c r="M64" s="69"/>
      <c r="N64" s="386" t="str">
        <f>N29</f>
        <v>ថ្ងៃទី 15 ខែ មេសា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CUNLAN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មេសា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I78+'3-MAR'!K78:L78</f>
        <v>45472</v>
      </c>
      <c r="L78" s="436"/>
      <c r="M78" s="435">
        <f>J78+'3-MAR'!M78:N78</f>
        <v>6229.6640000000007</v>
      </c>
      <c r="N78" s="436"/>
      <c r="O78" s="437"/>
      <c r="P78" s="438"/>
      <c r="Q78" s="92">
        <f>K78+I78</f>
        <v>56840</v>
      </c>
      <c r="R78" s="93">
        <f>M78+J78</f>
        <v>7787.0800000000008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45472</v>
      </c>
      <c r="L79" s="444"/>
      <c r="M79" s="445">
        <f>SUM(M78)</f>
        <v>6229.6640000000007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មេសា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I84+'3-MAR'!K84:L84</f>
        <v>332</v>
      </c>
      <c r="L84" s="436"/>
      <c r="M84" s="435">
        <f>J84+'3-MAR'!M84:N84</f>
        <v>182.60000000000002</v>
      </c>
      <c r="N84" s="436"/>
      <c r="O84" s="437"/>
      <c r="P84" s="438"/>
      <c r="Q84" s="92">
        <f>K84+I84</f>
        <v>415</v>
      </c>
      <c r="R84" s="93">
        <f>M84+J84</f>
        <v>228.25000000000003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332</v>
      </c>
      <c r="L85" s="444"/>
      <c r="M85" s="445">
        <f>SUM(M84)</f>
        <v>182.60000000000002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មេសា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មេសា ឆ្នាំ2026</v>
      </c>
      <c r="L94" s="386"/>
      <c r="M94" s="80"/>
      <c r="N94" s="460" t="str">
        <f>N29</f>
        <v>ថ្ងៃទី 15 ខែ មេសា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CUNLAN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363"/>
      <c r="L228" s="363"/>
      <c r="M228" s="200"/>
      <c r="N228" s="363"/>
      <c r="O228" s="363"/>
      <c r="P228" s="200"/>
    </row>
    <row r="229" spans="1:16" s="164" customFormat="1"/>
    <row r="230" spans="1:16" s="164" customFormat="1"/>
    <row r="231" spans="1:16" s="164" customFormat="1"/>
    <row r="232" spans="1:16" s="164" customFormat="1"/>
  </sheetData>
  <mergeCells count="297"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  <mergeCell ref="K31:L31"/>
    <mergeCell ref="N31:O31"/>
    <mergeCell ref="A33:I33"/>
    <mergeCell ref="K33:L33"/>
    <mergeCell ref="N33:O33"/>
    <mergeCell ref="A36:G36"/>
    <mergeCell ref="A27:B27"/>
    <mergeCell ref="A28:I28"/>
    <mergeCell ref="A29:I29"/>
    <mergeCell ref="N29:O29"/>
    <mergeCell ref="K30:L30"/>
    <mergeCell ref="N30:O30"/>
    <mergeCell ref="K29:M29"/>
    <mergeCell ref="G44:H44"/>
    <mergeCell ref="I44:J44"/>
    <mergeCell ref="K44:L44"/>
    <mergeCell ref="M44:N44"/>
    <mergeCell ref="B53:C53"/>
    <mergeCell ref="A55:I55"/>
    <mergeCell ref="K40:L40"/>
    <mergeCell ref="N40:O40"/>
    <mergeCell ref="B41:I41"/>
    <mergeCell ref="A42:I42"/>
    <mergeCell ref="A43:A45"/>
    <mergeCell ref="B43:C45"/>
    <mergeCell ref="D43:D45"/>
    <mergeCell ref="E43:N43"/>
    <mergeCell ref="O43:P44"/>
    <mergeCell ref="E44:F44"/>
    <mergeCell ref="A56:A58"/>
    <mergeCell ref="B56:C58"/>
    <mergeCell ref="D56:D58"/>
    <mergeCell ref="E56:N56"/>
    <mergeCell ref="O56:P57"/>
    <mergeCell ref="E57:F57"/>
    <mergeCell ref="G57:H57"/>
    <mergeCell ref="I57:J57"/>
    <mergeCell ref="K57:L57"/>
    <mergeCell ref="M57:N57"/>
    <mergeCell ref="K65:L65"/>
    <mergeCell ref="N65:O65"/>
    <mergeCell ref="K66:L66"/>
    <mergeCell ref="N66:O66"/>
    <mergeCell ref="K67:L67"/>
    <mergeCell ref="N67:O67"/>
    <mergeCell ref="B59:C59"/>
    <mergeCell ref="B60:C60"/>
    <mergeCell ref="B61:C61"/>
    <mergeCell ref="B62:C62"/>
    <mergeCell ref="K64:L64"/>
    <mergeCell ref="N64:O64"/>
    <mergeCell ref="K73:L73"/>
    <mergeCell ref="N73:O73"/>
    <mergeCell ref="B74:K74"/>
    <mergeCell ref="B75:I75"/>
    <mergeCell ref="A76:A77"/>
    <mergeCell ref="B76:D77"/>
    <mergeCell ref="E76:F77"/>
    <mergeCell ref="G76:H76"/>
    <mergeCell ref="I76:J76"/>
    <mergeCell ref="K76:N76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A82:A83"/>
    <mergeCell ref="B82:D83"/>
    <mergeCell ref="E82:F83"/>
    <mergeCell ref="G82:H82"/>
    <mergeCell ref="I82:J82"/>
    <mergeCell ref="K82:N82"/>
    <mergeCell ref="B79:D79"/>
    <mergeCell ref="E79:F79"/>
    <mergeCell ref="K79:L79"/>
    <mergeCell ref="M79:N79"/>
    <mergeCell ref="B85:D85"/>
    <mergeCell ref="E85:F85"/>
    <mergeCell ref="K85:L85"/>
    <mergeCell ref="M85:N85"/>
    <mergeCell ref="O85:P85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B88:C88"/>
    <mergeCell ref="E88:F88"/>
    <mergeCell ref="G88:J88"/>
    <mergeCell ref="K88:N88"/>
    <mergeCell ref="O88:P88"/>
    <mergeCell ref="B89:C89"/>
    <mergeCell ref="E89:F89"/>
    <mergeCell ref="G89:J89"/>
    <mergeCell ref="K89:N89"/>
    <mergeCell ref="O89:P89"/>
    <mergeCell ref="B92:C92"/>
    <mergeCell ref="E92:F92"/>
    <mergeCell ref="G92:J92"/>
    <mergeCell ref="K92:N92"/>
    <mergeCell ref="O92:P92"/>
    <mergeCell ref="K94:L94"/>
    <mergeCell ref="N94:O94"/>
    <mergeCell ref="B90:C90"/>
    <mergeCell ref="E90:F90"/>
    <mergeCell ref="G90:J90"/>
    <mergeCell ref="O90:P90"/>
    <mergeCell ref="B91:C91"/>
    <mergeCell ref="E91:F91"/>
    <mergeCell ref="G91:J91"/>
    <mergeCell ref="K91:N91"/>
    <mergeCell ref="O91:P91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L121:O121"/>
    <mergeCell ref="D122:E122"/>
    <mergeCell ref="F122:G122"/>
    <mergeCell ref="H122:I122"/>
    <mergeCell ref="J122:K122"/>
    <mergeCell ref="L122:M122"/>
    <mergeCell ref="N122:O122"/>
    <mergeCell ref="B110:O110"/>
    <mergeCell ref="G111:H111"/>
    <mergeCell ref="G112:I112"/>
    <mergeCell ref="D119:E119"/>
    <mergeCell ref="J119:K119"/>
    <mergeCell ref="A120:B123"/>
    <mergeCell ref="C120:C123"/>
    <mergeCell ref="D120:O120"/>
    <mergeCell ref="D121:G121"/>
    <mergeCell ref="H121:K121"/>
    <mergeCell ref="K137:L137"/>
    <mergeCell ref="N137:O137"/>
    <mergeCell ref="K138:L138"/>
    <mergeCell ref="N138:O138"/>
    <mergeCell ref="K145:L145"/>
    <mergeCell ref="N145:O145"/>
    <mergeCell ref="A133:B133"/>
    <mergeCell ref="A134:I134"/>
    <mergeCell ref="A135:I135"/>
    <mergeCell ref="K135:L135"/>
    <mergeCell ref="N135:O135"/>
    <mergeCell ref="K136:L136"/>
    <mergeCell ref="N136:O136"/>
    <mergeCell ref="O150:P151"/>
    <mergeCell ref="E151:F151"/>
    <mergeCell ref="G151:H151"/>
    <mergeCell ref="I151:J151"/>
    <mergeCell ref="K151:L151"/>
    <mergeCell ref="M151:N151"/>
    <mergeCell ref="B148:I148"/>
    <mergeCell ref="A149:I149"/>
    <mergeCell ref="A150:A152"/>
    <mergeCell ref="B150:C152"/>
    <mergeCell ref="D150:D152"/>
    <mergeCell ref="E150:N150"/>
    <mergeCell ref="O165:P166"/>
    <mergeCell ref="E166:F166"/>
    <mergeCell ref="G166:H166"/>
    <mergeCell ref="I166:J166"/>
    <mergeCell ref="K166:L166"/>
    <mergeCell ref="M166:N166"/>
    <mergeCell ref="B162:C162"/>
    <mergeCell ref="A164:I164"/>
    <mergeCell ref="A165:A167"/>
    <mergeCell ref="B165:C167"/>
    <mergeCell ref="D165:D167"/>
    <mergeCell ref="E165:N165"/>
    <mergeCell ref="N174:O174"/>
    <mergeCell ref="K175:L175"/>
    <mergeCell ref="N175:O175"/>
    <mergeCell ref="K176:L176"/>
    <mergeCell ref="N176:O176"/>
    <mergeCell ref="K177:L177"/>
    <mergeCell ref="N177:O177"/>
    <mergeCell ref="B168:C168"/>
    <mergeCell ref="B169:C169"/>
    <mergeCell ref="B170:C170"/>
    <mergeCell ref="B171:C171"/>
    <mergeCell ref="B172:C172"/>
    <mergeCell ref="K174:L174"/>
    <mergeCell ref="K188:L188"/>
    <mergeCell ref="N188:O188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O196:P196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A199:A200"/>
    <mergeCell ref="B199:D200"/>
    <mergeCell ref="E199:F200"/>
    <mergeCell ref="G199:H199"/>
    <mergeCell ref="I199:J199"/>
    <mergeCell ref="K199:N199"/>
    <mergeCell ref="B196:D196"/>
    <mergeCell ref="E196:F196"/>
    <mergeCell ref="K196:L196"/>
    <mergeCell ref="M196:N196"/>
    <mergeCell ref="B202:D202"/>
    <mergeCell ref="E202:F202"/>
    <mergeCell ref="K202:L202"/>
    <mergeCell ref="M202:N202"/>
    <mergeCell ref="O202:P202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K214:L214"/>
    <mergeCell ref="N214:O214"/>
    <mergeCell ref="K228:L228"/>
    <mergeCell ref="N228:O228"/>
    <mergeCell ref="K211:L211"/>
    <mergeCell ref="N211:O211"/>
    <mergeCell ref="K212:L212"/>
    <mergeCell ref="N212:O212"/>
    <mergeCell ref="K213:L213"/>
    <mergeCell ref="N213:O213"/>
  </mergeCells>
  <printOptions horizontalCentered="1"/>
  <pageMargins left="0.2" right="0.2" top="0.25" bottom="0.25" header="0.3" footer="0.3"/>
  <pageSetup paperSize="9" scale="53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4"/>
  <sheetViews>
    <sheetView view="pageBreakPreview" topLeftCell="B13" zoomScale="85" zoomScaleNormal="100" zoomScaleSheetLayoutView="85" workbookViewId="0">
      <selection activeCell="M31" sqref="M31"/>
    </sheetView>
  </sheetViews>
  <sheetFormatPr defaultColWidth="9.140625" defaultRowHeight="15"/>
  <cols>
    <col min="1" max="2" width="15.85546875" style="1" customWidth="1"/>
    <col min="3" max="3" width="17.855468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9.425781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7" width="13.28515625" style="1" bestFit="1" customWidth="1"/>
    <col min="18" max="18" width="16.7109375" style="1" customWidth="1"/>
    <col min="19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109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7">
        <v>151</v>
      </c>
      <c r="E13" s="128" t="s">
        <v>4</v>
      </c>
      <c r="F13" s="512">
        <v>105</v>
      </c>
      <c r="G13" s="512"/>
      <c r="H13" s="128" t="s">
        <v>5</v>
      </c>
      <c r="J13" s="382">
        <v>55620.7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96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45756</v>
      </c>
      <c r="J20" s="16"/>
      <c r="K20" s="17">
        <f>ROUND(I20*2.13575268817204,2)</f>
        <v>97723.5</v>
      </c>
      <c r="L20" s="16"/>
      <c r="M20" s="142">
        <f>I20+'4-APR'!M20</f>
        <v>215243</v>
      </c>
      <c r="N20" s="16"/>
      <c r="O20" s="17">
        <f>K20+'4-APR'!O20</f>
        <v>368566.27999999997</v>
      </c>
      <c r="Q20" s="138">
        <f>M20+I20</f>
        <v>260999</v>
      </c>
      <c r="R20" s="57"/>
      <c r="S20" s="58">
        <f t="shared" ref="S20:S26" si="0">O20+K20</f>
        <v>466289.77999999997</v>
      </c>
    </row>
    <row r="21" spans="1:19" ht="22.15" customHeight="1">
      <c r="A21" s="14" t="s">
        <v>98</v>
      </c>
      <c r="B21" s="21" t="s">
        <v>105</v>
      </c>
      <c r="C21" s="16" t="s">
        <v>8</v>
      </c>
      <c r="D21" s="17"/>
      <c r="E21" s="17"/>
      <c r="F21" s="17"/>
      <c r="G21" s="17"/>
      <c r="H21" s="16"/>
      <c r="I21" s="143">
        <v>175</v>
      </c>
      <c r="J21" s="16"/>
      <c r="K21" s="17">
        <f>ROUND(I21*2.3,2)</f>
        <v>402.5</v>
      </c>
      <c r="L21" s="16"/>
      <c r="M21" s="142">
        <f>I21+'2-FEB'!M22</f>
        <v>1810</v>
      </c>
      <c r="N21" s="16"/>
      <c r="O21" s="17">
        <f>K21+'2-FEB'!O22</f>
        <v>2855</v>
      </c>
      <c r="Q21" s="139">
        <f t="shared" ref="Q21:Q26" si="1">M21+I21</f>
        <v>1985</v>
      </c>
      <c r="S21" s="59">
        <f t="shared" si="0"/>
        <v>3257.5</v>
      </c>
    </row>
    <row r="22" spans="1:19" ht="22.15" customHeight="1">
      <c r="A22" s="14" t="s">
        <v>98</v>
      </c>
      <c r="B22" s="21" t="s">
        <v>99</v>
      </c>
      <c r="C22" s="16" t="s">
        <v>8</v>
      </c>
      <c r="D22" s="17"/>
      <c r="E22" s="17"/>
      <c r="F22" s="17"/>
      <c r="G22" s="17"/>
      <c r="H22" s="16"/>
      <c r="I22" s="143">
        <v>38268</v>
      </c>
      <c r="J22" s="16"/>
      <c r="K22" s="17">
        <f>ROUND(I22*1.34513954217623,2)</f>
        <v>51475.8</v>
      </c>
      <c r="L22" s="16"/>
      <c r="M22" s="17">
        <f>I22+'4-APR'!M22</f>
        <v>119548</v>
      </c>
      <c r="N22" s="16"/>
      <c r="O22" s="17">
        <f>K22+'4-APR'!O22</f>
        <v>319216.15999999997</v>
      </c>
      <c r="Q22" s="139"/>
      <c r="S22" s="59"/>
    </row>
    <row r="23" spans="1:19" ht="21.75" customHeight="1">
      <c r="A23" s="14" t="s">
        <v>98</v>
      </c>
      <c r="B23" s="21" t="s">
        <v>108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7">
        <f>'4-APR'!M22</f>
        <v>81280</v>
      </c>
      <c r="N23" s="16"/>
      <c r="O23" s="17">
        <f>'4-APR'!O22</f>
        <v>267740.36</v>
      </c>
      <c r="Q23" s="139"/>
      <c r="S23" s="59"/>
    </row>
    <row r="24" spans="1:19" ht="22.15" customHeight="1">
      <c r="A24" s="14" t="s">
        <v>98</v>
      </c>
      <c r="B24" s="21" t="s">
        <v>101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7">
        <f>'4-APR'!M21</f>
        <v>576</v>
      </c>
      <c r="N24" s="16"/>
      <c r="O24" s="17">
        <f>'4-APR'!O21</f>
        <v>1532.16</v>
      </c>
      <c r="Q24" s="139">
        <f t="shared" si="1"/>
        <v>576</v>
      </c>
      <c r="S24" s="59">
        <f t="shared" si="0"/>
        <v>1532.16</v>
      </c>
    </row>
    <row r="25" spans="1:19" ht="22.15" customHeight="1">
      <c r="A25" s="14" t="s">
        <v>98</v>
      </c>
      <c r="B25" s="15" t="s">
        <v>103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7">
        <f>'4-APR'!M24</f>
        <v>3396</v>
      </c>
      <c r="N25" s="16"/>
      <c r="O25" s="17">
        <f>'4-APR'!O24</f>
        <v>2272.8000000000002</v>
      </c>
      <c r="Q25" s="139">
        <f t="shared" si="1"/>
        <v>3396</v>
      </c>
      <c r="S25" s="59">
        <f t="shared" si="0"/>
        <v>2272.8000000000002</v>
      </c>
    </row>
    <row r="26" spans="1:19" ht="22.15" customHeight="1" thickBot="1">
      <c r="A26" s="14" t="s">
        <v>98</v>
      </c>
      <c r="B26" s="21" t="s">
        <v>104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7">
        <f>'4-APR'!M26</f>
        <v>1848</v>
      </c>
      <c r="N26" s="16"/>
      <c r="O26" s="17">
        <f>'4-APR'!O26</f>
        <v>2605.6799999999998</v>
      </c>
      <c r="Q26" s="139">
        <f t="shared" si="1"/>
        <v>1848</v>
      </c>
      <c r="S26" s="59">
        <f t="shared" si="0"/>
        <v>2605.6799999999998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84199</v>
      </c>
      <c r="J27" s="107"/>
      <c r="K27" s="109">
        <f>SUM(K20:K26)</f>
        <v>149601.79999999999</v>
      </c>
      <c r="L27" s="107"/>
      <c r="M27" s="109">
        <f>SUM(M20:M26)</f>
        <v>423701</v>
      </c>
      <c r="N27" s="107"/>
      <c r="O27" s="110">
        <f>SUM(O20:O26)</f>
        <v>964788.44000000006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 customHeight="1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511" t="s">
        <v>119</v>
      </c>
      <c r="L29" s="511"/>
      <c r="M29" s="511"/>
      <c r="N29" s="385" t="str">
        <f>K29</f>
        <v>ថ្ងៃទី 15 ខែ ឧសភា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114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ឧសភា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145" t="str">
        <f t="shared" ref="B46:C52" si="2">A20</f>
        <v>LADIES</v>
      </c>
      <c r="C46" s="146" t="str">
        <f t="shared" si="2"/>
        <v>PANTS</v>
      </c>
      <c r="D46" s="42" t="s">
        <v>8</v>
      </c>
      <c r="E46" s="148">
        <v>28491</v>
      </c>
      <c r="F46" s="148">
        <v>56882</v>
      </c>
      <c r="G46" s="144">
        <v>16545</v>
      </c>
      <c r="H46" s="17">
        <v>39444.700000000004</v>
      </c>
      <c r="I46" s="31"/>
      <c r="J46" s="31"/>
      <c r="K46" s="31"/>
      <c r="L46" s="17"/>
      <c r="M46" s="31">
        <v>720</v>
      </c>
      <c r="N46" s="17">
        <v>1396.8</v>
      </c>
      <c r="O46" s="44">
        <f>M20</f>
        <v>215243</v>
      </c>
      <c r="P46" s="44">
        <f>O20</f>
        <v>368566.27999999997</v>
      </c>
    </row>
    <row r="47" spans="1:16" ht="25.15" customHeight="1">
      <c r="A47" s="27">
        <v>2</v>
      </c>
      <c r="B47" s="145" t="str">
        <f t="shared" si="2"/>
        <v>LADIES</v>
      </c>
      <c r="C47" s="146" t="str">
        <f t="shared" si="2"/>
        <v>SKIRT</v>
      </c>
      <c r="D47" s="42" t="s">
        <v>8</v>
      </c>
      <c r="E47" s="148"/>
      <c r="F47" s="148"/>
      <c r="G47" s="144">
        <v>175</v>
      </c>
      <c r="H47" s="17">
        <v>402.5</v>
      </c>
      <c r="I47" s="31"/>
      <c r="J47" s="31"/>
      <c r="K47" s="31"/>
      <c r="L47" s="17"/>
      <c r="M47" s="31"/>
      <c r="N47" s="17"/>
      <c r="O47" s="44">
        <f>M21</f>
        <v>1810</v>
      </c>
      <c r="P47" s="44">
        <f>O21</f>
        <v>2855</v>
      </c>
    </row>
    <row r="48" spans="1:16" ht="25.15" customHeight="1">
      <c r="A48" s="27">
        <v>3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>
        <v>33444</v>
      </c>
      <c r="F48" s="17">
        <v>44682.6</v>
      </c>
      <c r="G48" s="144">
        <v>4824</v>
      </c>
      <c r="H48" s="17">
        <v>6793.2</v>
      </c>
      <c r="I48" s="34"/>
      <c r="J48" s="34"/>
      <c r="K48" s="31"/>
      <c r="L48" s="17"/>
      <c r="M48" s="31"/>
      <c r="N48" s="17"/>
      <c r="O48" s="44">
        <f>M22</f>
        <v>119548</v>
      </c>
      <c r="P48" s="44">
        <f t="shared" ref="P48:P52" si="3">O22</f>
        <v>319216.15999999997</v>
      </c>
    </row>
    <row r="49" spans="1:20" ht="25.15" customHeight="1">
      <c r="A49" s="27">
        <v>4</v>
      </c>
      <c r="B49" s="145" t="str">
        <f t="shared" si="2"/>
        <v>LADIES</v>
      </c>
      <c r="C49" s="146" t="str">
        <f t="shared" si="2"/>
        <v>DRESS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ref="O49:O52" si="4">M23</f>
        <v>81280</v>
      </c>
      <c r="P49" s="44">
        <f t="shared" si="3"/>
        <v>267740.36</v>
      </c>
    </row>
    <row r="50" spans="1:20" ht="25.15" customHeight="1">
      <c r="A50" s="27">
        <v>5</v>
      </c>
      <c r="B50" s="145" t="str">
        <f t="shared" si="2"/>
        <v>LADIES</v>
      </c>
      <c r="C50" s="146" t="str">
        <f t="shared" si="2"/>
        <v>NIGHT GOWN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4"/>
        <v>576</v>
      </c>
      <c r="P50" s="44">
        <f t="shared" si="3"/>
        <v>1532.16</v>
      </c>
    </row>
    <row r="51" spans="1:20" ht="25.15" customHeight="1">
      <c r="A51" s="27">
        <v>6</v>
      </c>
      <c r="B51" s="145" t="str">
        <f t="shared" si="2"/>
        <v>LADIES</v>
      </c>
      <c r="C51" s="146" t="str">
        <f t="shared" si="2"/>
        <v>TANK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4"/>
        <v>3396</v>
      </c>
      <c r="P51" s="44">
        <f t="shared" si="3"/>
        <v>2272.8000000000002</v>
      </c>
    </row>
    <row r="52" spans="1:20" ht="25.15" customHeight="1" thickBot="1">
      <c r="A52" s="27">
        <v>7</v>
      </c>
      <c r="B52" s="145" t="str">
        <f t="shared" si="2"/>
        <v>LADIES</v>
      </c>
      <c r="C52" s="146" t="str">
        <f t="shared" si="2"/>
        <v>SHORT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4"/>
        <v>1848</v>
      </c>
      <c r="P52" s="44">
        <f t="shared" si="3"/>
        <v>2605.6799999999998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5">SUM(E46:E52)</f>
        <v>61935</v>
      </c>
      <c r="F53" s="113">
        <f t="shared" si="5"/>
        <v>101564.6</v>
      </c>
      <c r="G53" s="113">
        <f t="shared" si="5"/>
        <v>21544</v>
      </c>
      <c r="H53" s="113">
        <f t="shared" si="5"/>
        <v>46640.4</v>
      </c>
      <c r="I53" s="113">
        <f t="shared" si="5"/>
        <v>0</v>
      </c>
      <c r="J53" s="113">
        <f t="shared" si="5"/>
        <v>0</v>
      </c>
      <c r="K53" s="113">
        <f t="shared" si="5"/>
        <v>0</v>
      </c>
      <c r="L53" s="113">
        <f t="shared" si="5"/>
        <v>0</v>
      </c>
      <c r="M53" s="113">
        <f t="shared" si="5"/>
        <v>720</v>
      </c>
      <c r="N53" s="113">
        <f t="shared" si="5"/>
        <v>1396.8</v>
      </c>
      <c r="O53" s="114">
        <f t="shared" si="5"/>
        <v>423701</v>
      </c>
      <c r="P53" s="115">
        <f t="shared" si="5"/>
        <v>964788.44000000006</v>
      </c>
    </row>
    <row r="54" spans="1:20" ht="23.25">
      <c r="A54" s="94"/>
      <c r="B54" s="43"/>
      <c r="C54" s="43"/>
      <c r="D54" s="43"/>
      <c r="E54" s="98"/>
      <c r="F54" s="99"/>
      <c r="G54" s="99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ឧសភា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6">E59+G59+I59+K59+M59</f>
        <v>0</v>
      </c>
      <c r="R59" s="19">
        <f t="shared" si="6"/>
        <v>0</v>
      </c>
      <c r="S59" s="130">
        <f t="shared" ref="S59:T61" si="7">Q59+O59</f>
        <v>0</v>
      </c>
      <c r="T59" s="131">
        <f t="shared" si="7"/>
        <v>0</v>
      </c>
    </row>
    <row r="60" spans="1:20" ht="31.15" customHeight="1">
      <c r="A60" s="32">
        <v>3</v>
      </c>
      <c r="B60" s="412" t="s">
        <v>33</v>
      </c>
      <c r="C60" s="413"/>
      <c r="D60" s="42"/>
      <c r="E60" s="34"/>
      <c r="F60" s="34"/>
      <c r="G60" s="33"/>
      <c r="H60" s="33"/>
      <c r="I60" s="126"/>
      <c r="J60" s="34"/>
      <c r="K60" s="34"/>
      <c r="L60" s="34"/>
      <c r="M60" s="33"/>
      <c r="N60" s="33"/>
      <c r="O60" s="34">
        <f>'4-APR'!O60</f>
        <v>450223.4</v>
      </c>
      <c r="P60" s="34">
        <f>'4-APR'!P60</f>
        <v>443037.6</v>
      </c>
      <c r="Q60" s="19">
        <f t="shared" si="6"/>
        <v>0</v>
      </c>
      <c r="R60" s="19">
        <f t="shared" si="6"/>
        <v>0</v>
      </c>
      <c r="S60" s="132">
        <f t="shared" si="7"/>
        <v>450223.4</v>
      </c>
      <c r="T60" s="133">
        <f t="shared" si="7"/>
        <v>443037.6</v>
      </c>
    </row>
    <row r="61" spans="1:20" ht="31.15" customHeight="1" thickBot="1">
      <c r="A61" s="104">
        <v>4</v>
      </c>
      <c r="B61" s="414" t="s">
        <v>34</v>
      </c>
      <c r="C61" s="414"/>
      <c r="D61" s="53"/>
      <c r="E61" s="127"/>
      <c r="F61" s="116"/>
      <c r="G61" s="116"/>
      <c r="H61" s="116"/>
      <c r="I61" s="116"/>
      <c r="J61" s="116"/>
      <c r="K61" s="117"/>
      <c r="L61" s="117"/>
      <c r="M61" s="116"/>
      <c r="N61" s="116"/>
      <c r="O61" s="34">
        <f>'4-APR'!O61</f>
        <v>756</v>
      </c>
      <c r="P61" s="34">
        <f>'4-APR'!P61</f>
        <v>756</v>
      </c>
      <c r="Q61" s="19">
        <f t="shared" si="6"/>
        <v>0</v>
      </c>
      <c r="R61" s="19">
        <f t="shared" si="6"/>
        <v>0</v>
      </c>
      <c r="S61" s="134">
        <f t="shared" si="7"/>
        <v>756</v>
      </c>
      <c r="T61" s="135">
        <f t="shared" si="7"/>
        <v>756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8">SUM(E59:E61)</f>
        <v>0</v>
      </c>
      <c r="F62" s="103">
        <f t="shared" si="8"/>
        <v>0</v>
      </c>
      <c r="G62" s="103">
        <f t="shared" si="8"/>
        <v>0</v>
      </c>
      <c r="H62" s="103">
        <f t="shared" si="8"/>
        <v>0</v>
      </c>
      <c r="I62" s="103">
        <f t="shared" si="8"/>
        <v>0</v>
      </c>
      <c r="J62" s="103">
        <f t="shared" si="8"/>
        <v>0</v>
      </c>
      <c r="K62" s="103">
        <f t="shared" si="8"/>
        <v>0</v>
      </c>
      <c r="L62" s="103">
        <f t="shared" si="8"/>
        <v>0</v>
      </c>
      <c r="M62" s="103">
        <f t="shared" si="8"/>
        <v>0</v>
      </c>
      <c r="N62" s="103">
        <f t="shared" si="8"/>
        <v>0</v>
      </c>
      <c r="O62" s="103">
        <f t="shared" si="8"/>
        <v>450979.4</v>
      </c>
      <c r="P62" s="103">
        <f t="shared" si="8"/>
        <v>443793.6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ឧសភា ឆ្នាំ2026</v>
      </c>
      <c r="L64" s="386"/>
      <c r="M64" s="69"/>
      <c r="N64" s="386" t="str">
        <f>N29</f>
        <v>ថ្ងៃទី 15 ខែ ឧសភា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CUNALN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ឧសភា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I78+'4-APR'!K78:L78</f>
        <v>56840</v>
      </c>
      <c r="L78" s="436"/>
      <c r="M78" s="435">
        <f>J78+'4-APR'!M78:N78</f>
        <v>7787.0800000000008</v>
      </c>
      <c r="N78" s="436"/>
      <c r="O78" s="437"/>
      <c r="P78" s="438"/>
      <c r="Q78" s="92">
        <f>K78+I78</f>
        <v>68208</v>
      </c>
      <c r="R78" s="93">
        <f>M78+J78</f>
        <v>9344.496000000001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56840</v>
      </c>
      <c r="L79" s="444"/>
      <c r="M79" s="445">
        <f>SUM(M78)</f>
        <v>7787.0800000000008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ឧសភា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I84+'4-APR'!K84:L84</f>
        <v>415</v>
      </c>
      <c r="L84" s="436"/>
      <c r="M84" s="435">
        <f>J84+'4-APR'!M84:N84</f>
        <v>228.25000000000003</v>
      </c>
      <c r="N84" s="436"/>
      <c r="O84" s="437"/>
      <c r="P84" s="438"/>
      <c r="Q84" s="92">
        <f>K84+I84</f>
        <v>498</v>
      </c>
      <c r="R84" s="93">
        <f>M84+J84</f>
        <v>273.90000000000003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415</v>
      </c>
      <c r="L85" s="444"/>
      <c r="M85" s="445">
        <f>SUM(M84)</f>
        <v>228.25000000000003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ឧសភា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ឧសភា ឆ្នាំ2026</v>
      </c>
      <c r="L94" s="386"/>
      <c r="M94" s="80"/>
      <c r="N94" s="460" t="str">
        <f>N29</f>
        <v>ថ្ងៃទី 15 ខែ ឧសភា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CUNALN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363"/>
      <c r="L228" s="363"/>
      <c r="M228" s="200"/>
      <c r="N228" s="363"/>
      <c r="O228" s="363"/>
      <c r="P228" s="200"/>
    </row>
    <row r="229" spans="1:16" s="164" customFormat="1"/>
    <row r="230" spans="1:16" s="164" customFormat="1"/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  <row r="250" s="164" customFormat="1"/>
    <row r="251" s="164" customFormat="1"/>
    <row r="252" s="164" customFormat="1"/>
    <row r="253" s="164" customFormat="1"/>
    <row r="254" s="164" customFormat="1"/>
    <row r="255" s="164" customFormat="1"/>
    <row r="256" s="164" customFormat="1"/>
    <row r="257" s="164" customFormat="1"/>
    <row r="258" s="164" customFormat="1"/>
    <row r="259" s="164" customFormat="1"/>
    <row r="260" s="164" customFormat="1"/>
    <row r="261" s="164" customFormat="1"/>
    <row r="262" s="164" customFormat="1"/>
    <row r="263" s="164" customFormat="1"/>
    <row r="264" s="164" customFormat="1"/>
    <row r="265" s="164" customFormat="1"/>
    <row r="266" s="164" customFormat="1"/>
    <row r="267" s="164" customFormat="1"/>
    <row r="268" s="164" customFormat="1"/>
    <row r="269" s="164" customFormat="1"/>
    <row r="270" s="164" customFormat="1"/>
    <row r="271" s="164" customFormat="1"/>
    <row r="272" s="164" customFormat="1"/>
    <row r="273" s="164" customFormat="1"/>
    <row r="274" s="164" customFormat="1"/>
    <row r="275" s="164" customFormat="1"/>
    <row r="276" s="164" customFormat="1"/>
    <row r="277" s="164" customFormat="1"/>
    <row r="278" s="164" customFormat="1"/>
    <row r="279" s="164" customFormat="1"/>
    <row r="280" s="164" customFormat="1"/>
    <row r="281" s="164" customFormat="1"/>
    <row r="282" s="164" customFormat="1"/>
    <row r="283" s="164" customFormat="1"/>
    <row r="284" s="164" customFormat="1"/>
    <row r="285" s="164" customFormat="1"/>
    <row r="286" s="164" customFormat="1"/>
    <row r="287" s="164" customFormat="1"/>
    <row r="288" s="164" customFormat="1"/>
    <row r="289" s="164" customFormat="1"/>
    <row r="290" s="164" customFormat="1"/>
    <row r="291" s="164" customFormat="1"/>
    <row r="292" s="164" customFormat="1"/>
    <row r="293" s="164" customFormat="1"/>
    <row r="294" s="164" customFormat="1"/>
    <row r="295" s="164" customFormat="1"/>
    <row r="296" s="164" customFormat="1"/>
    <row r="297" s="164" customFormat="1"/>
    <row r="298" s="164" customFormat="1"/>
    <row r="299" s="164" customFormat="1"/>
    <row r="300" s="164" customFormat="1"/>
    <row r="301" s="164" customFormat="1"/>
    <row r="302" s="164" customFormat="1"/>
    <row r="303" s="164" customFormat="1"/>
    <row r="304" s="164" customFormat="1"/>
  </sheetData>
  <mergeCells count="297"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  <mergeCell ref="K31:L31"/>
    <mergeCell ref="N31:O31"/>
    <mergeCell ref="A33:I33"/>
    <mergeCell ref="K33:L33"/>
    <mergeCell ref="N33:O33"/>
    <mergeCell ref="A36:G36"/>
    <mergeCell ref="A27:B27"/>
    <mergeCell ref="A28:I28"/>
    <mergeCell ref="A29:I29"/>
    <mergeCell ref="N29:O29"/>
    <mergeCell ref="K30:L30"/>
    <mergeCell ref="N30:O30"/>
    <mergeCell ref="K29:M29"/>
    <mergeCell ref="G44:H44"/>
    <mergeCell ref="I44:J44"/>
    <mergeCell ref="K44:L44"/>
    <mergeCell ref="M44:N44"/>
    <mergeCell ref="B53:C53"/>
    <mergeCell ref="A55:I55"/>
    <mergeCell ref="K40:L40"/>
    <mergeCell ref="N40:O40"/>
    <mergeCell ref="B41:I41"/>
    <mergeCell ref="A42:I42"/>
    <mergeCell ref="A43:A45"/>
    <mergeCell ref="B43:C45"/>
    <mergeCell ref="D43:D45"/>
    <mergeCell ref="E43:N43"/>
    <mergeCell ref="O43:P44"/>
    <mergeCell ref="E44:F44"/>
    <mergeCell ref="A56:A58"/>
    <mergeCell ref="B56:C58"/>
    <mergeCell ref="D56:D58"/>
    <mergeCell ref="E56:N56"/>
    <mergeCell ref="O56:P57"/>
    <mergeCell ref="E57:F57"/>
    <mergeCell ref="G57:H57"/>
    <mergeCell ref="I57:J57"/>
    <mergeCell ref="K57:L57"/>
    <mergeCell ref="M57:N57"/>
    <mergeCell ref="K65:L65"/>
    <mergeCell ref="N65:O65"/>
    <mergeCell ref="K66:L66"/>
    <mergeCell ref="N66:O66"/>
    <mergeCell ref="K67:L67"/>
    <mergeCell ref="N67:O67"/>
    <mergeCell ref="B59:C59"/>
    <mergeCell ref="B60:C60"/>
    <mergeCell ref="B61:C61"/>
    <mergeCell ref="B62:C62"/>
    <mergeCell ref="K64:L64"/>
    <mergeCell ref="N64:O64"/>
    <mergeCell ref="K73:L73"/>
    <mergeCell ref="N73:O73"/>
    <mergeCell ref="B74:K74"/>
    <mergeCell ref="B75:I75"/>
    <mergeCell ref="A76:A77"/>
    <mergeCell ref="B76:D77"/>
    <mergeCell ref="E76:F77"/>
    <mergeCell ref="G76:H76"/>
    <mergeCell ref="I76:J76"/>
    <mergeCell ref="K76:N76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A82:A83"/>
    <mergeCell ref="B82:D83"/>
    <mergeCell ref="E82:F83"/>
    <mergeCell ref="G82:H82"/>
    <mergeCell ref="I82:J82"/>
    <mergeCell ref="K82:N82"/>
    <mergeCell ref="B79:D79"/>
    <mergeCell ref="E79:F79"/>
    <mergeCell ref="K79:L79"/>
    <mergeCell ref="M79:N79"/>
    <mergeCell ref="B85:D85"/>
    <mergeCell ref="E85:F85"/>
    <mergeCell ref="K85:L85"/>
    <mergeCell ref="M85:N85"/>
    <mergeCell ref="O85:P85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B88:C88"/>
    <mergeCell ref="E88:F88"/>
    <mergeCell ref="G88:J88"/>
    <mergeCell ref="K88:N88"/>
    <mergeCell ref="O88:P88"/>
    <mergeCell ref="B89:C89"/>
    <mergeCell ref="E89:F89"/>
    <mergeCell ref="G89:J89"/>
    <mergeCell ref="K89:N89"/>
    <mergeCell ref="O89:P89"/>
    <mergeCell ref="B92:C92"/>
    <mergeCell ref="E92:F92"/>
    <mergeCell ref="G92:J92"/>
    <mergeCell ref="K92:N92"/>
    <mergeCell ref="O92:P92"/>
    <mergeCell ref="K94:L94"/>
    <mergeCell ref="N94:O94"/>
    <mergeCell ref="B90:C90"/>
    <mergeCell ref="E90:F90"/>
    <mergeCell ref="G90:J90"/>
    <mergeCell ref="O90:P90"/>
    <mergeCell ref="B91:C91"/>
    <mergeCell ref="E91:F91"/>
    <mergeCell ref="G91:J91"/>
    <mergeCell ref="K91:N91"/>
    <mergeCell ref="O91:P91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L121:O121"/>
    <mergeCell ref="D122:E122"/>
    <mergeCell ref="F122:G122"/>
    <mergeCell ref="H122:I122"/>
    <mergeCell ref="J122:K122"/>
    <mergeCell ref="L122:M122"/>
    <mergeCell ref="N122:O122"/>
    <mergeCell ref="B110:O110"/>
    <mergeCell ref="G111:H111"/>
    <mergeCell ref="G112:I112"/>
    <mergeCell ref="D119:E119"/>
    <mergeCell ref="J119:K119"/>
    <mergeCell ref="A120:B123"/>
    <mergeCell ref="C120:C123"/>
    <mergeCell ref="D120:O120"/>
    <mergeCell ref="D121:G121"/>
    <mergeCell ref="H121:K121"/>
    <mergeCell ref="K137:L137"/>
    <mergeCell ref="N137:O137"/>
    <mergeCell ref="K138:L138"/>
    <mergeCell ref="N138:O138"/>
    <mergeCell ref="K145:L145"/>
    <mergeCell ref="N145:O145"/>
    <mergeCell ref="A133:B133"/>
    <mergeCell ref="A134:I134"/>
    <mergeCell ref="A135:I135"/>
    <mergeCell ref="K135:L135"/>
    <mergeCell ref="N135:O135"/>
    <mergeCell ref="K136:L136"/>
    <mergeCell ref="N136:O136"/>
    <mergeCell ref="O150:P151"/>
    <mergeCell ref="E151:F151"/>
    <mergeCell ref="G151:H151"/>
    <mergeCell ref="I151:J151"/>
    <mergeCell ref="K151:L151"/>
    <mergeCell ref="M151:N151"/>
    <mergeCell ref="B148:I148"/>
    <mergeCell ref="A149:I149"/>
    <mergeCell ref="A150:A152"/>
    <mergeCell ref="B150:C152"/>
    <mergeCell ref="D150:D152"/>
    <mergeCell ref="E150:N150"/>
    <mergeCell ref="O165:P166"/>
    <mergeCell ref="E166:F166"/>
    <mergeCell ref="G166:H166"/>
    <mergeCell ref="I166:J166"/>
    <mergeCell ref="K166:L166"/>
    <mergeCell ref="M166:N166"/>
    <mergeCell ref="B162:C162"/>
    <mergeCell ref="A164:I164"/>
    <mergeCell ref="A165:A167"/>
    <mergeCell ref="B165:C167"/>
    <mergeCell ref="D165:D167"/>
    <mergeCell ref="E165:N165"/>
    <mergeCell ref="N174:O174"/>
    <mergeCell ref="K175:L175"/>
    <mergeCell ref="N175:O175"/>
    <mergeCell ref="K176:L176"/>
    <mergeCell ref="N176:O176"/>
    <mergeCell ref="K177:L177"/>
    <mergeCell ref="N177:O177"/>
    <mergeCell ref="B168:C168"/>
    <mergeCell ref="B169:C169"/>
    <mergeCell ref="B170:C170"/>
    <mergeCell ref="B171:C171"/>
    <mergeCell ref="B172:C172"/>
    <mergeCell ref="K174:L174"/>
    <mergeCell ref="K188:L188"/>
    <mergeCell ref="N188:O188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O196:P196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A199:A200"/>
    <mergeCell ref="B199:D200"/>
    <mergeCell ref="E199:F200"/>
    <mergeCell ref="G199:H199"/>
    <mergeCell ref="I199:J199"/>
    <mergeCell ref="K199:N199"/>
    <mergeCell ref="B196:D196"/>
    <mergeCell ref="E196:F196"/>
    <mergeCell ref="K196:L196"/>
    <mergeCell ref="M196:N196"/>
    <mergeCell ref="B202:D202"/>
    <mergeCell ref="E202:F202"/>
    <mergeCell ref="K202:L202"/>
    <mergeCell ref="M202:N202"/>
    <mergeCell ref="O202:P202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K214:L214"/>
    <mergeCell ref="N214:O214"/>
    <mergeCell ref="K228:L228"/>
    <mergeCell ref="N228:O228"/>
    <mergeCell ref="K211:L211"/>
    <mergeCell ref="N211:O211"/>
    <mergeCell ref="K212:L212"/>
    <mergeCell ref="N212:O212"/>
    <mergeCell ref="K213:L213"/>
    <mergeCell ref="N213:O213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7"/>
  <sheetViews>
    <sheetView view="pageBreakPreview" topLeftCell="F11" zoomScale="85" zoomScaleNormal="100" zoomScaleSheetLayoutView="85" workbookViewId="0">
      <selection activeCell="L32" sqref="L32"/>
    </sheetView>
  </sheetViews>
  <sheetFormatPr defaultColWidth="9.140625" defaultRowHeight="15"/>
  <cols>
    <col min="1" max="2" width="15.85546875" style="1" customWidth="1"/>
    <col min="3" max="3" width="17.71093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12.28515625" style="1" customWidth="1"/>
    <col min="13" max="13" width="16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7" width="13.28515625" style="1" bestFit="1" customWidth="1"/>
    <col min="18" max="18" width="16.7109375" style="1" customWidth="1"/>
    <col min="19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110</v>
      </c>
      <c r="J6" s="73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7">
        <v>186</v>
      </c>
      <c r="E13" s="128" t="s">
        <v>4</v>
      </c>
      <c r="F13" s="512">
        <v>125</v>
      </c>
      <c r="G13" s="512"/>
      <c r="H13" s="128" t="s">
        <v>5</v>
      </c>
      <c r="J13" s="382">
        <v>65896.2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58.5">
      <c r="A19" s="371"/>
      <c r="B19" s="371"/>
      <c r="C19" s="371"/>
      <c r="D19" s="68" t="s">
        <v>83</v>
      </c>
      <c r="E19" s="68" t="s">
        <v>84</v>
      </c>
      <c r="F19" s="68" t="s">
        <v>83</v>
      </c>
      <c r="G19" s="68" t="s">
        <v>85</v>
      </c>
      <c r="H19" s="68" t="s">
        <v>83</v>
      </c>
      <c r="I19" s="68" t="s">
        <v>84</v>
      </c>
      <c r="J19" s="68" t="s">
        <v>83</v>
      </c>
      <c r="K19" s="68" t="s">
        <v>85</v>
      </c>
      <c r="L19" s="68" t="s">
        <v>83</v>
      </c>
      <c r="M19" s="68" t="s">
        <v>85</v>
      </c>
      <c r="N19" s="68" t="s">
        <v>83</v>
      </c>
      <c r="O19" s="68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136526</v>
      </c>
      <c r="J20" s="16"/>
      <c r="K20" s="17">
        <f>ROUND(I20*2.05938099702621,2)</f>
        <v>281159.05</v>
      </c>
      <c r="L20" s="16"/>
      <c r="M20" s="142">
        <f>I20+'5-MAY'!M20</f>
        <v>351769</v>
      </c>
      <c r="N20" s="16"/>
      <c r="O20" s="142">
        <f>K20+'5-MAY'!O20</f>
        <v>649725.32999999996</v>
      </c>
      <c r="Q20" s="138">
        <f>M20+I20</f>
        <v>488295</v>
      </c>
      <c r="R20" s="57"/>
      <c r="S20" s="58">
        <f t="shared" ref="S20:S26" si="0">O20+K20</f>
        <v>930884.37999999989</v>
      </c>
    </row>
    <row r="21" spans="1:19" ht="22.15" customHeight="1">
      <c r="A21" s="14" t="s">
        <v>98</v>
      </c>
      <c r="B21" s="21" t="s">
        <v>99</v>
      </c>
      <c r="C21" s="16" t="s">
        <v>8</v>
      </c>
      <c r="D21" s="17"/>
      <c r="E21" s="17"/>
      <c r="F21" s="17"/>
      <c r="G21" s="17"/>
      <c r="H21" s="16"/>
      <c r="I21" s="143">
        <v>5424</v>
      </c>
      <c r="J21" s="16"/>
      <c r="K21" s="17">
        <f>ROUND(I21*1.325,2)</f>
        <v>7186.8</v>
      </c>
      <c r="L21" s="16"/>
      <c r="M21" s="17">
        <f>I21+'5-MAY'!M22</f>
        <v>124972</v>
      </c>
      <c r="N21" s="16"/>
      <c r="O21" s="17">
        <f>K21+'5-MAY'!O22</f>
        <v>326402.95999999996</v>
      </c>
      <c r="Q21" s="139"/>
      <c r="S21" s="59"/>
    </row>
    <row r="22" spans="1:19" ht="21.75" customHeight="1">
      <c r="A22" s="14" t="s">
        <v>98</v>
      </c>
      <c r="B22" s="21" t="s">
        <v>105</v>
      </c>
      <c r="C22" s="16" t="s">
        <v>8</v>
      </c>
      <c r="D22" s="17"/>
      <c r="E22" s="17"/>
      <c r="F22" s="17"/>
      <c r="G22" s="17"/>
      <c r="H22" s="16"/>
      <c r="I22" s="18"/>
      <c r="J22" s="16"/>
      <c r="K22" s="17"/>
      <c r="L22" s="16"/>
      <c r="M22" s="142">
        <f>'5-MAY'!M21</f>
        <v>1810</v>
      </c>
      <c r="N22" s="16"/>
      <c r="O22" s="17">
        <f>'5-MAY'!O21</f>
        <v>2855</v>
      </c>
      <c r="Q22" s="139"/>
      <c r="S22" s="59"/>
    </row>
    <row r="23" spans="1:19" ht="22.15" customHeight="1">
      <c r="A23" s="14" t="s">
        <v>98</v>
      </c>
      <c r="B23" s="21" t="s">
        <v>108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42">
        <f>'5-MAY'!M23</f>
        <v>81280</v>
      </c>
      <c r="N23" s="16"/>
      <c r="O23" s="17">
        <f>'5-MAY'!O23</f>
        <v>267740.36</v>
      </c>
      <c r="Q23" s="139">
        <f t="shared" ref="Q23:Q26" si="1">M23+I23</f>
        <v>81280</v>
      </c>
      <c r="S23" s="59">
        <f t="shared" si="0"/>
        <v>267740.36</v>
      </c>
    </row>
    <row r="24" spans="1:19" ht="22.15" customHeight="1">
      <c r="A24" s="14" t="s">
        <v>98</v>
      </c>
      <c r="B24" s="21" t="s">
        <v>101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42">
        <f>'5-MAY'!M24</f>
        <v>576</v>
      </c>
      <c r="N24" s="16"/>
      <c r="O24" s="17">
        <f>'5-MAY'!O24</f>
        <v>1532.16</v>
      </c>
      <c r="Q24" s="139">
        <f t="shared" si="1"/>
        <v>576</v>
      </c>
      <c r="S24" s="59">
        <f t="shared" si="0"/>
        <v>1532.16</v>
      </c>
    </row>
    <row r="25" spans="1:19" ht="22.15" customHeight="1">
      <c r="A25" s="14" t="s">
        <v>98</v>
      </c>
      <c r="B25" s="15" t="s">
        <v>103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42">
        <f>'5-MAY'!M25</f>
        <v>3396</v>
      </c>
      <c r="N25" s="16"/>
      <c r="O25" s="17">
        <f>'5-MAY'!O25</f>
        <v>2272.8000000000002</v>
      </c>
      <c r="Q25" s="139">
        <f t="shared" si="1"/>
        <v>3396</v>
      </c>
      <c r="S25" s="59">
        <f t="shared" si="0"/>
        <v>2272.8000000000002</v>
      </c>
    </row>
    <row r="26" spans="1:19" ht="22.15" customHeight="1" thickBot="1">
      <c r="A26" s="14" t="s">
        <v>98</v>
      </c>
      <c r="B26" s="21" t="s">
        <v>104</v>
      </c>
      <c r="C26" s="16" t="s">
        <v>8</v>
      </c>
      <c r="D26" s="55"/>
      <c r="E26" s="55"/>
      <c r="F26" s="55"/>
      <c r="G26" s="55"/>
      <c r="H26" s="56"/>
      <c r="I26" s="54"/>
      <c r="J26" s="56"/>
      <c r="K26" s="55"/>
      <c r="L26" s="56"/>
      <c r="M26" s="142">
        <f>'5-MAY'!M26</f>
        <v>1848</v>
      </c>
      <c r="N26" s="56"/>
      <c r="O26" s="55">
        <f>'5-MAY'!O26</f>
        <v>2605.6799999999998</v>
      </c>
      <c r="Q26" s="140">
        <f t="shared" si="1"/>
        <v>1848</v>
      </c>
      <c r="R26" s="60"/>
      <c r="S26" s="61">
        <f t="shared" si="0"/>
        <v>2605.6799999999998</v>
      </c>
    </row>
    <row r="27" spans="1:19" s="96" customFormat="1" ht="22.15" customHeight="1" thickBot="1">
      <c r="A27" s="390" t="s">
        <v>9</v>
      </c>
      <c r="B27" s="391"/>
      <c r="C27" s="107"/>
      <c r="D27" s="108"/>
      <c r="E27" s="109">
        <f>SUM(E20:E26)</f>
        <v>0</v>
      </c>
      <c r="F27" s="108"/>
      <c r="G27" s="109">
        <f>SUM(G20:G26)</f>
        <v>0</v>
      </c>
      <c r="H27" s="107"/>
      <c r="I27" s="108">
        <f>SUM(I20:I26)</f>
        <v>141950</v>
      </c>
      <c r="J27" s="107"/>
      <c r="K27" s="109">
        <f>SUM(K20:K26)</f>
        <v>288345.84999999998</v>
      </c>
      <c r="L27" s="107"/>
      <c r="M27" s="109">
        <f>SUM(M20:M26)</f>
        <v>565651</v>
      </c>
      <c r="N27" s="107"/>
      <c r="O27" s="110">
        <f>SUM(O20:O26)</f>
        <v>1253134.2899999998</v>
      </c>
      <c r="Q27" s="97"/>
    </row>
    <row r="28" spans="1:19" ht="23.25">
      <c r="A28" s="392" t="s">
        <v>60</v>
      </c>
      <c r="B28" s="387"/>
      <c r="C28" s="387"/>
      <c r="D28" s="387"/>
      <c r="E28" s="387"/>
      <c r="F28" s="387"/>
      <c r="G28" s="387"/>
      <c r="H28" s="387"/>
      <c r="I28" s="387"/>
      <c r="J28" s="25"/>
      <c r="K28" s="25"/>
      <c r="L28" s="25"/>
      <c r="M28" s="25"/>
      <c r="N28" s="25"/>
      <c r="O28" s="25"/>
      <c r="P28" s="13"/>
    </row>
    <row r="29" spans="1:19" ht="29.25">
      <c r="A29" s="387" t="s">
        <v>61</v>
      </c>
      <c r="B29" s="387"/>
      <c r="C29" s="387"/>
      <c r="D29" s="387"/>
      <c r="E29" s="387"/>
      <c r="F29" s="387"/>
      <c r="G29" s="387"/>
      <c r="H29" s="387"/>
      <c r="I29" s="387"/>
      <c r="J29" s="23"/>
      <c r="K29" s="385" t="s">
        <v>120</v>
      </c>
      <c r="L29" s="385"/>
      <c r="M29" s="74"/>
      <c r="N29" s="385" t="str">
        <f>K29</f>
        <v>ថ្ងៃទី 15 ខែ មិថុនា ឆ្នាំ2026</v>
      </c>
      <c r="O29" s="385"/>
      <c r="P29" s="13"/>
    </row>
    <row r="30" spans="1:19" ht="18.75">
      <c r="A30" s="45" t="s">
        <v>62</v>
      </c>
      <c r="B30" s="9"/>
      <c r="C30" s="12"/>
      <c r="D30" s="12"/>
      <c r="E30" s="12"/>
      <c r="F30" s="12"/>
      <c r="G30" s="12"/>
      <c r="H30" s="12"/>
      <c r="I30" s="12"/>
      <c r="J30" s="25" t="s">
        <v>54</v>
      </c>
      <c r="K30" s="383" t="s">
        <v>128</v>
      </c>
      <c r="L30" s="383"/>
      <c r="M30" s="75"/>
      <c r="N30" s="383" t="s">
        <v>128</v>
      </c>
      <c r="O30" s="383"/>
      <c r="P30" s="13"/>
    </row>
    <row r="31" spans="1:19" ht="29.25">
      <c r="A31" s="11" t="s">
        <v>10</v>
      </c>
      <c r="B31" s="11"/>
      <c r="C31" s="12"/>
      <c r="D31" s="12"/>
      <c r="E31" s="12"/>
      <c r="F31" s="12"/>
      <c r="G31" s="12"/>
      <c r="H31" s="12"/>
      <c r="I31" s="12"/>
      <c r="J31" s="25"/>
      <c r="K31" s="384" t="s">
        <v>11</v>
      </c>
      <c r="L31" s="384"/>
      <c r="M31" s="75"/>
      <c r="N31" s="385" t="s">
        <v>12</v>
      </c>
      <c r="O31" s="386"/>
      <c r="P31" s="13"/>
    </row>
    <row r="32" spans="1:19" ht="24.75">
      <c r="A32" s="11" t="s">
        <v>63</v>
      </c>
      <c r="B32" s="11"/>
      <c r="C32" s="12"/>
      <c r="D32" s="12"/>
      <c r="E32" s="12"/>
      <c r="F32" s="12"/>
      <c r="G32" s="12"/>
      <c r="H32" s="12"/>
      <c r="I32" s="12"/>
      <c r="J32" s="25"/>
      <c r="K32" s="87"/>
      <c r="L32" s="87"/>
      <c r="M32" s="75"/>
      <c r="N32" s="76"/>
      <c r="O32" s="75"/>
      <c r="P32" s="13"/>
    </row>
    <row r="33" spans="1:16" ht="23.25">
      <c r="A33" s="387" t="s">
        <v>64</v>
      </c>
      <c r="B33" s="387"/>
      <c r="C33" s="387"/>
      <c r="D33" s="387"/>
      <c r="E33" s="387"/>
      <c r="F33" s="387"/>
      <c r="G33" s="387"/>
      <c r="H33" s="387"/>
      <c r="I33" s="387"/>
      <c r="J33" s="25"/>
      <c r="K33" s="388" t="s">
        <v>13</v>
      </c>
      <c r="L33" s="389"/>
      <c r="M33" s="75"/>
      <c r="N33" s="389" t="s">
        <v>14</v>
      </c>
      <c r="O33" s="389"/>
      <c r="P33" s="13"/>
    </row>
    <row r="34" spans="1:16" ht="23.25">
      <c r="A34" s="24" t="s">
        <v>65</v>
      </c>
      <c r="B34" s="24"/>
      <c r="C34" s="7"/>
      <c r="D34" s="7"/>
      <c r="E34" s="48"/>
      <c r="F34" s="48"/>
      <c r="G34" s="48"/>
      <c r="H34" s="48"/>
      <c r="I34" s="48"/>
      <c r="J34" s="25"/>
      <c r="K34" s="75"/>
      <c r="L34" s="75"/>
      <c r="M34" s="75"/>
      <c r="N34" s="75"/>
      <c r="O34" s="75"/>
      <c r="P34" s="13"/>
    </row>
    <row r="35" spans="1:16" s="46" customFormat="1" ht="20.100000000000001" customHeight="1">
      <c r="A35" s="46" t="s">
        <v>66</v>
      </c>
      <c r="H35" s="12"/>
      <c r="I35" s="12"/>
      <c r="J35" s="25"/>
      <c r="K35" s="75"/>
      <c r="L35" s="75"/>
      <c r="M35" s="75"/>
      <c r="N35" s="75"/>
      <c r="O35" s="75"/>
      <c r="P35" s="24"/>
    </row>
    <row r="36" spans="1:16" ht="23.25">
      <c r="A36" s="393" t="s">
        <v>67</v>
      </c>
      <c r="B36" s="393"/>
      <c r="C36" s="393"/>
      <c r="D36" s="393"/>
      <c r="E36" s="393"/>
      <c r="F36" s="393"/>
      <c r="G36" s="393"/>
      <c r="H36" s="12"/>
      <c r="I36" s="12"/>
      <c r="J36" s="25"/>
      <c r="K36" s="75"/>
      <c r="L36" s="75"/>
      <c r="M36" s="75"/>
      <c r="N36" s="75"/>
      <c r="O36" s="75"/>
      <c r="P36" s="13"/>
    </row>
    <row r="37" spans="1:16" ht="23.25">
      <c r="A37" s="47"/>
      <c r="B37" s="47"/>
      <c r="C37" s="47"/>
      <c r="D37" s="47"/>
      <c r="E37" s="47"/>
      <c r="F37" s="47"/>
      <c r="G37" s="47"/>
      <c r="H37" s="12"/>
      <c r="I37" s="12"/>
      <c r="J37" s="25"/>
      <c r="K37" s="75"/>
      <c r="L37" s="75"/>
      <c r="M37" s="75"/>
      <c r="N37" s="75"/>
      <c r="O37" s="75"/>
      <c r="P37" s="13"/>
    </row>
    <row r="38" spans="1:16" ht="23.25">
      <c r="A38" s="47"/>
      <c r="B38" s="47"/>
      <c r="C38" s="47"/>
      <c r="D38" s="47"/>
      <c r="E38" s="47"/>
      <c r="F38" s="47"/>
      <c r="G38" s="47"/>
      <c r="H38" s="12"/>
      <c r="I38" s="12"/>
      <c r="J38" s="25"/>
      <c r="K38" s="75"/>
      <c r="L38" s="75"/>
      <c r="M38" s="75"/>
      <c r="N38" s="75"/>
      <c r="O38" s="75"/>
      <c r="P38" s="13"/>
    </row>
    <row r="39" spans="1:16" ht="23.25">
      <c r="A39" s="13"/>
      <c r="B39" s="47"/>
      <c r="C39" s="25"/>
      <c r="D39" s="25"/>
      <c r="E39" s="25"/>
      <c r="F39" s="25"/>
      <c r="G39" s="25"/>
      <c r="H39" s="25"/>
      <c r="I39" s="25"/>
      <c r="J39" s="25"/>
      <c r="K39" s="75"/>
      <c r="L39" s="75"/>
      <c r="M39" s="75"/>
      <c r="N39" s="75"/>
      <c r="O39" s="75"/>
      <c r="P39" s="13"/>
    </row>
    <row r="40" spans="1:16" ht="18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394" t="s">
        <v>113</v>
      </c>
      <c r="L40" s="394"/>
      <c r="M40" s="77"/>
      <c r="N40" s="395" t="s">
        <v>127</v>
      </c>
      <c r="O40" s="395"/>
      <c r="P40" s="13"/>
    </row>
    <row r="41" spans="1:16" ht="36.75">
      <c r="A41" s="13"/>
      <c r="B41" s="396" t="s">
        <v>96</v>
      </c>
      <c r="C41" s="396"/>
      <c r="D41" s="396"/>
      <c r="E41" s="396"/>
      <c r="F41" s="396"/>
      <c r="G41" s="396"/>
      <c r="H41" s="396"/>
      <c r="I41" s="396"/>
      <c r="J41" s="13"/>
      <c r="K41" s="13"/>
      <c r="L41" s="13"/>
      <c r="M41" s="13"/>
      <c r="N41" s="13"/>
      <c r="O41" s="13"/>
      <c r="P41" s="13"/>
    </row>
    <row r="42" spans="1:16" ht="33">
      <c r="A42" s="397" t="s">
        <v>68</v>
      </c>
      <c r="B42" s="397"/>
      <c r="C42" s="397"/>
      <c r="D42" s="397"/>
      <c r="E42" s="397"/>
      <c r="F42" s="397"/>
      <c r="G42" s="397"/>
      <c r="H42" s="397"/>
      <c r="I42" s="397"/>
      <c r="J42" s="62" t="str">
        <f>I6</f>
        <v>មិថុនា</v>
      </c>
      <c r="K42" s="88" t="s">
        <v>97</v>
      </c>
      <c r="L42" s="26"/>
      <c r="M42" s="26"/>
      <c r="N42" s="26"/>
      <c r="O42" s="26"/>
      <c r="P42" s="26"/>
    </row>
    <row r="43" spans="1:16" ht="33">
      <c r="A43" s="399" t="s">
        <v>15</v>
      </c>
      <c r="B43" s="399" t="s">
        <v>16</v>
      </c>
      <c r="C43" s="399"/>
      <c r="D43" s="400" t="s">
        <v>17</v>
      </c>
      <c r="E43" s="401" t="s">
        <v>70</v>
      </c>
      <c r="F43" s="402"/>
      <c r="G43" s="402"/>
      <c r="H43" s="402"/>
      <c r="I43" s="402"/>
      <c r="J43" s="402"/>
      <c r="K43" s="402"/>
      <c r="L43" s="402"/>
      <c r="M43" s="402"/>
      <c r="N43" s="402"/>
      <c r="O43" s="403" t="s">
        <v>23</v>
      </c>
      <c r="P43" s="404"/>
    </row>
    <row r="44" spans="1:16" ht="28.15" customHeight="1">
      <c r="A44" s="399"/>
      <c r="B44" s="399"/>
      <c r="C44" s="399"/>
      <c r="D44" s="400"/>
      <c r="E44" s="398" t="s">
        <v>18</v>
      </c>
      <c r="F44" s="399"/>
      <c r="G44" s="399" t="s">
        <v>19</v>
      </c>
      <c r="H44" s="399"/>
      <c r="I44" s="399" t="s">
        <v>20</v>
      </c>
      <c r="J44" s="399"/>
      <c r="K44" s="399" t="s">
        <v>21</v>
      </c>
      <c r="L44" s="399"/>
      <c r="M44" s="399" t="s">
        <v>22</v>
      </c>
      <c r="N44" s="407"/>
      <c r="O44" s="405"/>
      <c r="P44" s="406"/>
    </row>
    <row r="45" spans="1:16" ht="29.25">
      <c r="A45" s="399"/>
      <c r="B45" s="399"/>
      <c r="C45" s="399"/>
      <c r="D45" s="400"/>
      <c r="E45" s="65" t="s">
        <v>24</v>
      </c>
      <c r="F45" s="64" t="s">
        <v>25</v>
      </c>
      <c r="G45" s="64" t="s">
        <v>24</v>
      </c>
      <c r="H45" s="64" t="s">
        <v>25</v>
      </c>
      <c r="I45" s="64" t="s">
        <v>24</v>
      </c>
      <c r="J45" s="64" t="s">
        <v>25</v>
      </c>
      <c r="K45" s="64" t="s">
        <v>24</v>
      </c>
      <c r="L45" s="64" t="s">
        <v>25</v>
      </c>
      <c r="M45" s="64" t="s">
        <v>24</v>
      </c>
      <c r="N45" s="64" t="s">
        <v>25</v>
      </c>
      <c r="O45" s="64" t="s">
        <v>24</v>
      </c>
      <c r="P45" s="64" t="s">
        <v>25</v>
      </c>
    </row>
    <row r="46" spans="1:16" ht="25.15" customHeight="1">
      <c r="A46" s="27">
        <v>1</v>
      </c>
      <c r="B46" s="145" t="str">
        <f>A20</f>
        <v>LADIES</v>
      </c>
      <c r="C46" s="146" t="str">
        <f>B20</f>
        <v>PANTS</v>
      </c>
      <c r="D46" s="42" t="s">
        <v>8</v>
      </c>
      <c r="E46" s="148">
        <v>67245</v>
      </c>
      <c r="F46" s="148">
        <v>132927.75</v>
      </c>
      <c r="G46" s="144">
        <v>63821</v>
      </c>
      <c r="H46" s="17">
        <v>137422.30000000002</v>
      </c>
      <c r="I46" s="31"/>
      <c r="J46" s="31"/>
      <c r="K46" s="31">
        <v>2160</v>
      </c>
      <c r="L46" s="17">
        <v>4272</v>
      </c>
      <c r="M46" s="31">
        <v>3300</v>
      </c>
      <c r="N46" s="17">
        <v>6537</v>
      </c>
      <c r="O46" s="44">
        <f>M20</f>
        <v>351769</v>
      </c>
      <c r="P46" s="44">
        <f>O20</f>
        <v>649725.32999999996</v>
      </c>
    </row>
    <row r="47" spans="1:16" ht="25.15" customHeight="1">
      <c r="A47" s="27">
        <v>2</v>
      </c>
      <c r="B47" s="145" t="str">
        <f>A21</f>
        <v>LADIES</v>
      </c>
      <c r="C47" s="146" t="str">
        <f>B21</f>
        <v>PAJAMAS</v>
      </c>
      <c r="D47" s="42" t="s">
        <v>8</v>
      </c>
      <c r="E47" s="144">
        <v>3432</v>
      </c>
      <c r="F47" s="17">
        <v>4547.3999999999996</v>
      </c>
      <c r="G47" s="144">
        <v>1992</v>
      </c>
      <c r="H47" s="17">
        <v>2639.4</v>
      </c>
      <c r="I47" s="34"/>
      <c r="J47" s="34"/>
      <c r="K47" s="31"/>
      <c r="L47" s="17"/>
      <c r="M47" s="31"/>
      <c r="N47" s="17"/>
      <c r="O47" s="44">
        <f t="shared" ref="O47:O52" si="2">M21</f>
        <v>124972</v>
      </c>
      <c r="P47" s="44">
        <f t="shared" ref="P47:P52" si="3">O21</f>
        <v>326402.95999999996</v>
      </c>
    </row>
    <row r="48" spans="1:16" ht="25.15" customHeight="1">
      <c r="A48" s="27">
        <v>3</v>
      </c>
      <c r="B48" s="145" t="str">
        <f t="shared" ref="B48:C48" si="4">A22</f>
        <v>LADIES</v>
      </c>
      <c r="C48" s="146" t="str">
        <f t="shared" si="4"/>
        <v>SKIRT</v>
      </c>
      <c r="D48" s="42" t="s">
        <v>8</v>
      </c>
      <c r="E48" s="31"/>
      <c r="F48" s="17"/>
      <c r="G48" s="38"/>
      <c r="H48" s="34"/>
      <c r="I48" s="31"/>
      <c r="J48" s="31"/>
      <c r="K48" s="31"/>
      <c r="L48" s="17"/>
      <c r="M48" s="31"/>
      <c r="N48" s="17"/>
      <c r="O48" s="44">
        <f t="shared" si="2"/>
        <v>1810</v>
      </c>
      <c r="P48" s="44">
        <f t="shared" si="3"/>
        <v>2855</v>
      </c>
    </row>
    <row r="49" spans="1:20" ht="25.15" customHeight="1">
      <c r="A49" s="27">
        <v>4</v>
      </c>
      <c r="B49" s="145" t="str">
        <f t="shared" ref="B49:C49" si="5">A23</f>
        <v>LADIES</v>
      </c>
      <c r="C49" s="146" t="str">
        <f t="shared" si="5"/>
        <v>DRESS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si="2"/>
        <v>81280</v>
      </c>
      <c r="P49" s="44">
        <f t="shared" si="3"/>
        <v>267740.36</v>
      </c>
    </row>
    <row r="50" spans="1:20" ht="25.15" customHeight="1">
      <c r="A50" s="27">
        <v>5</v>
      </c>
      <c r="B50" s="145" t="str">
        <f t="shared" ref="B50:C50" si="6">A24</f>
        <v>LADIES</v>
      </c>
      <c r="C50" s="146" t="str">
        <f t="shared" si="6"/>
        <v>NIGHT GOWN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2"/>
        <v>576</v>
      </c>
      <c r="P50" s="44">
        <f t="shared" si="3"/>
        <v>1532.16</v>
      </c>
    </row>
    <row r="51" spans="1:20" ht="25.15" customHeight="1">
      <c r="A51" s="27">
        <v>6</v>
      </c>
      <c r="B51" s="145" t="str">
        <f t="shared" ref="B51:C51" si="7">A25</f>
        <v>LADIES</v>
      </c>
      <c r="C51" s="146" t="str">
        <f t="shared" si="7"/>
        <v>TANK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2"/>
        <v>3396</v>
      </c>
      <c r="P51" s="44">
        <f t="shared" si="3"/>
        <v>2272.8000000000002</v>
      </c>
    </row>
    <row r="52" spans="1:20" ht="25.15" customHeight="1" thickBot="1">
      <c r="A52" s="27">
        <v>7</v>
      </c>
      <c r="B52" s="145" t="str">
        <f t="shared" ref="B52:C52" si="8">A26</f>
        <v>LADIES</v>
      </c>
      <c r="C52" s="146" t="str">
        <f t="shared" si="8"/>
        <v>SHORT</v>
      </c>
      <c r="D52" s="42" t="s">
        <v>8</v>
      </c>
      <c r="E52" s="149"/>
      <c r="F52" s="55"/>
      <c r="G52" s="105"/>
      <c r="H52" s="106"/>
      <c r="I52" s="149"/>
      <c r="J52" s="149"/>
      <c r="K52" s="149"/>
      <c r="L52" s="55"/>
      <c r="M52" s="149"/>
      <c r="N52" s="55"/>
      <c r="O52" s="44">
        <f t="shared" si="2"/>
        <v>1848</v>
      </c>
      <c r="P52" s="44">
        <f t="shared" si="3"/>
        <v>2605.6799999999998</v>
      </c>
    </row>
    <row r="53" spans="1:20" s="96" customFormat="1" ht="26.25" thickBot="1">
      <c r="A53" s="111"/>
      <c r="B53" s="408" t="s">
        <v>26</v>
      </c>
      <c r="C53" s="408"/>
      <c r="D53" s="112"/>
      <c r="E53" s="113">
        <f t="shared" ref="E53:P53" si="9">SUM(E46:E52)</f>
        <v>70677</v>
      </c>
      <c r="F53" s="113">
        <f t="shared" si="9"/>
        <v>137475.15</v>
      </c>
      <c r="G53" s="113">
        <f t="shared" si="9"/>
        <v>65813</v>
      </c>
      <c r="H53" s="113">
        <f t="shared" si="9"/>
        <v>140061.70000000001</v>
      </c>
      <c r="I53" s="113">
        <f t="shared" si="9"/>
        <v>0</v>
      </c>
      <c r="J53" s="113">
        <f t="shared" si="9"/>
        <v>0</v>
      </c>
      <c r="K53" s="113">
        <f t="shared" si="9"/>
        <v>2160</v>
      </c>
      <c r="L53" s="113">
        <f t="shared" si="9"/>
        <v>4272</v>
      </c>
      <c r="M53" s="113">
        <f t="shared" si="9"/>
        <v>3300</v>
      </c>
      <c r="N53" s="113">
        <f t="shared" si="9"/>
        <v>6537</v>
      </c>
      <c r="O53" s="114">
        <f t="shared" si="9"/>
        <v>565651</v>
      </c>
      <c r="P53" s="115">
        <f t="shared" si="9"/>
        <v>1253134.2899999998</v>
      </c>
    </row>
    <row r="54" spans="1:20" ht="23.25">
      <c r="A54" s="94"/>
      <c r="B54" s="43"/>
      <c r="C54" s="43"/>
      <c r="D54" s="43"/>
      <c r="E54" s="98"/>
      <c r="F54" s="99"/>
      <c r="G54" s="99"/>
      <c r="H54" s="99"/>
      <c r="I54" s="99"/>
      <c r="J54" s="99"/>
      <c r="K54" s="99"/>
      <c r="L54" s="99"/>
      <c r="M54" s="99"/>
      <c r="N54" s="99"/>
      <c r="O54" s="100"/>
      <c r="P54" s="101"/>
    </row>
    <row r="55" spans="1:20" ht="33">
      <c r="A55" s="397" t="s">
        <v>27</v>
      </c>
      <c r="B55" s="397"/>
      <c r="C55" s="397"/>
      <c r="D55" s="397"/>
      <c r="E55" s="397"/>
      <c r="F55" s="397"/>
      <c r="G55" s="397"/>
      <c r="H55" s="397"/>
      <c r="I55" s="397"/>
      <c r="J55" s="62" t="str">
        <f>$I$6</f>
        <v>មិថុនា</v>
      </c>
      <c r="K55" s="63" t="str">
        <f>$K$42</f>
        <v>ឆ្នាំ២០២៦ (USD)</v>
      </c>
      <c r="L55" s="26"/>
      <c r="M55" s="26"/>
      <c r="N55" s="26"/>
      <c r="O55" s="26"/>
      <c r="P55" s="26"/>
    </row>
    <row r="56" spans="1:20" ht="33">
      <c r="A56" s="399" t="s">
        <v>15</v>
      </c>
      <c r="B56" s="399" t="s">
        <v>28</v>
      </c>
      <c r="C56" s="399"/>
      <c r="D56" s="400" t="s">
        <v>17</v>
      </c>
      <c r="E56" s="402" t="s">
        <v>88</v>
      </c>
      <c r="F56" s="402"/>
      <c r="G56" s="402"/>
      <c r="H56" s="402"/>
      <c r="I56" s="402"/>
      <c r="J56" s="402"/>
      <c r="K56" s="402"/>
      <c r="L56" s="402"/>
      <c r="M56" s="402"/>
      <c r="N56" s="402"/>
      <c r="O56" s="403" t="s">
        <v>23</v>
      </c>
      <c r="P56" s="404"/>
    </row>
    <row r="57" spans="1:20" s="71" customFormat="1" ht="28.15" customHeight="1">
      <c r="A57" s="399"/>
      <c r="B57" s="399"/>
      <c r="C57" s="399"/>
      <c r="D57" s="400"/>
      <c r="E57" s="398" t="s">
        <v>29</v>
      </c>
      <c r="F57" s="399"/>
      <c r="G57" s="399" t="s">
        <v>30</v>
      </c>
      <c r="H57" s="399"/>
      <c r="I57" s="399" t="s">
        <v>31</v>
      </c>
      <c r="J57" s="399"/>
      <c r="K57" s="399" t="s">
        <v>32</v>
      </c>
      <c r="L57" s="399"/>
      <c r="M57" s="399" t="s">
        <v>22</v>
      </c>
      <c r="N57" s="407"/>
      <c r="O57" s="405"/>
      <c r="P57" s="406"/>
    </row>
    <row r="58" spans="1:20" s="71" customFormat="1" ht="29.25">
      <c r="A58" s="399"/>
      <c r="B58" s="399"/>
      <c r="C58" s="399"/>
      <c r="D58" s="400"/>
      <c r="E58" s="65" t="s">
        <v>24</v>
      </c>
      <c r="F58" s="64" t="s">
        <v>25</v>
      </c>
      <c r="G58" s="66" t="s">
        <v>24</v>
      </c>
      <c r="H58" s="64" t="s">
        <v>25</v>
      </c>
      <c r="I58" s="64" t="s">
        <v>24</v>
      </c>
      <c r="J58" s="64" t="s">
        <v>25</v>
      </c>
      <c r="K58" s="64" t="s">
        <v>24</v>
      </c>
      <c r="L58" s="64" t="s">
        <v>25</v>
      </c>
      <c r="M58" s="64" t="s">
        <v>24</v>
      </c>
      <c r="N58" s="64" t="s">
        <v>25</v>
      </c>
      <c r="O58" s="64" t="s">
        <v>24</v>
      </c>
      <c r="P58" s="64" t="s">
        <v>25</v>
      </c>
    </row>
    <row r="59" spans="1:20" ht="44.45" customHeight="1">
      <c r="A59" s="32">
        <v>1</v>
      </c>
      <c r="B59" s="410" t="s">
        <v>55</v>
      </c>
      <c r="C59" s="411"/>
      <c r="D59" s="42"/>
      <c r="E59" s="33"/>
      <c r="F59" s="33"/>
      <c r="G59" s="33"/>
      <c r="H59" s="33"/>
      <c r="I59" s="126"/>
      <c r="J59" s="34"/>
      <c r="K59" s="34"/>
      <c r="L59" s="34"/>
      <c r="M59" s="33"/>
      <c r="N59" s="33"/>
      <c r="O59" s="34"/>
      <c r="P59" s="34"/>
      <c r="Q59" s="19">
        <f t="shared" ref="Q59:R61" si="10">E59+G59+I59+K59+M59</f>
        <v>0</v>
      </c>
      <c r="R59" s="19">
        <f t="shared" si="10"/>
        <v>0</v>
      </c>
      <c r="S59" s="130">
        <f t="shared" ref="S59:T61" si="11">Q59+O59</f>
        <v>0</v>
      </c>
      <c r="T59" s="131">
        <f t="shared" si="11"/>
        <v>0</v>
      </c>
    </row>
    <row r="60" spans="1:20" ht="31.15" customHeight="1">
      <c r="A60" s="32">
        <v>3</v>
      </c>
      <c r="B60" s="412" t="s">
        <v>33</v>
      </c>
      <c r="C60" s="413"/>
      <c r="D60" s="42"/>
      <c r="E60" s="34"/>
      <c r="F60" s="34"/>
      <c r="G60" s="33"/>
      <c r="H60" s="33"/>
      <c r="I60" s="126"/>
      <c r="J60" s="34"/>
      <c r="K60" s="34"/>
      <c r="L60" s="34"/>
      <c r="M60" s="33"/>
      <c r="N60" s="33"/>
      <c r="O60" s="34">
        <f>'5-MAY'!O60</f>
        <v>450223.4</v>
      </c>
      <c r="P60" s="34">
        <f>'5-MAY'!P60</f>
        <v>443037.6</v>
      </c>
      <c r="Q60" s="19">
        <f t="shared" si="10"/>
        <v>0</v>
      </c>
      <c r="R60" s="19">
        <f t="shared" si="10"/>
        <v>0</v>
      </c>
      <c r="S60" s="132">
        <f t="shared" si="11"/>
        <v>450223.4</v>
      </c>
      <c r="T60" s="133">
        <f t="shared" si="11"/>
        <v>443037.6</v>
      </c>
    </row>
    <row r="61" spans="1:20" ht="31.15" customHeight="1" thickBot="1">
      <c r="A61" s="104">
        <v>4</v>
      </c>
      <c r="B61" s="414" t="s">
        <v>34</v>
      </c>
      <c r="C61" s="414"/>
      <c r="D61" s="53"/>
      <c r="E61" s="127"/>
      <c r="F61" s="116"/>
      <c r="G61" s="116"/>
      <c r="H61" s="116"/>
      <c r="I61" s="116"/>
      <c r="J61" s="116"/>
      <c r="K61" s="117"/>
      <c r="L61" s="117"/>
      <c r="M61" s="116"/>
      <c r="N61" s="116"/>
      <c r="O61" s="34">
        <f>'5-MAY'!O61</f>
        <v>756</v>
      </c>
      <c r="P61" s="34">
        <f>'5-MAY'!P61</f>
        <v>756</v>
      </c>
      <c r="Q61" s="19">
        <f t="shared" si="10"/>
        <v>0</v>
      </c>
      <c r="R61" s="19">
        <f t="shared" si="10"/>
        <v>0</v>
      </c>
      <c r="S61" s="134">
        <f t="shared" si="11"/>
        <v>756</v>
      </c>
      <c r="T61" s="135">
        <f t="shared" si="11"/>
        <v>756</v>
      </c>
    </row>
    <row r="62" spans="1:20" s="95" customFormat="1" ht="26.25" thickBot="1">
      <c r="A62" s="136"/>
      <c r="B62" s="408" t="s">
        <v>26</v>
      </c>
      <c r="C62" s="408"/>
      <c r="D62" s="137"/>
      <c r="E62" s="103">
        <f t="shared" ref="E62:P62" si="12">SUM(E59:E61)</f>
        <v>0</v>
      </c>
      <c r="F62" s="103">
        <f t="shared" si="12"/>
        <v>0</v>
      </c>
      <c r="G62" s="103">
        <f t="shared" si="12"/>
        <v>0</v>
      </c>
      <c r="H62" s="103">
        <f t="shared" si="12"/>
        <v>0</v>
      </c>
      <c r="I62" s="103">
        <f t="shared" si="12"/>
        <v>0</v>
      </c>
      <c r="J62" s="103">
        <f t="shared" si="12"/>
        <v>0</v>
      </c>
      <c r="K62" s="103">
        <f t="shared" si="12"/>
        <v>0</v>
      </c>
      <c r="L62" s="103">
        <f t="shared" si="12"/>
        <v>0</v>
      </c>
      <c r="M62" s="103">
        <f t="shared" si="12"/>
        <v>0</v>
      </c>
      <c r="N62" s="103">
        <f t="shared" si="12"/>
        <v>0</v>
      </c>
      <c r="O62" s="103">
        <f t="shared" si="12"/>
        <v>450979.4</v>
      </c>
      <c r="P62" s="103">
        <f t="shared" si="12"/>
        <v>443793.6</v>
      </c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20" ht="29.25">
      <c r="A64" s="13"/>
      <c r="B64" s="47" t="str">
        <f>A36</f>
        <v>ទំនាក់ទំនង : Tel 077 330 279/090 922 237  E-mail : industryaffair.mih@gmail.com : TELEGRAM :077 330 279</v>
      </c>
      <c r="C64" s="35"/>
      <c r="D64" s="35"/>
      <c r="E64" s="35"/>
      <c r="F64" s="35"/>
      <c r="G64" s="35"/>
      <c r="H64" s="35"/>
      <c r="I64" s="35"/>
      <c r="J64" s="35"/>
      <c r="K64" s="386" t="str">
        <f>K29</f>
        <v>ថ្ងៃទី 15 ខែ មិថុនា ឆ្នាំ2026</v>
      </c>
      <c r="L64" s="386"/>
      <c r="M64" s="69"/>
      <c r="N64" s="386" t="str">
        <f>N29</f>
        <v>ថ្ងៃទី 15 ខែ មិថុនា ឆ្នាំ2026</v>
      </c>
      <c r="O64" s="386"/>
      <c r="P64" s="35"/>
    </row>
    <row r="65" spans="1:18" ht="29.25">
      <c r="A65" s="13"/>
      <c r="B65" s="36"/>
      <c r="C65" s="13"/>
      <c r="D65" s="13"/>
      <c r="E65" s="13"/>
      <c r="F65" s="13"/>
      <c r="G65" s="13"/>
      <c r="H65" s="13"/>
      <c r="I65" s="13"/>
      <c r="J65" s="13"/>
      <c r="K65" s="409" t="str">
        <f>K30</f>
        <v>Date:……./……../……</v>
      </c>
      <c r="L65" s="409"/>
      <c r="M65" s="80"/>
      <c r="N65" s="409" t="str">
        <f>N30</f>
        <v>Date:……./……../……</v>
      </c>
      <c r="O65" s="409"/>
      <c r="P65" s="13"/>
    </row>
    <row r="66" spans="1:18" ht="29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409" t="str">
        <f>K31</f>
        <v>នាយក</v>
      </c>
      <c r="L66" s="409"/>
      <c r="M66" s="80"/>
      <c r="N66" s="409" t="str">
        <f>N31</f>
        <v>អ្នកធ្វើរបាយការណ៍</v>
      </c>
      <c r="O66" s="409"/>
      <c r="P66" s="13"/>
    </row>
    <row r="67" spans="1:18" ht="29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409" t="str">
        <f>K33</f>
        <v>Director</v>
      </c>
      <c r="L67" s="409"/>
      <c r="M67" s="80"/>
      <c r="N67" s="409" t="str">
        <f>N33</f>
        <v>Reportor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80"/>
      <c r="L68" s="80"/>
      <c r="M68" s="80"/>
      <c r="N68" s="80"/>
      <c r="O68" s="80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80"/>
      <c r="L69" s="80"/>
      <c r="M69" s="80"/>
      <c r="N69" s="80"/>
      <c r="O69" s="80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37"/>
      <c r="B73" s="13"/>
      <c r="C73" s="13"/>
      <c r="D73" s="13"/>
      <c r="E73" s="13"/>
      <c r="F73" s="13"/>
      <c r="G73" s="13"/>
      <c r="H73" s="13"/>
      <c r="I73" s="13"/>
      <c r="J73" s="13"/>
      <c r="K73" s="420" t="str">
        <f>K40</f>
        <v>NI, CUNLAN</v>
      </c>
      <c r="L73" s="420"/>
      <c r="M73" s="80"/>
      <c r="N73" s="420" t="str">
        <f>N40</f>
        <v>THNIN</v>
      </c>
      <c r="O73" s="420"/>
      <c r="P73" s="13"/>
    </row>
    <row r="74" spans="1:18" ht="36.75">
      <c r="A74" s="13"/>
      <c r="B74" s="396" t="s">
        <v>96</v>
      </c>
      <c r="C74" s="396"/>
      <c r="D74" s="396"/>
      <c r="E74" s="396"/>
      <c r="F74" s="396"/>
      <c r="G74" s="396"/>
      <c r="H74" s="396"/>
      <c r="I74" s="396"/>
      <c r="J74" s="396"/>
      <c r="K74" s="396"/>
      <c r="L74" s="13"/>
      <c r="M74" s="13"/>
      <c r="N74" s="13"/>
      <c r="O74" s="13"/>
      <c r="P74" s="13"/>
    </row>
    <row r="75" spans="1:18" ht="33">
      <c r="A75" s="13"/>
      <c r="B75" s="421" t="s">
        <v>35</v>
      </c>
      <c r="C75" s="421"/>
      <c r="D75" s="421"/>
      <c r="E75" s="421"/>
      <c r="F75" s="421"/>
      <c r="G75" s="421"/>
      <c r="H75" s="421"/>
      <c r="I75" s="421"/>
      <c r="J75" s="89" t="str">
        <f>$I$6</f>
        <v>មិថុនា</v>
      </c>
      <c r="K75" s="90" t="str">
        <f>$K$42</f>
        <v>ឆ្នាំ២០២៦ (USD)</v>
      </c>
      <c r="L75" s="13"/>
      <c r="M75" s="13"/>
      <c r="N75" s="13"/>
      <c r="O75" s="13"/>
      <c r="P75" s="13"/>
    </row>
    <row r="76" spans="1:18" s="71" customFormat="1" ht="29.25">
      <c r="A76" s="415" t="s">
        <v>15</v>
      </c>
      <c r="B76" s="415" t="s">
        <v>36</v>
      </c>
      <c r="C76" s="415"/>
      <c r="D76" s="415"/>
      <c r="E76" s="416" t="s">
        <v>17</v>
      </c>
      <c r="F76" s="416"/>
      <c r="G76" s="415" t="s">
        <v>37</v>
      </c>
      <c r="H76" s="415"/>
      <c r="I76" s="415" t="s">
        <v>38</v>
      </c>
      <c r="J76" s="415"/>
      <c r="K76" s="418" t="s">
        <v>23</v>
      </c>
      <c r="L76" s="418"/>
      <c r="M76" s="418"/>
      <c r="N76" s="419"/>
      <c r="O76" s="424" t="s">
        <v>22</v>
      </c>
      <c r="P76" s="425"/>
    </row>
    <row r="77" spans="1:18" s="71" customFormat="1" ht="29.25">
      <c r="A77" s="415"/>
      <c r="B77" s="415"/>
      <c r="C77" s="415"/>
      <c r="D77" s="415"/>
      <c r="E77" s="417"/>
      <c r="F77" s="417"/>
      <c r="G77" s="64" t="s">
        <v>24</v>
      </c>
      <c r="H77" s="64" t="s">
        <v>89</v>
      </c>
      <c r="I77" s="64" t="s">
        <v>24</v>
      </c>
      <c r="J77" s="64" t="s">
        <v>89</v>
      </c>
      <c r="K77" s="428" t="s">
        <v>24</v>
      </c>
      <c r="L77" s="419"/>
      <c r="M77" s="429" t="s">
        <v>90</v>
      </c>
      <c r="N77" s="430"/>
      <c r="O77" s="426"/>
      <c r="P77" s="427"/>
    </row>
    <row r="78" spans="1:18" s="70" customFormat="1" ht="26.25" thickBot="1">
      <c r="A78" s="118">
        <v>1</v>
      </c>
      <c r="B78" s="431" t="s">
        <v>39</v>
      </c>
      <c r="C78" s="432"/>
      <c r="D78" s="433"/>
      <c r="E78" s="434" t="s">
        <v>40</v>
      </c>
      <c r="F78" s="434"/>
      <c r="G78" s="119"/>
      <c r="H78" s="119"/>
      <c r="I78" s="120">
        <v>11368</v>
      </c>
      <c r="J78" s="120">
        <f>0.137*I78</f>
        <v>1557.4160000000002</v>
      </c>
      <c r="K78" s="435">
        <f>I78+'5-MAY'!K78:L78</f>
        <v>68208</v>
      </c>
      <c r="L78" s="436"/>
      <c r="M78" s="435">
        <f>J78+'5-MAY'!M78:N78</f>
        <v>9344.496000000001</v>
      </c>
      <c r="N78" s="436"/>
      <c r="O78" s="437"/>
      <c r="P78" s="438"/>
      <c r="Q78" s="92">
        <f>K78+I78</f>
        <v>79576</v>
      </c>
      <c r="R78" s="93">
        <f>M78+J78</f>
        <v>10901.912</v>
      </c>
    </row>
    <row r="79" spans="1:18" s="70" customFormat="1" ht="31.5" customHeight="1" thickBot="1">
      <c r="A79" s="121"/>
      <c r="B79" s="439" t="s">
        <v>26</v>
      </c>
      <c r="C79" s="440"/>
      <c r="D79" s="441"/>
      <c r="E79" s="442"/>
      <c r="F79" s="442"/>
      <c r="G79" s="122">
        <f>SUM(G78)</f>
        <v>0</v>
      </c>
      <c r="H79" s="122">
        <f>SUM(H78)</f>
        <v>0</v>
      </c>
      <c r="I79" s="122">
        <f>SUM(I78)</f>
        <v>11368</v>
      </c>
      <c r="J79" s="122">
        <f>SUM(J78)</f>
        <v>1557.4160000000002</v>
      </c>
      <c r="K79" s="443">
        <f>SUM(K78)</f>
        <v>68208</v>
      </c>
      <c r="L79" s="444"/>
      <c r="M79" s="445">
        <f>SUM(M78)</f>
        <v>9344.496000000001</v>
      </c>
      <c r="N79" s="446"/>
      <c r="O79" s="422"/>
      <c r="P79" s="423"/>
      <c r="Q79" s="92"/>
      <c r="R79" s="93"/>
    </row>
    <row r="80" spans="1:18">
      <c r="A80" s="13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13"/>
      <c r="M80" s="13"/>
      <c r="N80" s="13"/>
      <c r="O80" s="13"/>
      <c r="P80" s="13"/>
    </row>
    <row r="81" spans="1:18" s="79" customFormat="1" ht="33">
      <c r="A81" s="78"/>
      <c r="B81" s="421" t="s">
        <v>41</v>
      </c>
      <c r="C81" s="421"/>
      <c r="D81" s="421"/>
      <c r="E81" s="421"/>
      <c r="F81" s="421"/>
      <c r="G81" s="421"/>
      <c r="H81" s="421"/>
      <c r="I81" s="421"/>
      <c r="J81" s="91" t="str">
        <f>J75</f>
        <v>មិថុនា</v>
      </c>
      <c r="K81" s="91"/>
      <c r="L81" s="78"/>
      <c r="M81" s="78"/>
      <c r="N81" s="78"/>
      <c r="O81" s="78"/>
      <c r="P81" s="78"/>
    </row>
    <row r="82" spans="1:18" s="71" customFormat="1" ht="29.25">
      <c r="A82" s="415" t="s">
        <v>15</v>
      </c>
      <c r="B82" s="415" t="s">
        <v>42</v>
      </c>
      <c r="C82" s="415"/>
      <c r="D82" s="415"/>
      <c r="E82" s="447" t="s">
        <v>17</v>
      </c>
      <c r="F82" s="447"/>
      <c r="G82" s="415" t="s">
        <v>37</v>
      </c>
      <c r="H82" s="415"/>
      <c r="I82" s="415" t="s">
        <v>38</v>
      </c>
      <c r="J82" s="415"/>
      <c r="K82" s="415" t="s">
        <v>23</v>
      </c>
      <c r="L82" s="415"/>
      <c r="M82" s="415"/>
      <c r="N82" s="415"/>
      <c r="O82" s="424" t="s">
        <v>22</v>
      </c>
      <c r="P82" s="425"/>
    </row>
    <row r="83" spans="1:18" s="71" customFormat="1" ht="29.25">
      <c r="A83" s="415"/>
      <c r="B83" s="415"/>
      <c r="C83" s="415"/>
      <c r="D83" s="415"/>
      <c r="E83" s="447"/>
      <c r="F83" s="447"/>
      <c r="G83" s="64" t="s">
        <v>24</v>
      </c>
      <c r="H83" s="64" t="s">
        <v>89</v>
      </c>
      <c r="I83" s="64" t="s">
        <v>24</v>
      </c>
      <c r="J83" s="64" t="s">
        <v>89</v>
      </c>
      <c r="K83" s="428" t="s">
        <v>24</v>
      </c>
      <c r="L83" s="419"/>
      <c r="M83" s="429" t="s">
        <v>90</v>
      </c>
      <c r="N83" s="430"/>
      <c r="O83" s="426"/>
      <c r="P83" s="427"/>
    </row>
    <row r="84" spans="1:18" s="70" customFormat="1" ht="19.899999999999999" customHeight="1" thickBot="1">
      <c r="A84" s="123">
        <v>1</v>
      </c>
      <c r="B84" s="431" t="s">
        <v>43</v>
      </c>
      <c r="C84" s="432"/>
      <c r="D84" s="433"/>
      <c r="E84" s="448" t="s">
        <v>44</v>
      </c>
      <c r="F84" s="449"/>
      <c r="G84" s="120"/>
      <c r="H84" s="120"/>
      <c r="I84" s="120">
        <v>83</v>
      </c>
      <c r="J84" s="120">
        <f>0.55*I84</f>
        <v>45.650000000000006</v>
      </c>
      <c r="K84" s="435">
        <f>I84+'5-MAY'!K84:L84</f>
        <v>498</v>
      </c>
      <c r="L84" s="436"/>
      <c r="M84" s="435">
        <f>J84+'5-MAY'!M84:N84</f>
        <v>273.90000000000003</v>
      </c>
      <c r="N84" s="436"/>
      <c r="O84" s="437"/>
      <c r="P84" s="438"/>
      <c r="Q84" s="92">
        <f>K84+I84</f>
        <v>581</v>
      </c>
      <c r="R84" s="93">
        <f>M84+J84</f>
        <v>319.55000000000007</v>
      </c>
    </row>
    <row r="85" spans="1:18" s="70" customFormat="1" ht="19.899999999999999" customHeight="1" thickBot="1">
      <c r="A85" s="121"/>
      <c r="B85" s="439" t="s">
        <v>26</v>
      </c>
      <c r="C85" s="440"/>
      <c r="D85" s="441"/>
      <c r="E85" s="450"/>
      <c r="F85" s="451"/>
      <c r="G85" s="122">
        <f>SUM(G84)</f>
        <v>0</v>
      </c>
      <c r="H85" s="122">
        <f>SUM(H84)</f>
        <v>0</v>
      </c>
      <c r="I85" s="122">
        <f>SUM(I84)</f>
        <v>83</v>
      </c>
      <c r="J85" s="122">
        <f>SUM(J84)</f>
        <v>45.650000000000006</v>
      </c>
      <c r="K85" s="443">
        <f>SUM(K84)</f>
        <v>498</v>
      </c>
      <c r="L85" s="444"/>
      <c r="M85" s="445">
        <f>SUM(M84)</f>
        <v>273.90000000000003</v>
      </c>
      <c r="N85" s="446"/>
      <c r="O85" s="422"/>
      <c r="P85" s="423"/>
      <c r="Q85" s="92"/>
      <c r="R85" s="93"/>
    </row>
    <row r="86" spans="1:18" ht="23.25">
      <c r="A86" s="13"/>
      <c r="B86" s="40"/>
      <c r="C86" s="43"/>
      <c r="D86" s="43"/>
      <c r="E86" s="43"/>
      <c r="F86" s="43"/>
      <c r="G86" s="41"/>
      <c r="H86" s="41"/>
      <c r="I86" s="41"/>
      <c r="J86" s="41"/>
      <c r="K86" s="41"/>
      <c r="L86" s="13"/>
      <c r="M86" s="13"/>
      <c r="N86" s="13"/>
      <c r="O86" s="13"/>
      <c r="P86" s="13"/>
    </row>
    <row r="87" spans="1:18" s="79" customFormat="1" ht="33">
      <c r="A87" s="78"/>
      <c r="B87" s="421" t="s">
        <v>45</v>
      </c>
      <c r="C87" s="421"/>
      <c r="D87" s="421"/>
      <c r="E87" s="421"/>
      <c r="F87" s="421"/>
      <c r="G87" s="421"/>
      <c r="H87" s="421"/>
      <c r="I87" s="421"/>
      <c r="J87" s="89" t="str">
        <f>$I$6</f>
        <v>មិថុនា</v>
      </c>
      <c r="K87" s="90" t="str">
        <f>$K$42</f>
        <v>ឆ្នាំ២០២៦ (USD)</v>
      </c>
      <c r="L87" s="78"/>
      <c r="M87" s="78"/>
      <c r="N87" s="78"/>
      <c r="O87" s="78"/>
      <c r="P87" s="78"/>
    </row>
    <row r="88" spans="1:18" s="71" customFormat="1" ht="58.5">
      <c r="A88" s="64" t="s">
        <v>15</v>
      </c>
      <c r="B88" s="415" t="s">
        <v>46</v>
      </c>
      <c r="C88" s="415"/>
      <c r="D88" s="67" t="s">
        <v>17</v>
      </c>
      <c r="E88" s="452" t="s">
        <v>47</v>
      </c>
      <c r="F88" s="419"/>
      <c r="G88" s="428" t="s">
        <v>48</v>
      </c>
      <c r="H88" s="418"/>
      <c r="I88" s="418"/>
      <c r="J88" s="419"/>
      <c r="K88" s="415" t="s">
        <v>49</v>
      </c>
      <c r="L88" s="415"/>
      <c r="M88" s="415"/>
      <c r="N88" s="415"/>
      <c r="O88" s="415" t="s">
        <v>22</v>
      </c>
      <c r="P88" s="415"/>
    </row>
    <row r="89" spans="1:18" ht="23.25">
      <c r="A89" s="32">
        <v>1</v>
      </c>
      <c r="B89" s="453" t="s">
        <v>50</v>
      </c>
      <c r="C89" s="454"/>
      <c r="D89" s="39"/>
      <c r="E89" s="455"/>
      <c r="F89" s="456"/>
      <c r="G89" s="455"/>
      <c r="H89" s="457"/>
      <c r="I89" s="457"/>
      <c r="J89" s="456"/>
      <c r="K89" s="455"/>
      <c r="L89" s="457"/>
      <c r="M89" s="457"/>
      <c r="N89" s="456"/>
      <c r="O89" s="458"/>
      <c r="P89" s="459"/>
    </row>
    <row r="90" spans="1:18" ht="23.25">
      <c r="A90" s="42">
        <v>2</v>
      </c>
      <c r="B90" s="461" t="s">
        <v>51</v>
      </c>
      <c r="C90" s="461"/>
      <c r="D90" s="39"/>
      <c r="E90" s="455"/>
      <c r="F90" s="456"/>
      <c r="G90" s="455"/>
      <c r="H90" s="457"/>
      <c r="I90" s="457"/>
      <c r="J90" s="456"/>
      <c r="O90" s="458"/>
      <c r="P90" s="459"/>
    </row>
    <row r="91" spans="1:18" ht="24" thickBot="1">
      <c r="A91" s="53">
        <v>3</v>
      </c>
      <c r="B91" s="462" t="s">
        <v>52</v>
      </c>
      <c r="C91" s="462"/>
      <c r="D91" s="124"/>
      <c r="E91" s="463"/>
      <c r="F91" s="464"/>
      <c r="G91" s="463"/>
      <c r="H91" s="465"/>
      <c r="I91" s="465"/>
      <c r="J91" s="464"/>
      <c r="K91" s="463"/>
      <c r="L91" s="465"/>
      <c r="M91" s="465"/>
      <c r="N91" s="464"/>
      <c r="O91" s="466"/>
      <c r="P91" s="467"/>
    </row>
    <row r="92" spans="1:18" ht="26.25" thickBot="1">
      <c r="A92" s="102">
        <v>4</v>
      </c>
      <c r="B92" s="408" t="s">
        <v>26</v>
      </c>
      <c r="C92" s="408"/>
      <c r="D92" s="125"/>
      <c r="E92" s="468"/>
      <c r="F92" s="469"/>
      <c r="G92" s="468"/>
      <c r="H92" s="470"/>
      <c r="I92" s="470"/>
      <c r="J92" s="469"/>
      <c r="K92" s="468"/>
      <c r="L92" s="470"/>
      <c r="M92" s="470"/>
      <c r="N92" s="469"/>
      <c r="O92" s="471"/>
      <c r="P92" s="472"/>
    </row>
    <row r="93" spans="1:1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8" ht="29.25">
      <c r="A94" s="11" t="str">
        <f>A36</f>
        <v>ទំនាក់ទំនង : Tel 077 330 279/090 922 237  E-mail : industryaffair.mih@gmail.com : TELEGRAM :077 330 279</v>
      </c>
      <c r="B94" s="11"/>
      <c r="C94" s="35"/>
      <c r="D94" s="35"/>
      <c r="E94" s="35"/>
      <c r="F94" s="35"/>
      <c r="G94" s="35"/>
      <c r="H94" s="35"/>
      <c r="I94" s="35"/>
      <c r="J94" s="35"/>
      <c r="K94" s="386" t="str">
        <f>K29</f>
        <v>ថ្ងៃទី 15 ខែ មិថុនា ឆ្នាំ2026</v>
      </c>
      <c r="L94" s="386"/>
      <c r="M94" s="80"/>
      <c r="N94" s="460" t="str">
        <f>N29</f>
        <v>ថ្ងៃទី 15 ខែ មិថុនា ឆ្នាំ2026</v>
      </c>
      <c r="O94" s="460"/>
      <c r="P94" s="13"/>
    </row>
    <row r="95" spans="1:18" ht="29.25">
      <c r="A95" s="13"/>
      <c r="B95" s="36"/>
      <c r="C95" s="35"/>
      <c r="D95" s="35"/>
      <c r="E95" s="35"/>
      <c r="F95" s="35"/>
      <c r="G95" s="35"/>
      <c r="H95" s="35"/>
      <c r="I95" s="35"/>
      <c r="J95" s="35"/>
      <c r="K95" s="386" t="str">
        <f>K30</f>
        <v>Date:……./……../……</v>
      </c>
      <c r="L95" s="386"/>
      <c r="M95" s="80"/>
      <c r="N95" s="409" t="str">
        <f>N30</f>
        <v>Date:……./……../……</v>
      </c>
      <c r="O95" s="409"/>
      <c r="P95" s="13"/>
    </row>
    <row r="96" spans="1:18" ht="29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386" t="str">
        <f>K31</f>
        <v>នាយក</v>
      </c>
      <c r="L96" s="386"/>
      <c r="M96" s="80"/>
      <c r="N96" s="409" t="str">
        <f>N31</f>
        <v>អ្នកធ្វើរបាយការណ៍</v>
      </c>
      <c r="O96" s="409"/>
      <c r="P96" s="13"/>
    </row>
    <row r="97" spans="1:16" ht="29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409" t="str">
        <f>K33</f>
        <v>Director</v>
      </c>
      <c r="L97" s="409"/>
      <c r="M97" s="80"/>
      <c r="N97" s="409" t="str">
        <f>N67</f>
        <v>Reportor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81"/>
      <c r="L98" s="81"/>
      <c r="M98" s="80"/>
      <c r="N98" s="81"/>
      <c r="O98" s="81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81"/>
      <c r="L99" s="81"/>
      <c r="M99" s="80"/>
      <c r="N99" s="81"/>
      <c r="O99" s="81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81"/>
      <c r="L100" s="81"/>
      <c r="M100" s="80"/>
      <c r="N100" s="81"/>
      <c r="O100" s="81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80"/>
      <c r="L101" s="80"/>
      <c r="M101" s="80"/>
      <c r="N101" s="80"/>
      <c r="O101" s="80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80"/>
      <c r="L102" s="80"/>
      <c r="M102" s="80"/>
      <c r="N102" s="80"/>
      <c r="O102" s="80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420" t="str">
        <f>K40</f>
        <v>NI, CUNLAN</v>
      </c>
      <c r="L105" s="420"/>
      <c r="M105" s="80"/>
      <c r="N105" s="420" t="str">
        <f>N73</f>
        <v>THNIN</v>
      </c>
      <c r="O105" s="420"/>
      <c r="P105" s="13"/>
    </row>
    <row r="106" spans="1:16" s="164" customFormat="1" ht="35.25"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</row>
    <row r="107" spans="1:16" s="164" customFormat="1" ht="35.25">
      <c r="B107" s="474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</row>
    <row r="108" spans="1:16" s="164" customFormat="1">
      <c r="B108" s="165"/>
      <c r="C108" s="165"/>
      <c r="D108" s="165"/>
      <c r="E108" s="165"/>
      <c r="F108" s="165"/>
      <c r="G108" s="475"/>
      <c r="H108" s="476"/>
      <c r="I108" s="476"/>
      <c r="J108" s="476"/>
      <c r="K108" s="165"/>
      <c r="L108" s="165"/>
      <c r="M108" s="165"/>
      <c r="N108" s="165"/>
      <c r="O108" s="165"/>
    </row>
    <row r="109" spans="1:16" s="164" customFormat="1" ht="33">
      <c r="A109" s="166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167"/>
    </row>
    <row r="110" spans="1:16" s="164" customFormat="1" ht="29.25">
      <c r="A110" s="166"/>
      <c r="B110" s="478"/>
      <c r="C110" s="478"/>
      <c r="D110" s="478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167"/>
    </row>
    <row r="111" spans="1:16" s="164" customFormat="1" ht="33">
      <c r="A111" s="168"/>
      <c r="B111" s="169"/>
      <c r="C111" s="169"/>
      <c r="D111" s="169"/>
      <c r="E111" s="169"/>
      <c r="F111" s="169"/>
      <c r="G111" s="477"/>
      <c r="H111" s="477"/>
      <c r="I111" s="170"/>
      <c r="J111" s="171"/>
      <c r="K111" s="172"/>
      <c r="L111" s="173"/>
      <c r="M111" s="169"/>
      <c r="N111" s="169"/>
      <c r="O111" s="169"/>
      <c r="P111" s="174"/>
    </row>
    <row r="112" spans="1:16" s="164" customFormat="1">
      <c r="A112" s="168"/>
      <c r="B112" s="175"/>
      <c r="C112" s="176"/>
      <c r="D112" s="176"/>
      <c r="E112" s="176"/>
      <c r="F112" s="176"/>
      <c r="G112" s="357"/>
      <c r="H112" s="357"/>
      <c r="I112" s="357"/>
      <c r="J112" s="176"/>
      <c r="K112" s="176"/>
      <c r="L112" s="176"/>
      <c r="M112" s="176"/>
      <c r="N112" s="176"/>
      <c r="O112" s="176"/>
      <c r="P112" s="174"/>
    </row>
    <row r="113" spans="1:19" s="164" customFormat="1" ht="29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 spans="1:19" s="164" customFormat="1" ht="20.100000000000001" customHeight="1">
      <c r="A114" s="179"/>
      <c r="B114" s="180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1"/>
      <c r="N114" s="181"/>
      <c r="O114" s="181"/>
      <c r="P114" s="181"/>
    </row>
    <row r="115" spans="1:19" s="185" customFormat="1" ht="20.100000000000001" customHeight="1">
      <c r="A115" s="182"/>
      <c r="B115" s="183"/>
      <c r="C115" s="183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</row>
    <row r="116" spans="1:19" s="190" customFormat="1" ht="20.100000000000001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8"/>
      <c r="K116" s="188"/>
      <c r="L116" s="188"/>
      <c r="M116" s="188"/>
      <c r="N116" s="179"/>
      <c r="O116" s="189"/>
      <c r="P116" s="179"/>
    </row>
    <row r="117" spans="1:19" s="185" customFormat="1" ht="20.100000000000001" customHeight="1">
      <c r="A117" s="177"/>
      <c r="B117" s="177"/>
      <c r="C117" s="191"/>
      <c r="D117" s="177"/>
      <c r="F117" s="192"/>
      <c r="G117" s="177"/>
      <c r="I117" s="193"/>
      <c r="J117" s="194"/>
      <c r="K117" s="195"/>
      <c r="L117" s="195"/>
      <c r="M117" s="177"/>
      <c r="N117" s="177"/>
      <c r="O117" s="177"/>
      <c r="P117" s="196"/>
    </row>
    <row r="118" spans="1:19" s="164" customFormat="1" ht="20.100000000000001" customHeight="1">
      <c r="A118" s="186"/>
      <c r="B118" s="176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74"/>
    </row>
    <row r="119" spans="1:19" s="190" customFormat="1" ht="20.100000000000001" customHeight="1">
      <c r="A119" s="198"/>
      <c r="B119" s="198"/>
      <c r="C119" s="198"/>
      <c r="D119" s="480"/>
      <c r="E119" s="480"/>
      <c r="F119" s="198"/>
      <c r="G119" s="198"/>
      <c r="H119" s="198"/>
      <c r="I119" s="198"/>
      <c r="J119" s="479"/>
      <c r="K119" s="479"/>
      <c r="L119" s="198"/>
      <c r="M119" s="198"/>
      <c r="N119" s="198"/>
      <c r="O119" s="198"/>
      <c r="P119" s="199"/>
    </row>
    <row r="120" spans="1:19" s="164" customFormat="1" ht="29.25">
      <c r="A120" s="358"/>
      <c r="B120" s="358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167"/>
    </row>
    <row r="121" spans="1:19" s="164" customFormat="1" ht="29.25">
      <c r="A121" s="358"/>
      <c r="B121" s="358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200"/>
    </row>
    <row r="122" spans="1:19" s="164" customFormat="1" ht="29.25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200"/>
    </row>
    <row r="123" spans="1:19" s="164" customFormat="1" ht="29.25">
      <c r="A123" s="358"/>
      <c r="B123" s="358"/>
      <c r="C123" s="358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0"/>
    </row>
    <row r="124" spans="1:19" s="164" customFormat="1" ht="19.899999999999999" customHeight="1">
      <c r="A124" s="202"/>
      <c r="B124" s="203"/>
      <c r="C124" s="202"/>
      <c r="D124" s="204"/>
      <c r="E124" s="204"/>
      <c r="F124" s="99"/>
      <c r="G124" s="99"/>
      <c r="H124" s="202"/>
      <c r="I124" s="204"/>
      <c r="J124" s="202"/>
      <c r="K124" s="99"/>
      <c r="L124" s="202"/>
      <c r="M124" s="99"/>
      <c r="N124" s="202"/>
      <c r="O124" s="99"/>
      <c r="P124" s="205"/>
      <c r="Q124" s="206"/>
      <c r="S124" s="206"/>
    </row>
    <row r="125" spans="1:19" s="164" customFormat="1" ht="19.899999999999999" customHeight="1">
      <c r="A125" s="202"/>
      <c r="B125" s="203"/>
      <c r="C125" s="202"/>
      <c r="D125" s="204"/>
      <c r="E125" s="204"/>
      <c r="F125" s="99"/>
      <c r="G125" s="99"/>
      <c r="H125" s="202"/>
      <c r="I125" s="204"/>
      <c r="J125" s="202"/>
      <c r="K125" s="99"/>
      <c r="L125" s="202"/>
      <c r="M125" s="99"/>
      <c r="N125" s="202"/>
      <c r="O125" s="99"/>
      <c r="P125" s="205"/>
      <c r="Q125" s="206"/>
      <c r="S125" s="206"/>
    </row>
    <row r="126" spans="1:19" s="164" customFormat="1" ht="19.899999999999999" customHeight="1">
      <c r="A126" s="207"/>
      <c r="B126" s="208"/>
      <c r="C126" s="207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7"/>
      <c r="B127" s="209"/>
      <c r="C127" s="207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02"/>
      <c r="B128" s="203"/>
      <c r="C128" s="202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02"/>
      <c r="B129" s="203"/>
      <c r="C129" s="202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7"/>
      <c r="B130" s="209"/>
      <c r="C130" s="207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7"/>
      <c r="B131" s="209"/>
      <c r="C131" s="207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07"/>
      <c r="B132" s="209"/>
      <c r="C132" s="207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>
      <c r="A133" s="357"/>
      <c r="B133" s="357"/>
      <c r="C133" s="202"/>
      <c r="D133" s="210"/>
      <c r="E133" s="210"/>
      <c r="F133" s="210"/>
      <c r="G133" s="210"/>
      <c r="H133" s="202"/>
      <c r="I133" s="210"/>
      <c r="J133" s="202"/>
      <c r="K133" s="211"/>
      <c r="L133" s="202"/>
      <c r="M133" s="211"/>
      <c r="N133" s="99"/>
      <c r="O133" s="211"/>
      <c r="P133" s="200"/>
    </row>
    <row r="134" spans="1:19" s="164" customFormat="1" ht="23.25">
      <c r="A134" s="364"/>
      <c r="B134" s="364"/>
      <c r="C134" s="364"/>
      <c r="D134" s="364"/>
      <c r="E134" s="364"/>
      <c r="F134" s="364"/>
      <c r="G134" s="364"/>
      <c r="H134" s="364"/>
      <c r="I134" s="364"/>
      <c r="J134" s="202"/>
      <c r="K134" s="202"/>
      <c r="L134" s="202"/>
      <c r="M134" s="202"/>
      <c r="N134" s="202"/>
      <c r="O134" s="202"/>
      <c r="P134" s="200"/>
    </row>
    <row r="135" spans="1:19" s="164" customFormat="1" ht="29.25">
      <c r="A135" s="364"/>
      <c r="B135" s="364"/>
      <c r="C135" s="364"/>
      <c r="D135" s="364"/>
      <c r="E135" s="364"/>
      <c r="F135" s="364"/>
      <c r="G135" s="364"/>
      <c r="H135" s="364"/>
      <c r="I135" s="364"/>
      <c r="J135" s="212"/>
      <c r="K135" s="358"/>
      <c r="L135" s="358"/>
      <c r="M135" s="213"/>
      <c r="N135" s="358"/>
      <c r="O135" s="358"/>
      <c r="P135" s="200"/>
    </row>
    <row r="136" spans="1:19" s="164" customFormat="1" ht="23.25">
      <c r="A136" s="214"/>
      <c r="B136" s="176"/>
      <c r="C136" s="197"/>
      <c r="D136" s="197"/>
      <c r="E136" s="197"/>
      <c r="F136" s="197"/>
      <c r="G136" s="197"/>
      <c r="H136" s="197"/>
      <c r="I136" s="197"/>
      <c r="J136" s="202"/>
      <c r="K136" s="481"/>
      <c r="L136" s="481"/>
      <c r="M136" s="215"/>
      <c r="N136" s="481"/>
      <c r="O136" s="481"/>
      <c r="P136" s="200"/>
    </row>
    <row r="137" spans="1:19" s="164" customFormat="1" ht="29.25">
      <c r="A137" s="214"/>
      <c r="B137" s="178"/>
      <c r="C137" s="197"/>
      <c r="D137" s="197"/>
      <c r="E137" s="197"/>
      <c r="F137" s="197"/>
      <c r="G137" s="197"/>
      <c r="H137" s="197"/>
      <c r="I137" s="197"/>
      <c r="J137" s="202"/>
      <c r="K137" s="485"/>
      <c r="L137" s="485"/>
      <c r="M137" s="215"/>
      <c r="N137" s="358"/>
      <c r="O137" s="359"/>
      <c r="P137" s="200"/>
    </row>
    <row r="138" spans="1:19" s="164" customFormat="1" ht="23.25" customHeight="1">
      <c r="A138" s="214"/>
      <c r="B138" s="178"/>
      <c r="C138" s="197"/>
      <c r="D138" s="197"/>
      <c r="E138" s="197"/>
      <c r="F138" s="197"/>
      <c r="G138" s="197"/>
      <c r="H138" s="197"/>
      <c r="I138" s="197"/>
      <c r="J138" s="202"/>
      <c r="K138" s="360"/>
      <c r="L138" s="361"/>
      <c r="M138" s="215"/>
      <c r="N138" s="361"/>
      <c r="O138" s="361"/>
      <c r="P138" s="200"/>
    </row>
    <row r="139" spans="1:19" s="164" customFormat="1" ht="23.25">
      <c r="A139" s="214"/>
      <c r="B139" s="217"/>
      <c r="C139" s="168"/>
      <c r="D139" s="168"/>
      <c r="E139" s="218"/>
      <c r="F139" s="218"/>
      <c r="G139" s="218"/>
      <c r="H139" s="218"/>
      <c r="I139" s="218"/>
      <c r="J139" s="202"/>
      <c r="K139" s="202"/>
      <c r="L139" s="202"/>
      <c r="M139" s="202"/>
      <c r="N139" s="202"/>
      <c r="O139" s="202"/>
      <c r="P139" s="200"/>
    </row>
    <row r="140" spans="1:19" s="164" customFormat="1" ht="23.25">
      <c r="A140" s="214"/>
      <c r="B140" s="217"/>
      <c r="C140" s="168"/>
      <c r="D140" s="168"/>
      <c r="E140" s="218"/>
      <c r="F140" s="218"/>
      <c r="G140" s="218"/>
      <c r="H140" s="197"/>
      <c r="I140" s="197"/>
      <c r="J140" s="202"/>
      <c r="K140" s="202"/>
      <c r="L140" s="202"/>
      <c r="M140" s="202"/>
      <c r="N140" s="202"/>
      <c r="O140" s="202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197"/>
      <c r="I141" s="197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7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362"/>
      <c r="L145" s="362"/>
      <c r="M145" s="200"/>
      <c r="N145" s="363"/>
      <c r="O145" s="363"/>
      <c r="P145" s="200"/>
    </row>
    <row r="146" spans="1:16" s="164" customFormat="1">
      <c r="A146" s="219"/>
      <c r="B146" s="200"/>
      <c r="C146" s="200"/>
      <c r="D146" s="200"/>
      <c r="E146" s="200"/>
      <c r="F146" s="200"/>
      <c r="G146" s="200"/>
      <c r="H146" s="200"/>
      <c r="I146" s="200"/>
      <c r="J146" s="200"/>
      <c r="K146" s="220"/>
      <c r="L146" s="220"/>
      <c r="M146" s="200"/>
      <c r="N146" s="221"/>
      <c r="O146" s="221"/>
      <c r="P146" s="200"/>
    </row>
    <row r="147" spans="1:16" s="164" customFormat="1">
      <c r="A147" s="219"/>
      <c r="B147" s="200"/>
      <c r="C147" s="200"/>
      <c r="D147" s="200"/>
      <c r="E147" s="200"/>
      <c r="F147" s="200"/>
      <c r="G147" s="200"/>
      <c r="H147" s="200"/>
      <c r="I147" s="200"/>
      <c r="J147" s="200"/>
      <c r="K147" s="220"/>
      <c r="L147" s="220"/>
      <c r="M147" s="200"/>
      <c r="N147" s="221"/>
      <c r="O147" s="221"/>
      <c r="P147" s="200"/>
    </row>
    <row r="148" spans="1:16" s="164" customFormat="1" ht="42">
      <c r="A148" s="222"/>
      <c r="B148" s="482"/>
      <c r="C148" s="482"/>
      <c r="D148" s="482"/>
      <c r="E148" s="482"/>
      <c r="F148" s="482"/>
      <c r="G148" s="482"/>
      <c r="H148" s="482"/>
      <c r="I148" s="482"/>
      <c r="J148" s="200"/>
      <c r="K148" s="200"/>
      <c r="L148" s="200"/>
      <c r="M148" s="200"/>
      <c r="N148" s="200"/>
      <c r="O148" s="200"/>
      <c r="P148" s="200"/>
    </row>
    <row r="149" spans="1:16" s="164" customFormat="1" ht="33">
      <c r="A149" s="483"/>
      <c r="B149" s="483"/>
      <c r="C149" s="483"/>
      <c r="D149" s="483"/>
      <c r="E149" s="483"/>
      <c r="F149" s="483"/>
      <c r="G149" s="483"/>
      <c r="H149" s="483"/>
      <c r="I149" s="483"/>
      <c r="J149" s="223"/>
      <c r="K149" s="224"/>
      <c r="L149" s="224"/>
      <c r="M149" s="225"/>
      <c r="N149" s="225"/>
      <c r="O149" s="225"/>
      <c r="P149" s="225"/>
    </row>
    <row r="150" spans="1:16" s="164" customFormat="1" ht="31.15" customHeight="1">
      <c r="A150" s="484"/>
      <c r="B150" s="484"/>
      <c r="C150" s="484"/>
      <c r="D150" s="486"/>
      <c r="E150" s="484"/>
      <c r="F150" s="484"/>
      <c r="G150" s="484"/>
      <c r="H150" s="484"/>
      <c r="I150" s="484"/>
      <c r="J150" s="484"/>
      <c r="K150" s="484"/>
      <c r="L150" s="484"/>
      <c r="M150" s="484"/>
      <c r="N150" s="484"/>
      <c r="O150" s="484"/>
      <c r="P150" s="484"/>
    </row>
    <row r="151" spans="1:16" s="164" customFormat="1" ht="30" customHeight="1">
      <c r="A151" s="484"/>
      <c r="B151" s="484"/>
      <c r="C151" s="484"/>
      <c r="D151" s="486"/>
      <c r="E151" s="484"/>
      <c r="F151" s="484"/>
      <c r="G151" s="484"/>
      <c r="H151" s="484"/>
      <c r="I151" s="484"/>
      <c r="J151" s="484"/>
      <c r="K151" s="484"/>
      <c r="L151" s="484"/>
      <c r="M151" s="484"/>
      <c r="N151" s="484"/>
      <c r="O151" s="484"/>
      <c r="P151" s="484"/>
    </row>
    <row r="152" spans="1:16" s="164" customFormat="1" ht="29.25">
      <c r="A152" s="484"/>
      <c r="B152" s="484"/>
      <c r="C152" s="484"/>
      <c r="D152" s="48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 s="164" customFormat="1" ht="19.899999999999999" customHeight="1">
      <c r="A153" s="227"/>
      <c r="B153" s="228"/>
      <c r="C153" s="228"/>
      <c r="D153" s="207"/>
      <c r="E153" s="229"/>
      <c r="F153" s="230"/>
      <c r="G153" s="231"/>
      <c r="H153" s="232"/>
      <c r="I153" s="229"/>
      <c r="J153" s="229"/>
      <c r="K153" s="229"/>
      <c r="L153" s="230"/>
      <c r="M153" s="229"/>
      <c r="N153" s="230"/>
      <c r="O153" s="205"/>
      <c r="P153" s="233"/>
    </row>
    <row r="154" spans="1:16" s="164" customFormat="1" ht="19.899999999999999" customHeight="1">
      <c r="A154" s="227"/>
      <c r="B154" s="228"/>
      <c r="C154" s="228"/>
      <c r="D154" s="207"/>
      <c r="E154" s="229"/>
      <c r="F154" s="230"/>
      <c r="G154" s="231"/>
      <c r="H154" s="232"/>
      <c r="I154" s="232"/>
      <c r="J154" s="232"/>
      <c r="K154" s="229"/>
      <c r="L154" s="230"/>
      <c r="M154" s="229"/>
      <c r="N154" s="230"/>
      <c r="O154" s="205"/>
      <c r="P154" s="233"/>
    </row>
    <row r="155" spans="1:16" s="164" customFormat="1" ht="19.899999999999999" customHeight="1">
      <c r="A155" s="227"/>
      <c r="B155" s="228"/>
      <c r="C155" s="228"/>
      <c r="D155" s="207"/>
      <c r="E155" s="229"/>
      <c r="F155" s="230"/>
      <c r="G155" s="229"/>
      <c r="H155" s="230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07"/>
      <c r="E156" s="229"/>
      <c r="F156" s="230"/>
      <c r="G156" s="98"/>
      <c r="H156" s="230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07"/>
      <c r="E157" s="98"/>
      <c r="F157" s="99"/>
      <c r="G157" s="231"/>
      <c r="H157" s="232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07"/>
      <c r="E158" s="229"/>
      <c r="F158" s="230"/>
      <c r="G158" s="231"/>
      <c r="H158" s="232"/>
      <c r="I158" s="229"/>
      <c r="J158" s="229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07"/>
      <c r="E159" s="229"/>
      <c r="F159" s="230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07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07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25.5">
      <c r="A162" s="207"/>
      <c r="B162" s="487"/>
      <c r="C162" s="487"/>
      <c r="D162" s="234"/>
      <c r="E162" s="235"/>
      <c r="F162" s="211"/>
      <c r="G162" s="98"/>
      <c r="H162" s="99"/>
      <c r="I162" s="99"/>
      <c r="J162" s="99"/>
      <c r="K162" s="235"/>
      <c r="L162" s="211"/>
      <c r="M162" s="235"/>
      <c r="N162" s="211"/>
      <c r="O162" s="236"/>
      <c r="P162" s="237"/>
    </row>
    <row r="163" spans="1:20" s="164" customFormat="1" ht="23.25">
      <c r="A163" s="207"/>
      <c r="B163" s="234"/>
      <c r="C163" s="234"/>
      <c r="D163" s="234"/>
      <c r="E163" s="98"/>
      <c r="F163" s="99"/>
      <c r="G163" s="98"/>
      <c r="H163" s="99"/>
      <c r="I163" s="99"/>
      <c r="J163" s="99"/>
      <c r="K163" s="99"/>
      <c r="L163" s="99"/>
      <c r="M163" s="99"/>
      <c r="N163" s="99"/>
      <c r="O163" s="236"/>
      <c r="P163" s="237"/>
    </row>
    <row r="164" spans="1:20" s="164" customFormat="1" ht="33">
      <c r="A164" s="488"/>
      <c r="B164" s="488"/>
      <c r="C164" s="488"/>
      <c r="D164" s="488"/>
      <c r="E164" s="488"/>
      <c r="F164" s="488"/>
      <c r="G164" s="488"/>
      <c r="H164" s="488"/>
      <c r="I164" s="488"/>
      <c r="J164" s="223"/>
      <c r="K164" s="224"/>
      <c r="L164" s="238"/>
      <c r="M164" s="239"/>
      <c r="N164" s="239"/>
      <c r="O164" s="239"/>
      <c r="P164" s="239"/>
    </row>
    <row r="165" spans="1:20" s="164" customFormat="1" ht="33">
      <c r="A165" s="484"/>
      <c r="B165" s="484"/>
      <c r="C165" s="484"/>
      <c r="D165" s="486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84"/>
      <c r="P165" s="484"/>
    </row>
    <row r="166" spans="1:20" s="164" customFormat="1" ht="29.25">
      <c r="A166" s="484"/>
      <c r="B166" s="484"/>
      <c r="C166" s="484"/>
      <c r="D166" s="486"/>
      <c r="E166" s="484"/>
      <c r="F166" s="484"/>
      <c r="G166" s="484"/>
      <c r="H166" s="484"/>
      <c r="I166" s="484"/>
      <c r="J166" s="484"/>
      <c r="K166" s="484"/>
      <c r="L166" s="484"/>
      <c r="M166" s="484"/>
      <c r="N166" s="484"/>
      <c r="O166" s="484"/>
      <c r="P166" s="484"/>
    </row>
    <row r="167" spans="1:20" s="164" customFormat="1" ht="29.25">
      <c r="A167" s="484"/>
      <c r="B167" s="484"/>
      <c r="C167" s="484"/>
      <c r="D167" s="486"/>
      <c r="E167" s="226"/>
      <c r="F167" s="226"/>
      <c r="G167" s="240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20" s="164" customFormat="1" ht="30" customHeight="1">
      <c r="A168" s="241"/>
      <c r="B168" s="491"/>
      <c r="C168" s="491"/>
      <c r="D168" s="242"/>
      <c r="E168" s="243"/>
      <c r="F168" s="244"/>
      <c r="G168" s="243"/>
      <c r="H168" s="244"/>
      <c r="I168" s="245"/>
      <c r="J168" s="246"/>
      <c r="K168" s="247"/>
      <c r="L168" s="248"/>
      <c r="M168" s="243"/>
      <c r="N168" s="244"/>
      <c r="O168" s="249"/>
      <c r="P168" s="249"/>
      <c r="Q168" s="206"/>
      <c r="R168" s="206"/>
      <c r="S168" s="206"/>
      <c r="T168" s="206"/>
    </row>
    <row r="169" spans="1:20" s="164" customFormat="1" ht="30" customHeight="1">
      <c r="A169" s="250"/>
      <c r="B169" s="492"/>
      <c r="C169" s="492"/>
      <c r="D169" s="207"/>
      <c r="E169" s="252"/>
      <c r="F169" s="252"/>
      <c r="G169" s="253"/>
      <c r="H169" s="253"/>
      <c r="I169" s="254"/>
      <c r="J169" s="252"/>
      <c r="K169" s="252"/>
      <c r="L169" s="252"/>
      <c r="M169" s="253"/>
      <c r="N169" s="255"/>
      <c r="O169" s="256"/>
      <c r="P169" s="256"/>
      <c r="Q169" s="206"/>
      <c r="R169" s="206"/>
      <c r="S169" s="206"/>
      <c r="T169" s="206"/>
    </row>
    <row r="170" spans="1:20" s="164" customFormat="1" ht="30" customHeight="1">
      <c r="A170" s="250"/>
      <c r="B170" s="489"/>
      <c r="C170" s="489"/>
      <c r="D170" s="207"/>
      <c r="E170" s="254"/>
      <c r="F170" s="253"/>
      <c r="G170" s="253"/>
      <c r="H170" s="253"/>
      <c r="I170" s="258"/>
      <c r="J170" s="258"/>
      <c r="K170" s="252"/>
      <c r="L170" s="252"/>
      <c r="M170" s="253"/>
      <c r="N170" s="255"/>
      <c r="O170" s="256"/>
      <c r="P170" s="256"/>
      <c r="Q170" s="206"/>
      <c r="R170" s="206"/>
      <c r="S170" s="206"/>
      <c r="T170" s="206"/>
    </row>
    <row r="171" spans="1:20" s="164" customFormat="1" ht="30" customHeight="1">
      <c r="A171" s="250"/>
      <c r="B171" s="489"/>
      <c r="C171" s="489"/>
      <c r="D171" s="207"/>
      <c r="E171" s="254"/>
      <c r="F171" s="253"/>
      <c r="G171" s="253"/>
      <c r="H171" s="253"/>
      <c r="I171" s="258"/>
      <c r="J171" s="258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25.5">
      <c r="A172" s="207"/>
      <c r="B172" s="487"/>
      <c r="C172" s="487"/>
      <c r="D172" s="234"/>
      <c r="E172" s="235"/>
      <c r="F172" s="259"/>
      <c r="G172" s="235"/>
      <c r="H172" s="260"/>
      <c r="I172" s="235"/>
      <c r="J172" s="259"/>
      <c r="K172" s="235"/>
      <c r="L172" s="259"/>
      <c r="M172" s="235"/>
      <c r="N172" s="259"/>
      <c r="O172" s="261"/>
      <c r="P172" s="261"/>
    </row>
    <row r="173" spans="1:20" s="164" customForma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r="174" spans="1:20" s="164" customFormat="1" ht="29.25">
      <c r="A174" s="200"/>
      <c r="B174" s="214"/>
      <c r="C174" s="203"/>
      <c r="D174" s="203"/>
      <c r="E174" s="203"/>
      <c r="F174" s="203"/>
      <c r="G174" s="203"/>
      <c r="H174" s="203"/>
      <c r="I174" s="203"/>
      <c r="J174" s="203"/>
      <c r="K174" s="359"/>
      <c r="L174" s="359"/>
      <c r="M174" s="177"/>
      <c r="N174" s="359"/>
      <c r="O174" s="359"/>
      <c r="P174" s="203"/>
    </row>
    <row r="175" spans="1:20" s="164" customFormat="1" ht="29.25">
      <c r="A175" s="200"/>
      <c r="B175" s="262"/>
      <c r="C175" s="200"/>
      <c r="D175" s="200"/>
      <c r="E175" s="200"/>
      <c r="F175" s="200"/>
      <c r="G175" s="200"/>
      <c r="H175" s="200"/>
      <c r="I175" s="200"/>
      <c r="J175" s="200"/>
      <c r="K175" s="490"/>
      <c r="L175" s="490"/>
      <c r="M175" s="263"/>
      <c r="N175" s="490"/>
      <c r="O175" s="490"/>
      <c r="P175" s="200"/>
    </row>
    <row r="176" spans="1:20" s="164" customFormat="1" ht="29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490"/>
      <c r="L176" s="490"/>
      <c r="M176" s="263"/>
      <c r="N176" s="490"/>
      <c r="O176" s="490"/>
      <c r="P176" s="200"/>
    </row>
    <row r="177" spans="1:16" s="164" customFormat="1" ht="29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5.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64"/>
      <c r="L178" s="264"/>
      <c r="M178" s="264"/>
      <c r="N178" s="264"/>
      <c r="O178" s="264"/>
      <c r="P178" s="200"/>
    </row>
    <row r="179" spans="1:16" s="164" customForma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r="180" spans="1:16" s="164" customForma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363"/>
      <c r="L188" s="363"/>
      <c r="M188" s="200"/>
      <c r="N188" s="363"/>
      <c r="O188" s="363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21"/>
      <c r="L189" s="221"/>
      <c r="M189" s="200"/>
      <c r="N189" s="221"/>
      <c r="O189" s="221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21"/>
      <c r="L190" s="221"/>
      <c r="M190" s="200"/>
      <c r="N190" s="221"/>
      <c r="O190" s="221"/>
      <c r="P190" s="200"/>
    </row>
    <row r="191" spans="1:16" s="164" customFormat="1" ht="36.75">
      <c r="A191" s="200"/>
      <c r="B191" s="494"/>
      <c r="C191" s="494"/>
      <c r="D191" s="494"/>
      <c r="E191" s="494"/>
      <c r="F191" s="494"/>
      <c r="G191" s="494"/>
      <c r="H191" s="494"/>
      <c r="I191" s="494"/>
      <c r="J191" s="494"/>
      <c r="K191" s="494"/>
      <c r="L191" s="200"/>
      <c r="M191" s="200"/>
      <c r="N191" s="200"/>
      <c r="O191" s="200"/>
      <c r="P191" s="200"/>
    </row>
    <row r="192" spans="1:16" s="266" customFormat="1" ht="33">
      <c r="A192" s="265"/>
      <c r="B192" s="488"/>
      <c r="C192" s="488"/>
      <c r="D192" s="488"/>
      <c r="E192" s="488"/>
      <c r="F192" s="488"/>
      <c r="G192" s="488"/>
      <c r="H192" s="488"/>
      <c r="I192" s="488"/>
      <c r="J192" s="223"/>
      <c r="K192" s="224"/>
      <c r="L192" s="265"/>
      <c r="M192" s="265"/>
      <c r="N192" s="265"/>
      <c r="O192" s="265"/>
      <c r="P192" s="265"/>
    </row>
    <row r="193" spans="1:18" s="185" customFormat="1" ht="29.25">
      <c r="A193" s="484"/>
      <c r="B193" s="484"/>
      <c r="C193" s="484"/>
      <c r="D193" s="484"/>
      <c r="E193" s="486"/>
      <c r="F193" s="486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</row>
    <row r="194" spans="1:18" s="185" customFormat="1" ht="29.25">
      <c r="A194" s="484"/>
      <c r="B194" s="484"/>
      <c r="C194" s="484"/>
      <c r="D194" s="484"/>
      <c r="E194" s="486"/>
      <c r="F194" s="486"/>
      <c r="G194" s="226"/>
      <c r="H194" s="226"/>
      <c r="I194" s="226"/>
      <c r="J194" s="226"/>
      <c r="K194" s="484"/>
      <c r="L194" s="484"/>
      <c r="M194" s="498"/>
      <c r="N194" s="498"/>
      <c r="O194" s="484"/>
      <c r="P194" s="484"/>
    </row>
    <row r="195" spans="1:18" s="275" customFormat="1" ht="25.15" customHeight="1">
      <c r="A195" s="267"/>
      <c r="B195" s="499"/>
      <c r="C195" s="499"/>
      <c r="D195" s="499"/>
      <c r="E195" s="500"/>
      <c r="F195" s="500"/>
      <c r="G195" s="269"/>
      <c r="H195" s="270"/>
      <c r="I195" s="271"/>
      <c r="J195" s="272"/>
      <c r="K195" s="501"/>
      <c r="L195" s="501"/>
      <c r="M195" s="502"/>
      <c r="N195" s="502"/>
      <c r="O195" s="499"/>
      <c r="P195" s="499"/>
      <c r="Q195" s="273"/>
      <c r="R195" s="274"/>
    </row>
    <row r="196" spans="1:18" s="284" customFormat="1" ht="25.15" customHeight="1">
      <c r="A196" s="276"/>
      <c r="B196" s="503"/>
      <c r="C196" s="503"/>
      <c r="D196" s="503"/>
      <c r="E196" s="504"/>
      <c r="F196" s="504"/>
      <c r="G196" s="278"/>
      <c r="H196" s="279"/>
      <c r="I196" s="280"/>
      <c r="J196" s="281"/>
      <c r="K196" s="505"/>
      <c r="L196" s="505"/>
      <c r="M196" s="506"/>
      <c r="N196" s="506"/>
      <c r="O196" s="495"/>
      <c r="P196" s="495"/>
      <c r="Q196" s="282"/>
      <c r="R196" s="283"/>
    </row>
    <row r="197" spans="1:18" s="164" customFormat="1">
      <c r="A197" s="200"/>
      <c r="B197" s="285"/>
      <c r="C197" s="208"/>
      <c r="D197" s="208"/>
      <c r="E197" s="208"/>
      <c r="F197" s="208"/>
      <c r="G197" s="208"/>
      <c r="H197" s="208"/>
      <c r="I197" s="208"/>
      <c r="J197" s="208"/>
      <c r="K197" s="208"/>
      <c r="L197" s="200"/>
      <c r="M197" s="200"/>
      <c r="N197" s="200"/>
      <c r="O197" s="200"/>
      <c r="P197" s="200"/>
    </row>
    <row r="198" spans="1:18" s="185" customFormat="1" ht="29.25">
      <c r="A198" s="286"/>
      <c r="B198" s="497"/>
      <c r="C198" s="497"/>
      <c r="D198" s="497"/>
      <c r="E198" s="497"/>
      <c r="F198" s="497"/>
      <c r="G198" s="497"/>
      <c r="H198" s="497"/>
      <c r="I198" s="497"/>
      <c r="J198" s="287"/>
      <c r="K198" s="288"/>
      <c r="L198" s="286"/>
      <c r="M198" s="286"/>
      <c r="N198" s="286"/>
      <c r="O198" s="286"/>
      <c r="P198" s="286"/>
    </row>
    <row r="199" spans="1:18" s="185" customFormat="1" ht="29.25">
      <c r="A199" s="484"/>
      <c r="B199" s="484"/>
      <c r="C199" s="484"/>
      <c r="D199" s="484"/>
      <c r="E199" s="496"/>
      <c r="F199" s="496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</row>
    <row r="200" spans="1:18" s="185" customFormat="1" ht="29.25">
      <c r="A200" s="484"/>
      <c r="B200" s="484"/>
      <c r="C200" s="484"/>
      <c r="D200" s="484"/>
      <c r="E200" s="496"/>
      <c r="F200" s="496"/>
      <c r="G200" s="226"/>
      <c r="H200" s="226"/>
      <c r="I200" s="226"/>
      <c r="J200" s="226"/>
      <c r="K200" s="484"/>
      <c r="L200" s="484"/>
      <c r="M200" s="498"/>
      <c r="N200" s="498"/>
      <c r="O200" s="484"/>
      <c r="P200" s="484"/>
    </row>
    <row r="201" spans="1:18" s="275" customFormat="1" ht="25.15" customHeight="1">
      <c r="A201" s="289"/>
      <c r="B201" s="499"/>
      <c r="C201" s="499"/>
      <c r="D201" s="499"/>
      <c r="E201" s="500"/>
      <c r="F201" s="500"/>
      <c r="G201" s="271"/>
      <c r="H201" s="272"/>
      <c r="I201" s="271"/>
      <c r="J201" s="272"/>
      <c r="K201" s="501"/>
      <c r="L201" s="501"/>
      <c r="M201" s="502"/>
      <c r="N201" s="502"/>
      <c r="O201" s="499"/>
      <c r="P201" s="499"/>
      <c r="Q201" s="273"/>
      <c r="R201" s="274"/>
    </row>
    <row r="202" spans="1:18" s="284" customFormat="1" ht="25.15" customHeight="1">
      <c r="A202" s="276"/>
      <c r="B202" s="503"/>
      <c r="C202" s="503"/>
      <c r="D202" s="503"/>
      <c r="E202" s="504"/>
      <c r="F202" s="504"/>
      <c r="G202" s="278"/>
      <c r="H202" s="279"/>
      <c r="I202" s="280"/>
      <c r="J202" s="281"/>
      <c r="K202" s="505"/>
      <c r="L202" s="505"/>
      <c r="M202" s="506"/>
      <c r="N202" s="506"/>
      <c r="O202" s="495"/>
      <c r="P202" s="495"/>
      <c r="Q202" s="282"/>
      <c r="R202" s="283"/>
    </row>
    <row r="203" spans="1:18" s="164" customFormat="1" ht="23.25">
      <c r="A203" s="200"/>
      <c r="B203" s="285"/>
      <c r="C203" s="234"/>
      <c r="D203" s="234"/>
      <c r="E203" s="234"/>
      <c r="F203" s="234"/>
      <c r="G203" s="208"/>
      <c r="H203" s="208"/>
      <c r="I203" s="208"/>
      <c r="J203" s="208"/>
      <c r="K203" s="208"/>
      <c r="L203" s="200"/>
      <c r="M203" s="200"/>
      <c r="N203" s="200"/>
      <c r="O203" s="200"/>
      <c r="P203" s="200"/>
    </row>
    <row r="204" spans="1:18" s="266" customFormat="1" ht="33">
      <c r="A204" s="265"/>
      <c r="B204" s="488"/>
      <c r="C204" s="488"/>
      <c r="D204" s="488"/>
      <c r="E204" s="488"/>
      <c r="F204" s="488"/>
      <c r="G204" s="488"/>
      <c r="H204" s="488"/>
      <c r="I204" s="488"/>
      <c r="J204" s="223"/>
      <c r="K204" s="224"/>
      <c r="L204" s="265"/>
      <c r="M204" s="265"/>
      <c r="N204" s="265"/>
      <c r="O204" s="265"/>
      <c r="P204" s="265"/>
    </row>
    <row r="205" spans="1:18" s="185" customFormat="1" ht="29.25">
      <c r="A205" s="226"/>
      <c r="B205" s="484"/>
      <c r="C205" s="484"/>
      <c r="D205" s="290"/>
      <c r="E205" s="486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</row>
    <row r="206" spans="1:18" s="164" customFormat="1" ht="28.15" customHeight="1">
      <c r="A206" s="250"/>
      <c r="B206" s="484"/>
      <c r="C206" s="484"/>
      <c r="D206" s="208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507"/>
      <c r="P206" s="507"/>
    </row>
    <row r="207" spans="1:18" s="164" customFormat="1" ht="29.25">
      <c r="A207" s="207"/>
      <c r="B207" s="484"/>
      <c r="C207" s="484"/>
      <c r="D207" s="208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507"/>
      <c r="P207" s="507"/>
    </row>
    <row r="208" spans="1:18" s="284" customFormat="1" ht="25.15" customHeight="1">
      <c r="A208" s="276"/>
      <c r="B208" s="503"/>
      <c r="C208" s="503"/>
      <c r="D208" s="292"/>
      <c r="E208" s="504"/>
      <c r="F208" s="504"/>
      <c r="G208" s="508"/>
      <c r="H208" s="508"/>
      <c r="I208" s="508"/>
      <c r="J208" s="508"/>
      <c r="K208" s="505"/>
      <c r="L208" s="505"/>
      <c r="M208" s="505"/>
      <c r="N208" s="505"/>
      <c r="O208" s="495"/>
      <c r="P208" s="495"/>
      <c r="Q208" s="282"/>
      <c r="R208" s="283"/>
    </row>
    <row r="209" spans="1:16" s="164" customFormat="1" ht="29.25">
      <c r="A209" s="207"/>
      <c r="B209" s="226"/>
      <c r="C209" s="226"/>
      <c r="D209" s="208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166"/>
      <c r="P209" s="166"/>
    </row>
    <row r="210" spans="1:16" s="164" customForma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</row>
    <row r="211" spans="1:16" s="164" customFormat="1" ht="29.25">
      <c r="A211" s="178"/>
      <c r="B211" s="178"/>
      <c r="C211" s="203"/>
      <c r="D211" s="203"/>
      <c r="E211" s="203"/>
      <c r="F211" s="203"/>
      <c r="G211" s="203"/>
      <c r="H211" s="203"/>
      <c r="I211" s="203"/>
      <c r="J211" s="203"/>
      <c r="K211" s="359"/>
      <c r="L211" s="359"/>
      <c r="M211" s="263"/>
      <c r="N211" s="496"/>
      <c r="O211" s="496"/>
      <c r="P211" s="200"/>
    </row>
    <row r="212" spans="1:16" s="164" customFormat="1" ht="29.25">
      <c r="A212" s="200"/>
      <c r="B212" s="262"/>
      <c r="C212" s="203"/>
      <c r="D212" s="203"/>
      <c r="E212" s="203"/>
      <c r="F212" s="203"/>
      <c r="G212" s="203"/>
      <c r="H212" s="203"/>
      <c r="I212" s="203"/>
      <c r="J212" s="203"/>
      <c r="K212" s="359"/>
      <c r="L212" s="359"/>
      <c r="M212" s="263"/>
      <c r="N212" s="490"/>
      <c r="O212" s="490"/>
      <c r="P212" s="200"/>
    </row>
    <row r="213" spans="1:16" s="164" customFormat="1" ht="29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359"/>
      <c r="L213" s="359"/>
      <c r="M213" s="263"/>
      <c r="N213" s="490"/>
      <c r="O213" s="490"/>
      <c r="P213" s="200"/>
    </row>
    <row r="214" spans="1:16" s="164" customFormat="1" ht="29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490"/>
      <c r="L214" s="490"/>
      <c r="M214" s="263"/>
      <c r="N214" s="490"/>
      <c r="O214" s="490"/>
      <c r="P214" s="200"/>
    </row>
    <row r="215" spans="1:16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94"/>
      <c r="L215" s="294"/>
      <c r="M215" s="263"/>
      <c r="N215" s="294"/>
      <c r="O215" s="294"/>
      <c r="P215" s="200"/>
    </row>
    <row r="216" spans="1:16" s="164" customForma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166"/>
      <c r="L216" s="166"/>
      <c r="M216" s="200"/>
      <c r="N216" s="166"/>
      <c r="O216" s="166"/>
      <c r="P216" s="200"/>
    </row>
    <row r="217" spans="1:16" s="164" customForma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166"/>
      <c r="L217" s="166"/>
      <c r="M217" s="200"/>
      <c r="N217" s="166"/>
      <c r="O217" s="166"/>
      <c r="P217" s="200"/>
    </row>
    <row r="218" spans="1:16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</row>
    <row r="219" spans="1:16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</row>
    <row r="220" spans="1:16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6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6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6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363"/>
      <c r="L228" s="363"/>
      <c r="M228" s="200"/>
      <c r="N228" s="363"/>
      <c r="O228" s="363"/>
      <c r="P228" s="200"/>
    </row>
    <row r="229" spans="1:16" s="164" customFormat="1"/>
    <row r="230" spans="1:16" s="164" customFormat="1"/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</sheetData>
  <mergeCells count="297"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  <mergeCell ref="K31:L31"/>
    <mergeCell ref="N31:O31"/>
    <mergeCell ref="A33:I33"/>
    <mergeCell ref="K33:L33"/>
    <mergeCell ref="N33:O33"/>
    <mergeCell ref="A36:G36"/>
    <mergeCell ref="A27:B27"/>
    <mergeCell ref="A28:I28"/>
    <mergeCell ref="A29:I29"/>
    <mergeCell ref="K29:L29"/>
    <mergeCell ref="N29:O29"/>
    <mergeCell ref="K30:L30"/>
    <mergeCell ref="N30:O30"/>
    <mergeCell ref="G44:H44"/>
    <mergeCell ref="I44:J44"/>
    <mergeCell ref="K44:L44"/>
    <mergeCell ref="M44:N44"/>
    <mergeCell ref="B53:C53"/>
    <mergeCell ref="A55:I55"/>
    <mergeCell ref="K40:L40"/>
    <mergeCell ref="N40:O40"/>
    <mergeCell ref="B41:I41"/>
    <mergeCell ref="A42:I42"/>
    <mergeCell ref="A43:A45"/>
    <mergeCell ref="B43:C45"/>
    <mergeCell ref="D43:D45"/>
    <mergeCell ref="E43:N43"/>
    <mergeCell ref="O43:P44"/>
    <mergeCell ref="E44:F44"/>
    <mergeCell ref="A56:A58"/>
    <mergeCell ref="B56:C58"/>
    <mergeCell ref="D56:D58"/>
    <mergeCell ref="E56:N56"/>
    <mergeCell ref="O56:P57"/>
    <mergeCell ref="E57:F57"/>
    <mergeCell ref="G57:H57"/>
    <mergeCell ref="I57:J57"/>
    <mergeCell ref="K57:L57"/>
    <mergeCell ref="M57:N57"/>
    <mergeCell ref="K65:L65"/>
    <mergeCell ref="N65:O65"/>
    <mergeCell ref="K66:L66"/>
    <mergeCell ref="N66:O66"/>
    <mergeCell ref="K67:L67"/>
    <mergeCell ref="N67:O67"/>
    <mergeCell ref="B59:C59"/>
    <mergeCell ref="B60:C60"/>
    <mergeCell ref="B61:C61"/>
    <mergeCell ref="B62:C62"/>
    <mergeCell ref="K64:L64"/>
    <mergeCell ref="N64:O64"/>
    <mergeCell ref="K73:L73"/>
    <mergeCell ref="N73:O73"/>
    <mergeCell ref="B74:K74"/>
    <mergeCell ref="B75:I75"/>
    <mergeCell ref="A76:A77"/>
    <mergeCell ref="B76:D77"/>
    <mergeCell ref="E76:F77"/>
    <mergeCell ref="G76:H76"/>
    <mergeCell ref="I76:J76"/>
    <mergeCell ref="K76:N76"/>
    <mergeCell ref="O79:P79"/>
    <mergeCell ref="B81:I81"/>
    <mergeCell ref="O76:P77"/>
    <mergeCell ref="K77:L77"/>
    <mergeCell ref="M77:N77"/>
    <mergeCell ref="B78:D78"/>
    <mergeCell ref="E78:F78"/>
    <mergeCell ref="K78:L78"/>
    <mergeCell ref="M78:N78"/>
    <mergeCell ref="O78:P78"/>
    <mergeCell ref="A82:A83"/>
    <mergeCell ref="B82:D83"/>
    <mergeCell ref="E82:F83"/>
    <mergeCell ref="G82:H82"/>
    <mergeCell ref="I82:J82"/>
    <mergeCell ref="K82:N82"/>
    <mergeCell ref="B79:D79"/>
    <mergeCell ref="E79:F79"/>
    <mergeCell ref="K79:L79"/>
    <mergeCell ref="M79:N79"/>
    <mergeCell ref="B85:D85"/>
    <mergeCell ref="E85:F85"/>
    <mergeCell ref="K85:L85"/>
    <mergeCell ref="M85:N85"/>
    <mergeCell ref="O85:P85"/>
    <mergeCell ref="B87:I87"/>
    <mergeCell ref="O82:P83"/>
    <mergeCell ref="K83:L83"/>
    <mergeCell ref="M83:N83"/>
    <mergeCell ref="B84:D84"/>
    <mergeCell ref="E84:F84"/>
    <mergeCell ref="K84:L84"/>
    <mergeCell ref="M84:N84"/>
    <mergeCell ref="O84:P84"/>
    <mergeCell ref="B88:C88"/>
    <mergeCell ref="E88:F88"/>
    <mergeCell ref="G88:J88"/>
    <mergeCell ref="K88:N88"/>
    <mergeCell ref="O88:P88"/>
    <mergeCell ref="B89:C89"/>
    <mergeCell ref="E89:F89"/>
    <mergeCell ref="G89:J89"/>
    <mergeCell ref="K89:N89"/>
    <mergeCell ref="O89:P89"/>
    <mergeCell ref="B92:C92"/>
    <mergeCell ref="E92:F92"/>
    <mergeCell ref="G92:J92"/>
    <mergeCell ref="K92:N92"/>
    <mergeCell ref="O92:P92"/>
    <mergeCell ref="K94:L94"/>
    <mergeCell ref="N94:O94"/>
    <mergeCell ref="B90:C90"/>
    <mergeCell ref="E90:F90"/>
    <mergeCell ref="G90:J90"/>
    <mergeCell ref="O90:P90"/>
    <mergeCell ref="B91:C91"/>
    <mergeCell ref="E91:F91"/>
    <mergeCell ref="G91:J91"/>
    <mergeCell ref="K91:N91"/>
    <mergeCell ref="O91:P91"/>
    <mergeCell ref="K105:L105"/>
    <mergeCell ref="N105:O105"/>
    <mergeCell ref="B106:O106"/>
    <mergeCell ref="B107:O107"/>
    <mergeCell ref="G108:J108"/>
    <mergeCell ref="B109:O109"/>
    <mergeCell ref="K95:L95"/>
    <mergeCell ref="N95:O95"/>
    <mergeCell ref="K96:L96"/>
    <mergeCell ref="N96:O96"/>
    <mergeCell ref="K97:L97"/>
    <mergeCell ref="N97:O97"/>
    <mergeCell ref="L121:O121"/>
    <mergeCell ref="D122:E122"/>
    <mergeCell ref="F122:G122"/>
    <mergeCell ref="H122:I122"/>
    <mergeCell ref="J122:K122"/>
    <mergeCell ref="L122:M122"/>
    <mergeCell ref="N122:O122"/>
    <mergeCell ref="B110:O110"/>
    <mergeCell ref="G111:H111"/>
    <mergeCell ref="G112:I112"/>
    <mergeCell ref="D119:E119"/>
    <mergeCell ref="J119:K119"/>
    <mergeCell ref="A120:B123"/>
    <mergeCell ref="C120:C123"/>
    <mergeCell ref="D120:O120"/>
    <mergeCell ref="D121:G121"/>
    <mergeCell ref="H121:K121"/>
    <mergeCell ref="K137:L137"/>
    <mergeCell ref="N137:O137"/>
    <mergeCell ref="K138:L138"/>
    <mergeCell ref="N138:O138"/>
    <mergeCell ref="K145:L145"/>
    <mergeCell ref="N145:O145"/>
    <mergeCell ref="A133:B133"/>
    <mergeCell ref="A134:I134"/>
    <mergeCell ref="A135:I135"/>
    <mergeCell ref="K135:L135"/>
    <mergeCell ref="N135:O135"/>
    <mergeCell ref="K136:L136"/>
    <mergeCell ref="N136:O136"/>
    <mergeCell ref="O150:P151"/>
    <mergeCell ref="E151:F151"/>
    <mergeCell ref="G151:H151"/>
    <mergeCell ref="I151:J151"/>
    <mergeCell ref="K151:L151"/>
    <mergeCell ref="M151:N151"/>
    <mergeCell ref="B148:I148"/>
    <mergeCell ref="A149:I149"/>
    <mergeCell ref="A150:A152"/>
    <mergeCell ref="B150:C152"/>
    <mergeCell ref="D150:D152"/>
    <mergeCell ref="E150:N150"/>
    <mergeCell ref="O165:P166"/>
    <mergeCell ref="E166:F166"/>
    <mergeCell ref="G166:H166"/>
    <mergeCell ref="I166:J166"/>
    <mergeCell ref="K166:L166"/>
    <mergeCell ref="M166:N166"/>
    <mergeCell ref="B162:C162"/>
    <mergeCell ref="A164:I164"/>
    <mergeCell ref="A165:A167"/>
    <mergeCell ref="B165:C167"/>
    <mergeCell ref="D165:D167"/>
    <mergeCell ref="E165:N165"/>
    <mergeCell ref="N174:O174"/>
    <mergeCell ref="K175:L175"/>
    <mergeCell ref="N175:O175"/>
    <mergeCell ref="K176:L176"/>
    <mergeCell ref="N176:O176"/>
    <mergeCell ref="K177:L177"/>
    <mergeCell ref="N177:O177"/>
    <mergeCell ref="B168:C168"/>
    <mergeCell ref="B169:C169"/>
    <mergeCell ref="B170:C170"/>
    <mergeCell ref="B171:C171"/>
    <mergeCell ref="B172:C172"/>
    <mergeCell ref="K174:L174"/>
    <mergeCell ref="K188:L188"/>
    <mergeCell ref="N188:O188"/>
    <mergeCell ref="B191:K191"/>
    <mergeCell ref="B192:I192"/>
    <mergeCell ref="A193:A194"/>
    <mergeCell ref="B193:D194"/>
    <mergeCell ref="E193:F194"/>
    <mergeCell ref="G193:H193"/>
    <mergeCell ref="I193:J193"/>
    <mergeCell ref="K193:N193"/>
    <mergeCell ref="O196:P196"/>
    <mergeCell ref="B198:I198"/>
    <mergeCell ref="O193:P194"/>
    <mergeCell ref="K194:L194"/>
    <mergeCell ref="M194:N194"/>
    <mergeCell ref="B195:D195"/>
    <mergeCell ref="E195:F195"/>
    <mergeCell ref="K195:L195"/>
    <mergeCell ref="M195:N195"/>
    <mergeCell ref="O195:P195"/>
    <mergeCell ref="A199:A200"/>
    <mergeCell ref="B199:D200"/>
    <mergeCell ref="E199:F200"/>
    <mergeCell ref="G199:H199"/>
    <mergeCell ref="I199:J199"/>
    <mergeCell ref="K199:N199"/>
    <mergeCell ref="B196:D196"/>
    <mergeCell ref="E196:F196"/>
    <mergeCell ref="K196:L196"/>
    <mergeCell ref="M196:N196"/>
    <mergeCell ref="B202:D202"/>
    <mergeCell ref="E202:F202"/>
    <mergeCell ref="K202:L202"/>
    <mergeCell ref="M202:N202"/>
    <mergeCell ref="O202:P202"/>
    <mergeCell ref="B204:I204"/>
    <mergeCell ref="O199:P200"/>
    <mergeCell ref="K200:L200"/>
    <mergeCell ref="M200:N200"/>
    <mergeCell ref="B201:D201"/>
    <mergeCell ref="E201:F201"/>
    <mergeCell ref="K201:L201"/>
    <mergeCell ref="M201:N201"/>
    <mergeCell ref="O201:P201"/>
    <mergeCell ref="B205:C205"/>
    <mergeCell ref="E205:F205"/>
    <mergeCell ref="G205:J205"/>
    <mergeCell ref="K205:N205"/>
    <mergeCell ref="O205:P205"/>
    <mergeCell ref="B206:C206"/>
    <mergeCell ref="E206:F206"/>
    <mergeCell ref="G206:J206"/>
    <mergeCell ref="K206:N206"/>
    <mergeCell ref="O206:P206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K214:L214"/>
    <mergeCell ref="N214:O214"/>
    <mergeCell ref="K228:L228"/>
    <mergeCell ref="N228:O228"/>
    <mergeCell ref="K211:L211"/>
    <mergeCell ref="N211:O211"/>
    <mergeCell ref="K212:L212"/>
    <mergeCell ref="N212:O212"/>
    <mergeCell ref="K213:L213"/>
    <mergeCell ref="N213:O213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0" max="16383" man="1"/>
    <brk id="73" max="16383" man="1"/>
    <brk id="105" max="16383" man="1"/>
    <brk id="145" max="16383" man="1"/>
    <brk id="18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9"/>
  <sheetViews>
    <sheetView view="pageBreakPreview" zoomScale="85" zoomScaleNormal="100" zoomScaleSheetLayoutView="85" workbookViewId="0">
      <selection activeCell="J13" sqref="J13:K13"/>
    </sheetView>
  </sheetViews>
  <sheetFormatPr defaultColWidth="9.140625" defaultRowHeight="15"/>
  <cols>
    <col min="1" max="2" width="15.85546875" style="1" customWidth="1"/>
    <col min="3" max="3" width="17.71093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12.28515625" style="1" customWidth="1"/>
    <col min="13" max="13" width="17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7" width="13.28515625" style="1" bestFit="1" customWidth="1"/>
    <col min="18" max="18" width="16.7109375" style="1" customWidth="1"/>
    <col min="19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121</v>
      </c>
      <c r="J6" s="158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59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7">
        <v>169</v>
      </c>
      <c r="E13" s="128" t="s">
        <v>4</v>
      </c>
      <c r="F13" s="512">
        <v>113</v>
      </c>
      <c r="G13" s="512"/>
      <c r="H13" s="128" t="s">
        <v>5</v>
      </c>
      <c r="J13" s="382">
        <v>59031.34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58.5">
      <c r="A19" s="371"/>
      <c r="B19" s="371"/>
      <c r="C19" s="371"/>
      <c r="D19" s="157" t="s">
        <v>83</v>
      </c>
      <c r="E19" s="157" t="s">
        <v>84</v>
      </c>
      <c r="F19" s="157" t="s">
        <v>83</v>
      </c>
      <c r="G19" s="157" t="s">
        <v>85</v>
      </c>
      <c r="H19" s="157" t="s">
        <v>83</v>
      </c>
      <c r="I19" s="157" t="s">
        <v>84</v>
      </c>
      <c r="J19" s="157" t="s">
        <v>83</v>
      </c>
      <c r="K19" s="157" t="s">
        <v>85</v>
      </c>
      <c r="L19" s="157" t="s">
        <v>83</v>
      </c>
      <c r="M19" s="157" t="s">
        <v>85</v>
      </c>
      <c r="N19" s="157" t="s">
        <v>83</v>
      </c>
      <c r="O19" s="157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22486</v>
      </c>
      <c r="J20" s="16"/>
      <c r="K20" s="17">
        <v>56774.5</v>
      </c>
      <c r="L20" s="16"/>
      <c r="M20" s="142">
        <v>374255</v>
      </c>
      <c r="N20" s="16"/>
      <c r="O20" s="142">
        <f>K20+'6-JUN'!O20</f>
        <v>706499.83</v>
      </c>
      <c r="Q20" s="138">
        <f>M20+I20</f>
        <v>396741</v>
      </c>
      <c r="R20" s="57"/>
      <c r="S20" s="58">
        <f t="shared" ref="S20:S26" si="0">O20+K20</f>
        <v>763274.33</v>
      </c>
    </row>
    <row r="21" spans="1:19" ht="22.15" customHeight="1">
      <c r="A21" s="14" t="s">
        <v>98</v>
      </c>
      <c r="B21" s="21" t="s">
        <v>99</v>
      </c>
      <c r="C21" s="16" t="s">
        <v>8</v>
      </c>
      <c r="D21" s="17"/>
      <c r="E21" s="17"/>
      <c r="F21" s="17"/>
      <c r="G21" s="17"/>
      <c r="H21" s="16"/>
      <c r="I21" s="143">
        <v>8484</v>
      </c>
      <c r="J21" s="16"/>
      <c r="K21" s="17">
        <v>10918.8</v>
      </c>
      <c r="L21" s="16"/>
      <c r="M21" s="17">
        <v>10294</v>
      </c>
      <c r="N21" s="16"/>
      <c r="O21" s="142">
        <f>K21+'6-JUN'!O21</f>
        <v>337321.75999999995</v>
      </c>
      <c r="Q21" s="139"/>
      <c r="S21" s="59"/>
    </row>
    <row r="22" spans="1:19" ht="21.75" customHeight="1">
      <c r="A22" s="14" t="s">
        <v>98</v>
      </c>
      <c r="B22" s="21" t="s">
        <v>105</v>
      </c>
      <c r="C22" s="16" t="s">
        <v>8</v>
      </c>
      <c r="D22" s="17"/>
      <c r="E22" s="17"/>
      <c r="F22" s="17"/>
      <c r="G22" s="17"/>
      <c r="H22" s="16"/>
      <c r="I22" s="18"/>
      <c r="J22" s="16"/>
      <c r="K22" s="17"/>
      <c r="L22" s="16"/>
      <c r="M22" s="142">
        <v>81280</v>
      </c>
      <c r="N22" s="16"/>
      <c r="O22" s="142">
        <f>K22+'6-JUN'!O22</f>
        <v>2855</v>
      </c>
      <c r="Q22" s="139"/>
      <c r="S22" s="59"/>
    </row>
    <row r="23" spans="1:19" ht="22.15" customHeight="1">
      <c r="A23" s="14" t="s">
        <v>98</v>
      </c>
      <c r="B23" s="21" t="s">
        <v>108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42">
        <v>576</v>
      </c>
      <c r="N23" s="16"/>
      <c r="O23" s="142">
        <f>K23+'6-JUN'!O23</f>
        <v>267740.36</v>
      </c>
      <c r="Q23" s="139">
        <f t="shared" ref="Q23:Q26" si="1">M23+I23</f>
        <v>576</v>
      </c>
      <c r="S23" s="59">
        <f t="shared" si="0"/>
        <v>267740.36</v>
      </c>
    </row>
    <row r="24" spans="1:19" ht="22.15" customHeight="1">
      <c r="A24" s="14" t="s">
        <v>98</v>
      </c>
      <c r="B24" s="21" t="s">
        <v>101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42">
        <v>3396</v>
      </c>
      <c r="N24" s="16"/>
      <c r="O24" s="142">
        <f>K24+'6-JUN'!O24</f>
        <v>1532.16</v>
      </c>
      <c r="Q24" s="139">
        <f t="shared" si="1"/>
        <v>3396</v>
      </c>
      <c r="S24" s="59">
        <f t="shared" si="0"/>
        <v>1532.16</v>
      </c>
    </row>
    <row r="25" spans="1:19" ht="22.15" customHeight="1">
      <c r="A25" s="14" t="s">
        <v>98</v>
      </c>
      <c r="B25" s="15" t="s">
        <v>103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42">
        <v>1848</v>
      </c>
      <c r="N25" s="16"/>
      <c r="O25" s="142">
        <f>K25+'6-JUN'!O25</f>
        <v>2272.8000000000002</v>
      </c>
      <c r="Q25" s="139">
        <f t="shared" si="1"/>
        <v>1848</v>
      </c>
      <c r="S25" s="59">
        <f t="shared" si="0"/>
        <v>2272.8000000000002</v>
      </c>
    </row>
    <row r="26" spans="1:19" ht="22.15" customHeight="1">
      <c r="A26" s="14" t="s">
        <v>98</v>
      </c>
      <c r="B26" s="21" t="s">
        <v>104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42">
        <v>565651</v>
      </c>
      <c r="N26" s="16"/>
      <c r="O26" s="142">
        <f>K26+'6-JUN'!O26</f>
        <v>2605.6799999999998</v>
      </c>
      <c r="Q26" s="140">
        <f t="shared" si="1"/>
        <v>565651</v>
      </c>
      <c r="R26" s="60"/>
      <c r="S26" s="61">
        <f t="shared" si="0"/>
        <v>2605.6799999999998</v>
      </c>
    </row>
    <row r="27" spans="1:19" ht="22.15" customHeight="1" thickBot="1">
      <c r="A27" s="14" t="s">
        <v>98</v>
      </c>
      <c r="B27" s="21" t="s">
        <v>123</v>
      </c>
      <c r="C27" s="16" t="s">
        <v>8</v>
      </c>
      <c r="D27" s="17"/>
      <c r="E27" s="17"/>
      <c r="F27" s="17"/>
      <c r="G27" s="17"/>
      <c r="H27" s="16"/>
      <c r="I27" s="18">
        <v>1000</v>
      </c>
      <c r="J27" s="16"/>
      <c r="K27" s="17">
        <v>1950</v>
      </c>
      <c r="L27" s="16"/>
      <c r="M27" s="142">
        <v>1000</v>
      </c>
      <c r="N27" s="16"/>
      <c r="O27" s="142">
        <f>K27</f>
        <v>1950</v>
      </c>
      <c r="Q27" s="205"/>
      <c r="R27" s="164"/>
      <c r="S27" s="206"/>
    </row>
    <row r="28" spans="1:19" s="96" customFormat="1" ht="22.15" customHeight="1" thickBot="1">
      <c r="A28" s="390" t="s">
        <v>9</v>
      </c>
      <c r="B28" s="391"/>
      <c r="C28" s="107"/>
      <c r="D28" s="322"/>
      <c r="E28" s="323">
        <f>SUM(E20:E26)</f>
        <v>0</v>
      </c>
      <c r="F28" s="322"/>
      <c r="G28" s="323">
        <f>SUM(G20:G26)</f>
        <v>0</v>
      </c>
      <c r="H28" s="324"/>
      <c r="I28" s="322">
        <f>SUM(I20:I27)</f>
        <v>31970</v>
      </c>
      <c r="J28" s="324"/>
      <c r="K28" s="323">
        <f>SUM(K20:K27)</f>
        <v>69643.3</v>
      </c>
      <c r="L28" s="324"/>
      <c r="M28" s="323">
        <f>SUM(M20:M27)</f>
        <v>1038300</v>
      </c>
      <c r="N28" s="324"/>
      <c r="O28" s="325">
        <f>SUM(O20:O27)</f>
        <v>1322777.5899999996</v>
      </c>
      <c r="Q28" s="97"/>
    </row>
    <row r="29" spans="1:19" ht="23.25">
      <c r="A29" s="392" t="s">
        <v>60</v>
      </c>
      <c r="B29" s="387"/>
      <c r="C29" s="387"/>
      <c r="D29" s="387"/>
      <c r="E29" s="387"/>
      <c r="F29" s="387"/>
      <c r="G29" s="387"/>
      <c r="H29" s="387"/>
      <c r="I29" s="387"/>
      <c r="J29" s="25"/>
      <c r="K29" s="25"/>
      <c r="L29" s="25"/>
      <c r="M29" s="25"/>
      <c r="N29" s="25"/>
      <c r="O29" s="25"/>
      <c r="P29" s="13"/>
    </row>
    <row r="30" spans="1:19" ht="29.25">
      <c r="A30" s="387" t="s">
        <v>61</v>
      </c>
      <c r="B30" s="387"/>
      <c r="C30" s="387"/>
      <c r="D30" s="387"/>
      <c r="E30" s="387"/>
      <c r="F30" s="387"/>
      <c r="G30" s="387"/>
      <c r="H30" s="387"/>
      <c r="I30" s="387"/>
      <c r="J30" s="23"/>
      <c r="K30" s="385" t="s">
        <v>122</v>
      </c>
      <c r="L30" s="385"/>
      <c r="M30" s="74"/>
      <c r="N30" s="385" t="str">
        <f>K30</f>
        <v>ថ្ងៃទី 15 ខែ កក្កដា ឆ្នាំ2026</v>
      </c>
      <c r="O30" s="385"/>
      <c r="P30" s="13"/>
    </row>
    <row r="31" spans="1:19" ht="18.75">
      <c r="A31" s="45" t="s">
        <v>62</v>
      </c>
      <c r="B31" s="9"/>
      <c r="C31" s="12"/>
      <c r="D31" s="12"/>
      <c r="E31" s="12"/>
      <c r="F31" s="12"/>
      <c r="G31" s="12"/>
      <c r="H31" s="12"/>
      <c r="I31" s="12"/>
      <c r="J31" s="25" t="s">
        <v>54</v>
      </c>
      <c r="K31" s="383" t="s">
        <v>128</v>
      </c>
      <c r="L31" s="383"/>
      <c r="M31" s="163"/>
      <c r="N31" s="383" t="s">
        <v>128</v>
      </c>
      <c r="O31" s="383"/>
      <c r="P31" s="13"/>
    </row>
    <row r="32" spans="1:19" ht="29.25">
      <c r="A32" s="11" t="s">
        <v>10</v>
      </c>
      <c r="B32" s="11"/>
      <c r="C32" s="12"/>
      <c r="D32" s="12"/>
      <c r="E32" s="12"/>
      <c r="F32" s="12"/>
      <c r="G32" s="12"/>
      <c r="H32" s="12"/>
      <c r="I32" s="12"/>
      <c r="J32" s="25"/>
      <c r="K32" s="384" t="s">
        <v>11</v>
      </c>
      <c r="L32" s="384"/>
      <c r="M32" s="163"/>
      <c r="N32" s="385" t="s">
        <v>12</v>
      </c>
      <c r="O32" s="386"/>
      <c r="P32" s="13"/>
    </row>
    <row r="33" spans="1:16" ht="24.75">
      <c r="A33" s="11" t="s">
        <v>63</v>
      </c>
      <c r="B33" s="11"/>
      <c r="C33" s="12"/>
      <c r="D33" s="12"/>
      <c r="E33" s="12"/>
      <c r="F33" s="12"/>
      <c r="G33" s="12"/>
      <c r="H33" s="12"/>
      <c r="I33" s="12"/>
      <c r="J33" s="25"/>
      <c r="K33" s="87"/>
      <c r="L33" s="87"/>
      <c r="M33" s="163"/>
      <c r="N33" s="162"/>
      <c r="O33" s="163"/>
      <c r="P33" s="13"/>
    </row>
    <row r="34" spans="1:16" ht="23.25">
      <c r="A34" s="387" t="s">
        <v>64</v>
      </c>
      <c r="B34" s="387"/>
      <c r="C34" s="387"/>
      <c r="D34" s="387"/>
      <c r="E34" s="387"/>
      <c r="F34" s="387"/>
      <c r="G34" s="387"/>
      <c r="H34" s="387"/>
      <c r="I34" s="387"/>
      <c r="J34" s="25"/>
      <c r="K34" s="388" t="s">
        <v>13</v>
      </c>
      <c r="L34" s="389"/>
      <c r="M34" s="163"/>
      <c r="N34" s="389" t="s">
        <v>14</v>
      </c>
      <c r="O34" s="389"/>
      <c r="P34" s="13"/>
    </row>
    <row r="35" spans="1:16" ht="23.25">
      <c r="A35" s="24" t="s">
        <v>65</v>
      </c>
      <c r="B35" s="24"/>
      <c r="C35" s="7"/>
      <c r="D35" s="7"/>
      <c r="E35" s="161"/>
      <c r="F35" s="161"/>
      <c r="G35" s="161"/>
      <c r="H35" s="161"/>
      <c r="I35" s="161"/>
      <c r="J35" s="25"/>
      <c r="K35" s="163"/>
      <c r="L35" s="163"/>
      <c r="M35" s="163"/>
      <c r="N35" s="163"/>
      <c r="O35" s="163"/>
      <c r="P35" s="13"/>
    </row>
    <row r="36" spans="1:16" s="46" customFormat="1" ht="20.100000000000001" customHeight="1">
      <c r="A36" s="46" t="s">
        <v>66</v>
      </c>
      <c r="H36" s="12"/>
      <c r="I36" s="12"/>
      <c r="J36" s="25"/>
      <c r="K36" s="163"/>
      <c r="L36" s="163"/>
      <c r="M36" s="163"/>
      <c r="N36" s="163"/>
      <c r="O36" s="163"/>
      <c r="P36" s="24"/>
    </row>
    <row r="37" spans="1:16" ht="23.25">
      <c r="A37" s="393" t="s">
        <v>67</v>
      </c>
      <c r="B37" s="393"/>
      <c r="C37" s="393"/>
      <c r="D37" s="393"/>
      <c r="E37" s="393"/>
      <c r="F37" s="393"/>
      <c r="G37" s="393"/>
      <c r="H37" s="12"/>
      <c r="I37" s="12"/>
      <c r="J37" s="25"/>
      <c r="K37" s="163"/>
      <c r="L37" s="163"/>
      <c r="M37" s="163"/>
      <c r="N37" s="163"/>
      <c r="O37" s="163"/>
      <c r="P37" s="13"/>
    </row>
    <row r="38" spans="1:16" ht="23.25">
      <c r="A38" s="160"/>
      <c r="B38" s="160"/>
      <c r="C38" s="160"/>
      <c r="D38" s="160"/>
      <c r="E38" s="160"/>
      <c r="F38" s="160"/>
      <c r="G38" s="160"/>
      <c r="H38" s="12"/>
      <c r="I38" s="12"/>
      <c r="J38" s="25"/>
      <c r="K38" s="163"/>
      <c r="L38" s="163"/>
      <c r="M38" s="163"/>
      <c r="N38" s="163"/>
      <c r="O38" s="163"/>
      <c r="P38" s="13"/>
    </row>
    <row r="39" spans="1:16" ht="23.25">
      <c r="A39" s="160"/>
      <c r="B39" s="160"/>
      <c r="C39" s="160"/>
      <c r="D39" s="160"/>
      <c r="E39" s="160"/>
      <c r="F39" s="160"/>
      <c r="G39" s="160"/>
      <c r="H39" s="12"/>
      <c r="I39" s="12"/>
      <c r="J39" s="25"/>
      <c r="K39" s="163"/>
      <c r="L39" s="163"/>
      <c r="M39" s="163"/>
      <c r="N39" s="163"/>
      <c r="O39" s="163"/>
      <c r="P39" s="13"/>
    </row>
    <row r="40" spans="1:16" ht="23.25">
      <c r="A40" s="13"/>
      <c r="B40" s="160"/>
      <c r="C40" s="25"/>
      <c r="D40" s="25"/>
      <c r="E40" s="25"/>
      <c r="F40" s="25"/>
      <c r="G40" s="25"/>
      <c r="H40" s="25"/>
      <c r="I40" s="25"/>
      <c r="J40" s="25"/>
      <c r="K40" s="163"/>
      <c r="L40" s="163"/>
      <c r="M40" s="163"/>
      <c r="N40" s="163"/>
      <c r="O40" s="163"/>
      <c r="P40" s="13"/>
    </row>
    <row r="41" spans="1:16" ht="18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394" t="s">
        <v>113</v>
      </c>
      <c r="L41" s="394"/>
      <c r="M41" s="77"/>
      <c r="N41" s="395" t="s">
        <v>127</v>
      </c>
      <c r="O41" s="395"/>
      <c r="P41" s="13"/>
    </row>
    <row r="42" spans="1:16" ht="36.75">
      <c r="A42" s="13"/>
      <c r="B42" s="396" t="s">
        <v>96</v>
      </c>
      <c r="C42" s="396"/>
      <c r="D42" s="396"/>
      <c r="E42" s="396"/>
      <c r="F42" s="396"/>
      <c r="G42" s="396"/>
      <c r="H42" s="396"/>
      <c r="I42" s="396"/>
      <c r="J42" s="13"/>
      <c r="K42" s="13"/>
      <c r="L42" s="13"/>
      <c r="M42" s="13"/>
      <c r="N42" s="13"/>
      <c r="O42" s="13"/>
      <c r="P42" s="13"/>
    </row>
    <row r="43" spans="1:16" ht="33">
      <c r="A43" s="397" t="s">
        <v>68</v>
      </c>
      <c r="B43" s="397"/>
      <c r="C43" s="397"/>
      <c r="D43" s="397"/>
      <c r="E43" s="397"/>
      <c r="F43" s="397"/>
      <c r="G43" s="397"/>
      <c r="H43" s="397"/>
      <c r="I43" s="397"/>
      <c r="J43" s="62" t="str">
        <f>I6</f>
        <v>កក្កដា</v>
      </c>
      <c r="K43" s="88" t="s">
        <v>97</v>
      </c>
      <c r="L43" s="26"/>
      <c r="M43" s="26"/>
      <c r="N43" s="26"/>
      <c r="O43" s="26"/>
      <c r="P43" s="26"/>
    </row>
    <row r="44" spans="1:16" ht="33">
      <c r="A44" s="399" t="s">
        <v>15</v>
      </c>
      <c r="B44" s="399" t="s">
        <v>16</v>
      </c>
      <c r="C44" s="399"/>
      <c r="D44" s="400" t="s">
        <v>17</v>
      </c>
      <c r="E44" s="401" t="s">
        <v>70</v>
      </c>
      <c r="F44" s="402"/>
      <c r="G44" s="402"/>
      <c r="H44" s="402"/>
      <c r="I44" s="402"/>
      <c r="J44" s="402"/>
      <c r="K44" s="402"/>
      <c r="L44" s="402"/>
      <c r="M44" s="402"/>
      <c r="N44" s="402"/>
      <c r="O44" s="403" t="s">
        <v>23</v>
      </c>
      <c r="P44" s="404"/>
    </row>
    <row r="45" spans="1:16" ht="28.15" customHeight="1">
      <c r="A45" s="399"/>
      <c r="B45" s="399"/>
      <c r="C45" s="399"/>
      <c r="D45" s="400"/>
      <c r="E45" s="398" t="s">
        <v>18</v>
      </c>
      <c r="F45" s="399"/>
      <c r="G45" s="399" t="s">
        <v>19</v>
      </c>
      <c r="H45" s="399"/>
      <c r="I45" s="399" t="s">
        <v>20</v>
      </c>
      <c r="J45" s="399"/>
      <c r="K45" s="399" t="s">
        <v>21</v>
      </c>
      <c r="L45" s="399"/>
      <c r="M45" s="399" t="s">
        <v>22</v>
      </c>
      <c r="N45" s="407"/>
      <c r="O45" s="405"/>
      <c r="P45" s="406"/>
    </row>
    <row r="46" spans="1:16" ht="29.25">
      <c r="A46" s="399"/>
      <c r="B46" s="399"/>
      <c r="C46" s="399"/>
      <c r="D46" s="400"/>
      <c r="E46" s="153" t="s">
        <v>24</v>
      </c>
      <c r="F46" s="154" t="s">
        <v>25</v>
      </c>
      <c r="G46" s="154" t="s">
        <v>24</v>
      </c>
      <c r="H46" s="154" t="s">
        <v>25</v>
      </c>
      <c r="I46" s="154" t="s">
        <v>24</v>
      </c>
      <c r="J46" s="154" t="s">
        <v>25</v>
      </c>
      <c r="K46" s="154" t="s">
        <v>24</v>
      </c>
      <c r="L46" s="154" t="s">
        <v>25</v>
      </c>
      <c r="M46" s="154" t="s">
        <v>24</v>
      </c>
      <c r="N46" s="154" t="s">
        <v>25</v>
      </c>
      <c r="O46" s="154" t="s">
        <v>24</v>
      </c>
      <c r="P46" s="154" t="s">
        <v>25</v>
      </c>
    </row>
    <row r="47" spans="1:16" ht="25.15" customHeight="1">
      <c r="A47" s="27">
        <v>1</v>
      </c>
      <c r="B47" s="145" t="str">
        <f t="shared" ref="B47:C54" si="2">A20</f>
        <v>LADIES</v>
      </c>
      <c r="C47" s="146" t="str">
        <f t="shared" si="2"/>
        <v>PANTS</v>
      </c>
      <c r="D47" s="42" t="s">
        <v>8</v>
      </c>
      <c r="E47" s="148">
        <v>12556</v>
      </c>
      <c r="F47" s="148">
        <v>28331.5</v>
      </c>
      <c r="G47" s="144">
        <v>9930</v>
      </c>
      <c r="H47" s="17">
        <v>28443</v>
      </c>
      <c r="I47" s="31"/>
      <c r="J47" s="31"/>
      <c r="K47" s="31"/>
      <c r="L47" s="17"/>
      <c r="M47" s="31"/>
      <c r="N47" s="17"/>
      <c r="O47" s="44">
        <f t="shared" ref="O47:O53" si="3">M20</f>
        <v>374255</v>
      </c>
      <c r="P47" s="44">
        <f t="shared" ref="P47:P53" si="4">O20</f>
        <v>706499.83</v>
      </c>
    </row>
    <row r="48" spans="1:16" ht="25.15" customHeight="1">
      <c r="A48" s="27">
        <v>2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>
        <v>8484</v>
      </c>
      <c r="F48" s="17">
        <v>10919.8</v>
      </c>
      <c r="G48" s="144"/>
      <c r="H48" s="17"/>
      <c r="I48" s="34"/>
      <c r="J48" s="34"/>
      <c r="K48" s="31"/>
      <c r="L48" s="17"/>
      <c r="M48" s="31"/>
      <c r="N48" s="17"/>
      <c r="O48" s="44">
        <f t="shared" si="3"/>
        <v>10294</v>
      </c>
      <c r="P48" s="44">
        <f t="shared" si="4"/>
        <v>337321.75999999995</v>
      </c>
    </row>
    <row r="49" spans="1:20" ht="25.15" customHeight="1">
      <c r="A49" s="27">
        <v>3</v>
      </c>
      <c r="B49" s="145" t="str">
        <f t="shared" si="2"/>
        <v>LADIES</v>
      </c>
      <c r="C49" s="146" t="str">
        <f t="shared" si="2"/>
        <v>SKIRT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si="3"/>
        <v>81280</v>
      </c>
      <c r="P49" s="44">
        <f t="shared" si="4"/>
        <v>2855</v>
      </c>
    </row>
    <row r="50" spans="1:20" ht="25.15" customHeight="1">
      <c r="A50" s="27">
        <v>4</v>
      </c>
      <c r="B50" s="145" t="str">
        <f t="shared" si="2"/>
        <v>LADIES</v>
      </c>
      <c r="C50" s="146" t="str">
        <f t="shared" si="2"/>
        <v>DRESS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3"/>
        <v>576</v>
      </c>
      <c r="P50" s="44">
        <f t="shared" si="4"/>
        <v>267740.36</v>
      </c>
    </row>
    <row r="51" spans="1:20" ht="25.15" customHeight="1">
      <c r="A51" s="27">
        <v>5</v>
      </c>
      <c r="B51" s="145" t="str">
        <f t="shared" si="2"/>
        <v>LADIES</v>
      </c>
      <c r="C51" s="146" t="str">
        <f t="shared" si="2"/>
        <v>NIGHT GOWN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3"/>
        <v>3396</v>
      </c>
      <c r="P51" s="44">
        <f t="shared" si="4"/>
        <v>1532.16</v>
      </c>
    </row>
    <row r="52" spans="1:20" ht="25.15" customHeight="1">
      <c r="A52" s="27">
        <v>6</v>
      </c>
      <c r="B52" s="145" t="str">
        <f t="shared" si="2"/>
        <v>LADIES</v>
      </c>
      <c r="C52" s="146" t="str">
        <f t="shared" si="2"/>
        <v>TANK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3"/>
        <v>1848</v>
      </c>
      <c r="P52" s="44">
        <f t="shared" si="4"/>
        <v>2272.8000000000002</v>
      </c>
    </row>
    <row r="53" spans="1:20" ht="25.15" customHeight="1">
      <c r="A53" s="27">
        <v>7</v>
      </c>
      <c r="B53" s="145" t="str">
        <f t="shared" si="2"/>
        <v>LADIES</v>
      </c>
      <c r="C53" s="146" t="str">
        <f t="shared" si="2"/>
        <v>SHORT</v>
      </c>
      <c r="D53" s="42" t="s">
        <v>8</v>
      </c>
      <c r="E53" s="31"/>
      <c r="F53" s="17"/>
      <c r="G53" s="38">
        <v>1000</v>
      </c>
      <c r="H53" s="34">
        <v>1950</v>
      </c>
      <c r="I53" s="31"/>
      <c r="J53" s="31"/>
      <c r="K53" s="31"/>
      <c r="L53" s="17"/>
      <c r="M53" s="31"/>
      <c r="N53" s="17"/>
      <c r="O53" s="44">
        <f t="shared" si="3"/>
        <v>565651</v>
      </c>
      <c r="P53" s="44">
        <f t="shared" si="4"/>
        <v>2605.6799999999998</v>
      </c>
    </row>
    <row r="54" spans="1:20" ht="25.15" customHeight="1" thickBot="1">
      <c r="A54" s="27">
        <v>8</v>
      </c>
      <c r="B54" s="145" t="str">
        <f t="shared" si="2"/>
        <v>LADIES</v>
      </c>
      <c r="C54" s="146" t="str">
        <f t="shared" si="2"/>
        <v>SKORT</v>
      </c>
      <c r="D54" s="42" t="s">
        <v>8</v>
      </c>
      <c r="E54" s="31"/>
      <c r="F54" s="17"/>
      <c r="G54" s="38"/>
      <c r="H54" s="34"/>
      <c r="I54" s="31"/>
      <c r="J54" s="31"/>
      <c r="K54" s="31"/>
      <c r="L54" s="17"/>
      <c r="M54" s="31"/>
      <c r="N54" s="17"/>
      <c r="O54" s="326">
        <v>1000</v>
      </c>
      <c r="P54" s="327">
        <v>1950</v>
      </c>
    </row>
    <row r="55" spans="1:20" s="96" customFormat="1" ht="26.25" thickBot="1">
      <c r="A55" s="111"/>
      <c r="B55" s="408" t="s">
        <v>26</v>
      </c>
      <c r="C55" s="408"/>
      <c r="D55" s="156"/>
      <c r="E55" s="328">
        <f t="shared" ref="E55:N55" si="5">SUM(E47:E53)</f>
        <v>21040</v>
      </c>
      <c r="F55" s="328">
        <f t="shared" si="5"/>
        <v>39251.300000000003</v>
      </c>
      <c r="G55" s="328">
        <f t="shared" si="5"/>
        <v>10930</v>
      </c>
      <c r="H55" s="328">
        <f t="shared" si="5"/>
        <v>30393</v>
      </c>
      <c r="I55" s="328">
        <f t="shared" si="5"/>
        <v>0</v>
      </c>
      <c r="J55" s="328">
        <f t="shared" si="5"/>
        <v>0</v>
      </c>
      <c r="K55" s="328">
        <f t="shared" si="5"/>
        <v>0</v>
      </c>
      <c r="L55" s="328">
        <f t="shared" si="5"/>
        <v>0</v>
      </c>
      <c r="M55" s="328">
        <f t="shared" si="5"/>
        <v>0</v>
      </c>
      <c r="N55" s="328">
        <f t="shared" si="5"/>
        <v>0</v>
      </c>
      <c r="O55" s="114">
        <f>SUM(O47:O54)</f>
        <v>1038300</v>
      </c>
      <c r="P55" s="114">
        <f>SUM(P47:P54)</f>
        <v>1322777.5899999996</v>
      </c>
    </row>
    <row r="56" spans="1:20" ht="23.25">
      <c r="A56" s="94"/>
      <c r="B56" s="43"/>
      <c r="C56" s="43"/>
      <c r="D56" s="43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100"/>
      <c r="P56" s="101"/>
    </row>
    <row r="57" spans="1:20" ht="33">
      <c r="A57" s="397" t="s">
        <v>27</v>
      </c>
      <c r="B57" s="397"/>
      <c r="C57" s="397"/>
      <c r="D57" s="397"/>
      <c r="E57" s="397"/>
      <c r="F57" s="397"/>
      <c r="G57" s="397"/>
      <c r="H57" s="397"/>
      <c r="I57" s="397"/>
      <c r="J57" s="62" t="str">
        <f>$I$6</f>
        <v>កក្កដា</v>
      </c>
      <c r="K57" s="63" t="str">
        <f>$K$43</f>
        <v>ឆ្នាំ២០២៦ (USD)</v>
      </c>
      <c r="L57" s="26"/>
      <c r="M57" s="26"/>
      <c r="N57" s="26"/>
      <c r="O57" s="26"/>
      <c r="P57" s="26"/>
    </row>
    <row r="58" spans="1:20" ht="33">
      <c r="A58" s="399" t="s">
        <v>15</v>
      </c>
      <c r="B58" s="399" t="s">
        <v>28</v>
      </c>
      <c r="C58" s="399"/>
      <c r="D58" s="400" t="s">
        <v>17</v>
      </c>
      <c r="E58" s="402" t="s">
        <v>88</v>
      </c>
      <c r="F58" s="402"/>
      <c r="G58" s="402"/>
      <c r="H58" s="402"/>
      <c r="I58" s="402"/>
      <c r="J58" s="402"/>
      <c r="K58" s="402"/>
      <c r="L58" s="402"/>
      <c r="M58" s="402"/>
      <c r="N58" s="402"/>
      <c r="O58" s="403" t="s">
        <v>23</v>
      </c>
      <c r="P58" s="404"/>
    </row>
    <row r="59" spans="1:20" s="71" customFormat="1" ht="28.15" customHeight="1">
      <c r="A59" s="399"/>
      <c r="B59" s="399"/>
      <c r="C59" s="399"/>
      <c r="D59" s="400"/>
      <c r="E59" s="398" t="s">
        <v>29</v>
      </c>
      <c r="F59" s="399"/>
      <c r="G59" s="399" t="s">
        <v>30</v>
      </c>
      <c r="H59" s="399"/>
      <c r="I59" s="399" t="s">
        <v>31</v>
      </c>
      <c r="J59" s="399"/>
      <c r="K59" s="399" t="s">
        <v>32</v>
      </c>
      <c r="L59" s="399"/>
      <c r="M59" s="399" t="s">
        <v>22</v>
      </c>
      <c r="N59" s="407"/>
      <c r="O59" s="405"/>
      <c r="P59" s="406"/>
    </row>
    <row r="60" spans="1:20" s="71" customFormat="1" ht="29.25">
      <c r="A60" s="399"/>
      <c r="B60" s="399"/>
      <c r="C60" s="399"/>
      <c r="D60" s="400"/>
      <c r="E60" s="153" t="s">
        <v>24</v>
      </c>
      <c r="F60" s="154" t="s">
        <v>25</v>
      </c>
      <c r="G60" s="66" t="s">
        <v>24</v>
      </c>
      <c r="H60" s="154" t="s">
        <v>25</v>
      </c>
      <c r="I60" s="154" t="s">
        <v>24</v>
      </c>
      <c r="J60" s="154" t="s">
        <v>25</v>
      </c>
      <c r="K60" s="154" t="s">
        <v>24</v>
      </c>
      <c r="L60" s="154" t="s">
        <v>25</v>
      </c>
      <c r="M60" s="154" t="s">
        <v>24</v>
      </c>
      <c r="N60" s="154" t="s">
        <v>25</v>
      </c>
      <c r="O60" s="154" t="s">
        <v>24</v>
      </c>
      <c r="P60" s="154" t="s">
        <v>25</v>
      </c>
    </row>
    <row r="61" spans="1:20" ht="44.45" customHeight="1">
      <c r="A61" s="32">
        <v>1</v>
      </c>
      <c r="B61" s="410" t="s">
        <v>55</v>
      </c>
      <c r="C61" s="411"/>
      <c r="D61" s="42"/>
      <c r="E61" s="33"/>
      <c r="F61" s="33"/>
      <c r="G61" s="33"/>
      <c r="H61" s="33"/>
      <c r="I61" s="126"/>
      <c r="J61" s="34"/>
      <c r="K61" s="34"/>
      <c r="L61" s="34"/>
      <c r="M61" s="33"/>
      <c r="N61" s="33"/>
      <c r="O61" s="34"/>
      <c r="P61" s="34"/>
      <c r="Q61" s="19">
        <f t="shared" ref="Q61:R63" si="6">E61+G61+I61+K61+M61</f>
        <v>0</v>
      </c>
      <c r="R61" s="19">
        <f t="shared" si="6"/>
        <v>0</v>
      </c>
      <c r="S61" s="130">
        <f t="shared" ref="S61:T63" si="7">Q61+O61</f>
        <v>0</v>
      </c>
      <c r="T61" s="131">
        <f t="shared" si="7"/>
        <v>0</v>
      </c>
    </row>
    <row r="62" spans="1:20" ht="31.15" customHeight="1">
      <c r="A62" s="32">
        <v>3</v>
      </c>
      <c r="B62" s="412" t="s">
        <v>33</v>
      </c>
      <c r="C62" s="413"/>
      <c r="D62" s="42" t="s">
        <v>111</v>
      </c>
      <c r="E62" s="34">
        <v>169738.7</v>
      </c>
      <c r="F62" s="34">
        <v>169738.7</v>
      </c>
      <c r="G62" s="33"/>
      <c r="H62" s="33"/>
      <c r="I62" s="126"/>
      <c r="J62" s="34"/>
      <c r="K62" s="34"/>
      <c r="L62" s="34"/>
      <c r="M62" s="33"/>
      <c r="N62" s="33"/>
      <c r="O62" s="34">
        <f>E62+'6-JUN'!O60</f>
        <v>619962.10000000009</v>
      </c>
      <c r="P62" s="34">
        <f>F62+'6-JUN'!P60</f>
        <v>612776.30000000005</v>
      </c>
      <c r="Q62" s="19">
        <f t="shared" si="6"/>
        <v>169738.7</v>
      </c>
      <c r="R62" s="19">
        <f t="shared" si="6"/>
        <v>169738.7</v>
      </c>
      <c r="S62" s="132">
        <f t="shared" si="7"/>
        <v>789700.8</v>
      </c>
      <c r="T62" s="133">
        <f t="shared" si="7"/>
        <v>782515</v>
      </c>
    </row>
    <row r="63" spans="1:20" ht="31.15" customHeight="1" thickBot="1">
      <c r="A63" s="104">
        <v>4</v>
      </c>
      <c r="B63" s="414" t="s">
        <v>34</v>
      </c>
      <c r="C63" s="414"/>
      <c r="D63" s="53" t="s">
        <v>112</v>
      </c>
      <c r="E63" s="127">
        <v>26881</v>
      </c>
      <c r="F63" s="116">
        <v>5832.45</v>
      </c>
      <c r="G63" s="116"/>
      <c r="H63" s="116"/>
      <c r="I63" s="116"/>
      <c r="J63" s="116"/>
      <c r="K63" s="117"/>
      <c r="L63" s="117"/>
      <c r="M63" s="116"/>
      <c r="N63" s="116"/>
      <c r="O63" s="34">
        <f>E63+'6-JUN'!O61</f>
        <v>27637</v>
      </c>
      <c r="P63" s="34">
        <f>F63+'6-JUN'!P61</f>
        <v>6588.45</v>
      </c>
      <c r="Q63" s="19">
        <f t="shared" si="6"/>
        <v>26881</v>
      </c>
      <c r="R63" s="19">
        <f t="shared" si="6"/>
        <v>5832.45</v>
      </c>
      <c r="S63" s="134">
        <f t="shared" si="7"/>
        <v>54518</v>
      </c>
      <c r="T63" s="135">
        <f t="shared" si="7"/>
        <v>12420.9</v>
      </c>
    </row>
    <row r="64" spans="1:20" s="95" customFormat="1" ht="26.25" thickBot="1">
      <c r="A64" s="136"/>
      <c r="B64" s="408" t="s">
        <v>26</v>
      </c>
      <c r="C64" s="408"/>
      <c r="D64" s="137"/>
      <c r="E64" s="103">
        <f t="shared" ref="E64:P64" si="8">SUM(E61:E63)</f>
        <v>196619.7</v>
      </c>
      <c r="F64" s="103">
        <f t="shared" si="8"/>
        <v>175571.15000000002</v>
      </c>
      <c r="G64" s="103">
        <f t="shared" si="8"/>
        <v>0</v>
      </c>
      <c r="H64" s="103">
        <f t="shared" si="8"/>
        <v>0</v>
      </c>
      <c r="I64" s="103">
        <f t="shared" si="8"/>
        <v>0</v>
      </c>
      <c r="J64" s="103">
        <f t="shared" si="8"/>
        <v>0</v>
      </c>
      <c r="K64" s="103">
        <f t="shared" si="8"/>
        <v>0</v>
      </c>
      <c r="L64" s="103">
        <f t="shared" si="8"/>
        <v>0</v>
      </c>
      <c r="M64" s="103">
        <f t="shared" si="8"/>
        <v>0</v>
      </c>
      <c r="N64" s="103">
        <f t="shared" si="8"/>
        <v>0</v>
      </c>
      <c r="O64" s="103">
        <f t="shared" si="8"/>
        <v>647599.10000000009</v>
      </c>
      <c r="P64" s="103">
        <f t="shared" si="8"/>
        <v>619364.75</v>
      </c>
    </row>
    <row r="65" spans="1:18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9.25">
      <c r="A66" s="13"/>
      <c r="B66" s="160" t="str">
        <f>A37</f>
        <v>ទំនាក់ទំនង : Tel 077 330 279/090 922 237  E-mail : industryaffair.mih@gmail.com : TELEGRAM :077 330 279</v>
      </c>
      <c r="C66" s="35"/>
      <c r="D66" s="35"/>
      <c r="E66" s="35"/>
      <c r="F66" s="35"/>
      <c r="G66" s="35"/>
      <c r="H66" s="35"/>
      <c r="I66" s="35"/>
      <c r="J66" s="35"/>
      <c r="K66" s="386" t="str">
        <f>K30</f>
        <v>ថ្ងៃទី 15 ខែ កក្កដា ឆ្នាំ2026</v>
      </c>
      <c r="L66" s="386"/>
      <c r="M66" s="69"/>
      <c r="N66" s="386" t="str">
        <f>N30</f>
        <v>ថ្ងៃទី 15 ខែ កក្កដា ឆ្នាំ2026</v>
      </c>
      <c r="O66" s="386"/>
      <c r="P66" s="35"/>
    </row>
    <row r="67" spans="1:18" ht="29.25">
      <c r="A67" s="13"/>
      <c r="B67" s="36"/>
      <c r="C67" s="13"/>
      <c r="D67" s="13"/>
      <c r="E67" s="13"/>
      <c r="F67" s="13"/>
      <c r="G67" s="13"/>
      <c r="H67" s="13"/>
      <c r="I67" s="13"/>
      <c r="J67" s="13"/>
      <c r="K67" s="409" t="str">
        <f>K31</f>
        <v>Date:……./……../……</v>
      </c>
      <c r="L67" s="409"/>
      <c r="M67" s="80"/>
      <c r="N67" s="409" t="str">
        <f>N31</f>
        <v>Date:……./……../……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409" t="str">
        <f>K32</f>
        <v>នាយក</v>
      </c>
      <c r="L68" s="409"/>
      <c r="M68" s="80"/>
      <c r="N68" s="409" t="str">
        <f>N32</f>
        <v>អ្នកធ្វើរបាយការណ៍</v>
      </c>
      <c r="O68" s="409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409" t="str">
        <f>K34</f>
        <v>Director</v>
      </c>
      <c r="L69" s="409"/>
      <c r="M69" s="80"/>
      <c r="N69" s="409" t="str">
        <f>N34</f>
        <v>Reportor</v>
      </c>
      <c r="O69" s="409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80"/>
      <c r="L73" s="80"/>
      <c r="M73" s="80"/>
      <c r="N73" s="80"/>
      <c r="O73" s="80"/>
      <c r="P73" s="13"/>
    </row>
    <row r="74" spans="1:18" ht="29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80"/>
      <c r="L74" s="80"/>
      <c r="M74" s="80"/>
      <c r="N74" s="80"/>
      <c r="O74" s="80"/>
      <c r="P74" s="13"/>
    </row>
    <row r="75" spans="1:18" ht="29.25">
      <c r="A75" s="37"/>
      <c r="B75" s="13"/>
      <c r="C75" s="13"/>
      <c r="D75" s="13"/>
      <c r="E75" s="13"/>
      <c r="F75" s="13"/>
      <c r="G75" s="13"/>
      <c r="H75" s="13"/>
      <c r="I75" s="13"/>
      <c r="J75" s="13"/>
      <c r="K75" s="420" t="str">
        <f>K41</f>
        <v>NI, CUNLAN</v>
      </c>
      <c r="L75" s="420"/>
      <c r="M75" s="80"/>
      <c r="N75" s="420" t="str">
        <f>N41</f>
        <v>THNIN</v>
      </c>
      <c r="O75" s="420"/>
      <c r="P75" s="13"/>
    </row>
    <row r="76" spans="1:18" ht="36.75">
      <c r="A76" s="13"/>
      <c r="B76" s="396" t="s">
        <v>96</v>
      </c>
      <c r="C76" s="396"/>
      <c r="D76" s="396"/>
      <c r="E76" s="396"/>
      <c r="F76" s="396"/>
      <c r="G76" s="396"/>
      <c r="H76" s="396"/>
      <c r="I76" s="396"/>
      <c r="J76" s="396"/>
      <c r="K76" s="396"/>
      <c r="L76" s="13"/>
      <c r="M76" s="13"/>
      <c r="N76" s="13"/>
      <c r="O76" s="13"/>
      <c r="P76" s="13"/>
    </row>
    <row r="77" spans="1:18" ht="33">
      <c r="A77" s="13"/>
      <c r="B77" s="421" t="s">
        <v>35</v>
      </c>
      <c r="C77" s="421"/>
      <c r="D77" s="421"/>
      <c r="E77" s="421"/>
      <c r="F77" s="421"/>
      <c r="G77" s="421"/>
      <c r="H77" s="421"/>
      <c r="I77" s="421"/>
      <c r="J77" s="89" t="str">
        <f>$I$6</f>
        <v>កក្កដា</v>
      </c>
      <c r="K77" s="90" t="str">
        <f>$K$43</f>
        <v>ឆ្នាំ២០២៦ (USD)</v>
      </c>
      <c r="L77" s="13"/>
      <c r="M77" s="13"/>
      <c r="N77" s="13"/>
      <c r="O77" s="13"/>
      <c r="P77" s="13"/>
    </row>
    <row r="78" spans="1:18" s="71" customFormat="1" ht="29.25">
      <c r="A78" s="415" t="s">
        <v>15</v>
      </c>
      <c r="B78" s="415" t="s">
        <v>36</v>
      </c>
      <c r="C78" s="415"/>
      <c r="D78" s="415"/>
      <c r="E78" s="416" t="s">
        <v>17</v>
      </c>
      <c r="F78" s="416"/>
      <c r="G78" s="415" t="s">
        <v>37</v>
      </c>
      <c r="H78" s="415"/>
      <c r="I78" s="415" t="s">
        <v>38</v>
      </c>
      <c r="J78" s="415"/>
      <c r="K78" s="418" t="s">
        <v>23</v>
      </c>
      <c r="L78" s="418"/>
      <c r="M78" s="418"/>
      <c r="N78" s="419"/>
      <c r="O78" s="424" t="s">
        <v>22</v>
      </c>
      <c r="P78" s="425"/>
    </row>
    <row r="79" spans="1:18" s="71" customFormat="1" ht="29.25">
      <c r="A79" s="415"/>
      <c r="B79" s="415"/>
      <c r="C79" s="415"/>
      <c r="D79" s="415"/>
      <c r="E79" s="417"/>
      <c r="F79" s="417"/>
      <c r="G79" s="154" t="s">
        <v>24</v>
      </c>
      <c r="H79" s="154" t="s">
        <v>89</v>
      </c>
      <c r="I79" s="154" t="s">
        <v>24</v>
      </c>
      <c r="J79" s="154" t="s">
        <v>89</v>
      </c>
      <c r="K79" s="428" t="s">
        <v>24</v>
      </c>
      <c r="L79" s="419"/>
      <c r="M79" s="429" t="s">
        <v>90</v>
      </c>
      <c r="N79" s="430"/>
      <c r="O79" s="426"/>
      <c r="P79" s="427"/>
    </row>
    <row r="80" spans="1:18" s="70" customFormat="1" ht="26.25" thickBot="1">
      <c r="A80" s="159">
        <v>1</v>
      </c>
      <c r="B80" s="431" t="s">
        <v>39</v>
      </c>
      <c r="C80" s="432"/>
      <c r="D80" s="433"/>
      <c r="E80" s="434" t="s">
        <v>40</v>
      </c>
      <c r="F80" s="434"/>
      <c r="G80" s="119"/>
      <c r="H80" s="119"/>
      <c r="I80" s="120">
        <v>11368</v>
      </c>
      <c r="J80" s="120">
        <f>0.137*I80</f>
        <v>1557.4160000000002</v>
      </c>
      <c r="K80" s="435">
        <f>I80+'6-JUN'!K78:L78</f>
        <v>79576</v>
      </c>
      <c r="L80" s="436"/>
      <c r="M80" s="435">
        <f>J80+'6-JUN'!M78:N78</f>
        <v>10901.912</v>
      </c>
      <c r="N80" s="436"/>
      <c r="O80" s="437"/>
      <c r="P80" s="438"/>
      <c r="Q80" s="92">
        <f>K80+I80</f>
        <v>90944</v>
      </c>
      <c r="R80" s="93">
        <f>M80+J80</f>
        <v>12459.328000000001</v>
      </c>
    </row>
    <row r="81" spans="1:18" s="70" customFormat="1" ht="31.5" customHeight="1" thickBot="1">
      <c r="A81" s="121"/>
      <c r="B81" s="439" t="s">
        <v>26</v>
      </c>
      <c r="C81" s="440"/>
      <c r="D81" s="441"/>
      <c r="E81" s="442"/>
      <c r="F81" s="442"/>
      <c r="G81" s="122">
        <f>SUM(G80)</f>
        <v>0</v>
      </c>
      <c r="H81" s="122">
        <f>SUM(H80)</f>
        <v>0</v>
      </c>
      <c r="I81" s="122">
        <f>SUM(I80)</f>
        <v>11368</v>
      </c>
      <c r="J81" s="122">
        <f>SUM(J80)</f>
        <v>1557.4160000000002</v>
      </c>
      <c r="K81" s="443">
        <f>SUM(K80)</f>
        <v>79576</v>
      </c>
      <c r="L81" s="444"/>
      <c r="M81" s="445">
        <f>SUM(M80)</f>
        <v>10901.912</v>
      </c>
      <c r="N81" s="446"/>
      <c r="O81" s="422"/>
      <c r="P81" s="423"/>
      <c r="Q81" s="92"/>
      <c r="R81" s="93"/>
    </row>
    <row r="82" spans="1:18">
      <c r="A82" s="13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13"/>
      <c r="M82" s="13"/>
      <c r="N82" s="13"/>
      <c r="O82" s="13"/>
      <c r="P82" s="13"/>
    </row>
    <row r="83" spans="1:18" s="79" customFormat="1" ht="33">
      <c r="A83" s="78"/>
      <c r="B83" s="421" t="s">
        <v>41</v>
      </c>
      <c r="C83" s="421"/>
      <c r="D83" s="421"/>
      <c r="E83" s="421"/>
      <c r="F83" s="421"/>
      <c r="G83" s="421"/>
      <c r="H83" s="421"/>
      <c r="I83" s="421"/>
      <c r="J83" s="91" t="str">
        <f>J77</f>
        <v>កក្កដា</v>
      </c>
      <c r="K83" s="91"/>
      <c r="L83" s="78"/>
      <c r="M83" s="78"/>
      <c r="N83" s="78"/>
      <c r="O83" s="78"/>
      <c r="P83" s="78"/>
    </row>
    <row r="84" spans="1:18" s="71" customFormat="1" ht="29.25">
      <c r="A84" s="415" t="s">
        <v>15</v>
      </c>
      <c r="B84" s="415" t="s">
        <v>42</v>
      </c>
      <c r="C84" s="415"/>
      <c r="D84" s="415"/>
      <c r="E84" s="447" t="s">
        <v>17</v>
      </c>
      <c r="F84" s="447"/>
      <c r="G84" s="415" t="s">
        <v>37</v>
      </c>
      <c r="H84" s="415"/>
      <c r="I84" s="415" t="s">
        <v>38</v>
      </c>
      <c r="J84" s="415"/>
      <c r="K84" s="415" t="s">
        <v>23</v>
      </c>
      <c r="L84" s="415"/>
      <c r="M84" s="415"/>
      <c r="N84" s="415"/>
      <c r="O84" s="424" t="s">
        <v>22</v>
      </c>
      <c r="P84" s="425"/>
    </row>
    <row r="85" spans="1:18" s="71" customFormat="1" ht="29.25">
      <c r="A85" s="415"/>
      <c r="B85" s="415"/>
      <c r="C85" s="415"/>
      <c r="D85" s="415"/>
      <c r="E85" s="447"/>
      <c r="F85" s="447"/>
      <c r="G85" s="154" t="s">
        <v>24</v>
      </c>
      <c r="H85" s="154" t="s">
        <v>89</v>
      </c>
      <c r="I85" s="154" t="s">
        <v>24</v>
      </c>
      <c r="J85" s="154" t="s">
        <v>89</v>
      </c>
      <c r="K85" s="428" t="s">
        <v>24</v>
      </c>
      <c r="L85" s="419"/>
      <c r="M85" s="429" t="s">
        <v>90</v>
      </c>
      <c r="N85" s="430"/>
      <c r="O85" s="426"/>
      <c r="P85" s="427"/>
    </row>
    <row r="86" spans="1:18" s="70" customFormat="1" ht="19.899999999999999" customHeight="1" thickBot="1">
      <c r="A86" s="123">
        <v>1</v>
      </c>
      <c r="B86" s="431" t="s">
        <v>43</v>
      </c>
      <c r="C86" s="432"/>
      <c r="D86" s="433"/>
      <c r="E86" s="448" t="s">
        <v>44</v>
      </c>
      <c r="F86" s="449"/>
      <c r="G86" s="120"/>
      <c r="H86" s="120"/>
      <c r="I86" s="120">
        <v>83</v>
      </c>
      <c r="J86" s="120">
        <f>0.55*I86</f>
        <v>45.650000000000006</v>
      </c>
      <c r="K86" s="435">
        <f>I86+'6-JUN'!K85:L85</f>
        <v>581</v>
      </c>
      <c r="L86" s="436"/>
      <c r="M86" s="435">
        <f>J86+'6-JUN'!M85:N85</f>
        <v>319.55000000000007</v>
      </c>
      <c r="N86" s="436"/>
      <c r="O86" s="437"/>
      <c r="P86" s="438"/>
      <c r="Q86" s="92">
        <f>K86+I86</f>
        <v>664</v>
      </c>
      <c r="R86" s="93">
        <f>M86+J86</f>
        <v>365.20000000000005</v>
      </c>
    </row>
    <row r="87" spans="1:18" s="70" customFormat="1" ht="19.899999999999999" customHeight="1" thickBot="1">
      <c r="A87" s="121"/>
      <c r="B87" s="439" t="s">
        <v>26</v>
      </c>
      <c r="C87" s="440"/>
      <c r="D87" s="441"/>
      <c r="E87" s="450"/>
      <c r="F87" s="451"/>
      <c r="G87" s="122">
        <f>SUM(G86)</f>
        <v>0</v>
      </c>
      <c r="H87" s="122">
        <f>SUM(H86)</f>
        <v>0</v>
      </c>
      <c r="I87" s="122">
        <f>SUM(I86)</f>
        <v>83</v>
      </c>
      <c r="J87" s="122">
        <f>SUM(J86)</f>
        <v>45.650000000000006</v>
      </c>
      <c r="K87" s="443">
        <f>SUM(K86)</f>
        <v>581</v>
      </c>
      <c r="L87" s="444"/>
      <c r="M87" s="445">
        <f>SUM(M86)</f>
        <v>319.55000000000007</v>
      </c>
      <c r="N87" s="446"/>
      <c r="O87" s="422"/>
      <c r="P87" s="423"/>
      <c r="Q87" s="92"/>
      <c r="R87" s="93"/>
    </row>
    <row r="88" spans="1:18" ht="23.25">
      <c r="A88" s="13"/>
      <c r="B88" s="40"/>
      <c r="C88" s="43"/>
      <c r="D88" s="43"/>
      <c r="E88" s="43"/>
      <c r="F88" s="43"/>
      <c r="G88" s="41"/>
      <c r="H88" s="41"/>
      <c r="I88" s="41"/>
      <c r="J88" s="41"/>
      <c r="K88" s="41"/>
      <c r="L88" s="13"/>
      <c r="M88" s="13"/>
      <c r="N88" s="13"/>
      <c r="O88" s="13"/>
      <c r="P88" s="13"/>
    </row>
    <row r="89" spans="1:18" s="79" customFormat="1" ht="33">
      <c r="A89" s="78"/>
      <c r="B89" s="421" t="s">
        <v>45</v>
      </c>
      <c r="C89" s="421"/>
      <c r="D89" s="421"/>
      <c r="E89" s="421"/>
      <c r="F89" s="421"/>
      <c r="G89" s="421"/>
      <c r="H89" s="421"/>
      <c r="I89" s="421"/>
      <c r="J89" s="89" t="str">
        <f>$I$6</f>
        <v>កក្កដា</v>
      </c>
      <c r="K89" s="90" t="str">
        <f>$K$43</f>
        <v>ឆ្នាំ២០២៦ (USD)</v>
      </c>
      <c r="L89" s="78"/>
      <c r="M89" s="78"/>
      <c r="N89" s="78"/>
      <c r="O89" s="78"/>
      <c r="P89" s="78"/>
    </row>
    <row r="90" spans="1:18" s="71" customFormat="1" ht="58.5">
      <c r="A90" s="154" t="s">
        <v>15</v>
      </c>
      <c r="B90" s="415" t="s">
        <v>46</v>
      </c>
      <c r="C90" s="415"/>
      <c r="D90" s="155" t="s">
        <v>17</v>
      </c>
      <c r="E90" s="452" t="s">
        <v>47</v>
      </c>
      <c r="F90" s="419"/>
      <c r="G90" s="428" t="s">
        <v>48</v>
      </c>
      <c r="H90" s="418"/>
      <c r="I90" s="418"/>
      <c r="J90" s="419"/>
      <c r="K90" s="415" t="s">
        <v>49</v>
      </c>
      <c r="L90" s="415"/>
      <c r="M90" s="415"/>
      <c r="N90" s="415"/>
      <c r="O90" s="415" t="s">
        <v>22</v>
      </c>
      <c r="P90" s="415"/>
    </row>
    <row r="91" spans="1:18" ht="23.25">
      <c r="A91" s="32">
        <v>1</v>
      </c>
      <c r="B91" s="453" t="s">
        <v>50</v>
      </c>
      <c r="C91" s="454"/>
      <c r="D91" s="39"/>
      <c r="E91" s="455"/>
      <c r="F91" s="456"/>
      <c r="G91" s="455"/>
      <c r="H91" s="457"/>
      <c r="I91" s="457"/>
      <c r="J91" s="456"/>
      <c r="K91" s="455"/>
      <c r="L91" s="457"/>
      <c r="M91" s="457"/>
      <c r="N91" s="456"/>
      <c r="O91" s="458"/>
      <c r="P91" s="459"/>
    </row>
    <row r="92" spans="1:18" ht="23.25">
      <c r="A92" s="42">
        <v>2</v>
      </c>
      <c r="B92" s="461" t="s">
        <v>51</v>
      </c>
      <c r="C92" s="461"/>
      <c r="D92" s="39"/>
      <c r="E92" s="455"/>
      <c r="F92" s="456"/>
      <c r="G92" s="455"/>
      <c r="H92" s="457"/>
      <c r="I92" s="457"/>
      <c r="J92" s="456"/>
      <c r="O92" s="458"/>
      <c r="P92" s="459"/>
    </row>
    <row r="93" spans="1:18" ht="24" thickBot="1">
      <c r="A93" s="53">
        <v>3</v>
      </c>
      <c r="B93" s="462" t="s">
        <v>52</v>
      </c>
      <c r="C93" s="462"/>
      <c r="D93" s="124"/>
      <c r="E93" s="463"/>
      <c r="F93" s="464"/>
      <c r="G93" s="463"/>
      <c r="H93" s="465"/>
      <c r="I93" s="465"/>
      <c r="J93" s="464"/>
      <c r="K93" s="463"/>
      <c r="L93" s="465"/>
      <c r="M93" s="465"/>
      <c r="N93" s="464"/>
      <c r="O93" s="466"/>
      <c r="P93" s="467"/>
    </row>
    <row r="94" spans="1:18" ht="26.25" thickBot="1">
      <c r="A94" s="102">
        <v>4</v>
      </c>
      <c r="B94" s="408" t="s">
        <v>26</v>
      </c>
      <c r="C94" s="408"/>
      <c r="D94" s="125"/>
      <c r="E94" s="468"/>
      <c r="F94" s="469"/>
      <c r="G94" s="468"/>
      <c r="H94" s="470"/>
      <c r="I94" s="470"/>
      <c r="J94" s="469"/>
      <c r="K94" s="468"/>
      <c r="L94" s="470"/>
      <c r="M94" s="470"/>
      <c r="N94" s="469"/>
      <c r="O94" s="471"/>
      <c r="P94" s="472"/>
    </row>
    <row r="95" spans="1:18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8" ht="29.25">
      <c r="A96" s="11" t="str">
        <f>A37</f>
        <v>ទំនាក់ទំនង : Tel 077 330 279/090 922 237  E-mail : industryaffair.mih@gmail.com : TELEGRAM :077 330 279</v>
      </c>
      <c r="B96" s="11"/>
      <c r="C96" s="35"/>
      <c r="D96" s="35"/>
      <c r="E96" s="35"/>
      <c r="F96" s="35"/>
      <c r="G96" s="35"/>
      <c r="H96" s="35"/>
      <c r="I96" s="35"/>
      <c r="J96" s="35"/>
      <c r="K96" s="386" t="str">
        <f>K30</f>
        <v>ថ្ងៃទី 15 ខែ កក្កដា ឆ្នាំ2026</v>
      </c>
      <c r="L96" s="386"/>
      <c r="M96" s="80"/>
      <c r="N96" s="460" t="str">
        <f>N30</f>
        <v>ថ្ងៃទី 15 ខែ កក្កដា ឆ្នាំ2026</v>
      </c>
      <c r="O96" s="460"/>
      <c r="P96" s="13"/>
    </row>
    <row r="97" spans="1:16" ht="29.25">
      <c r="A97" s="13"/>
      <c r="B97" s="36"/>
      <c r="C97" s="35"/>
      <c r="D97" s="35"/>
      <c r="E97" s="35"/>
      <c r="F97" s="35"/>
      <c r="G97" s="35"/>
      <c r="H97" s="35"/>
      <c r="I97" s="35"/>
      <c r="J97" s="35"/>
      <c r="K97" s="386" t="str">
        <f>K31</f>
        <v>Date:……./……../……</v>
      </c>
      <c r="L97" s="386"/>
      <c r="M97" s="80"/>
      <c r="N97" s="409" t="str">
        <f>N31</f>
        <v>Date:……./……../……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386" t="str">
        <f>K32</f>
        <v>នាយក</v>
      </c>
      <c r="L98" s="386"/>
      <c r="M98" s="80"/>
      <c r="N98" s="409" t="str">
        <f>N32</f>
        <v>អ្នកធ្វើរបាយការណ៍</v>
      </c>
      <c r="O98" s="409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409" t="str">
        <f>K34</f>
        <v>Director</v>
      </c>
      <c r="L99" s="409"/>
      <c r="M99" s="80"/>
      <c r="N99" s="409" t="str">
        <f>N69</f>
        <v>Reportor</v>
      </c>
      <c r="O99" s="409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52"/>
      <c r="L100" s="152"/>
      <c r="M100" s="80"/>
      <c r="N100" s="152"/>
      <c r="O100" s="152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52"/>
      <c r="L101" s="152"/>
      <c r="M101" s="80"/>
      <c r="N101" s="152"/>
      <c r="O101" s="152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52"/>
      <c r="L102" s="152"/>
      <c r="M102" s="80"/>
      <c r="N102" s="152"/>
      <c r="O102" s="152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80"/>
      <c r="L105" s="80"/>
      <c r="M105" s="80"/>
      <c r="N105" s="80"/>
      <c r="O105" s="80"/>
      <c r="P105" s="13"/>
    </row>
    <row r="106" spans="1:16" ht="29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80"/>
      <c r="L106" s="80"/>
      <c r="M106" s="80"/>
      <c r="N106" s="80"/>
      <c r="O106" s="80"/>
      <c r="P106" s="13"/>
    </row>
    <row r="107" spans="1:16" ht="29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420" t="str">
        <f>K41</f>
        <v>NI, CUNLAN</v>
      </c>
      <c r="L107" s="420"/>
      <c r="M107" s="80"/>
      <c r="N107" s="420" t="str">
        <f>N75</f>
        <v>THNIN</v>
      </c>
      <c r="O107" s="420"/>
      <c r="P107" s="13"/>
    </row>
    <row r="108" spans="1:16" s="164" customFormat="1" ht="35.25">
      <c r="B108" s="473"/>
      <c r="C108" s="473"/>
      <c r="D108" s="473"/>
      <c r="E108" s="473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</row>
    <row r="109" spans="1:16" s="164" customFormat="1" ht="35.25">
      <c r="B109" s="474"/>
      <c r="C109" s="473"/>
      <c r="D109" s="473"/>
      <c r="E109" s="473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</row>
    <row r="110" spans="1:16" s="164" customFormat="1">
      <c r="B110" s="165"/>
      <c r="C110" s="165"/>
      <c r="D110" s="165"/>
      <c r="E110" s="165"/>
      <c r="F110" s="165"/>
      <c r="G110" s="475"/>
      <c r="H110" s="476"/>
      <c r="I110" s="476"/>
      <c r="J110" s="476"/>
      <c r="K110" s="165"/>
      <c r="L110" s="165"/>
      <c r="M110" s="165"/>
      <c r="N110" s="165"/>
      <c r="O110" s="165"/>
    </row>
    <row r="111" spans="1:16" s="164" customFormat="1" ht="33">
      <c r="A111" s="291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257"/>
    </row>
    <row r="112" spans="1:16" s="164" customFormat="1" ht="29.25">
      <c r="A112" s="291"/>
      <c r="B112" s="478"/>
      <c r="C112" s="478"/>
      <c r="D112" s="478"/>
      <c r="E112" s="478"/>
      <c r="F112" s="478"/>
      <c r="G112" s="478"/>
      <c r="H112" s="478"/>
      <c r="I112" s="478"/>
      <c r="J112" s="478"/>
      <c r="K112" s="478"/>
      <c r="L112" s="478"/>
      <c r="M112" s="478"/>
      <c r="N112" s="478"/>
      <c r="O112" s="478"/>
      <c r="P112" s="257"/>
    </row>
    <row r="113" spans="1:19" s="164" customFormat="1" ht="33">
      <c r="A113" s="168"/>
      <c r="B113" s="169"/>
      <c r="C113" s="169"/>
      <c r="D113" s="169"/>
      <c r="E113" s="169"/>
      <c r="F113" s="169"/>
      <c r="G113" s="477"/>
      <c r="H113" s="477"/>
      <c r="I113" s="170"/>
      <c r="J113" s="171"/>
      <c r="K113" s="172"/>
      <c r="L113" s="173"/>
      <c r="M113" s="169"/>
      <c r="N113" s="169"/>
      <c r="O113" s="169"/>
      <c r="P113" s="174"/>
    </row>
    <row r="114" spans="1:19" s="164" customFormat="1">
      <c r="A114" s="168"/>
      <c r="B114" s="175"/>
      <c r="C114" s="176"/>
      <c r="D114" s="176"/>
      <c r="E114" s="176"/>
      <c r="F114" s="176"/>
      <c r="G114" s="357"/>
      <c r="H114" s="357"/>
      <c r="I114" s="357"/>
      <c r="J114" s="176"/>
      <c r="K114" s="176"/>
      <c r="L114" s="176"/>
      <c r="M114" s="176"/>
      <c r="N114" s="176"/>
      <c r="O114" s="176"/>
      <c r="P114" s="174"/>
    </row>
    <row r="115" spans="1:19" s="164" customFormat="1" ht="29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9" s="164" customFormat="1" ht="20.100000000000001" customHeight="1">
      <c r="A116" s="179"/>
      <c r="B116" s="180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81"/>
      <c r="N116" s="181"/>
      <c r="O116" s="181"/>
      <c r="P116" s="181"/>
    </row>
    <row r="117" spans="1:19" s="185" customFormat="1" ht="20.100000000000001" customHeight="1">
      <c r="A117" s="182"/>
      <c r="B117" s="183"/>
      <c r="C117" s="183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</row>
    <row r="118" spans="1:19" s="190" customFormat="1" ht="20.100000000000001" customHeight="1">
      <c r="A118" s="186"/>
      <c r="B118" s="187"/>
      <c r="C118" s="187"/>
      <c r="D118" s="187"/>
      <c r="E118" s="187"/>
      <c r="F118" s="187"/>
      <c r="G118" s="187"/>
      <c r="H118" s="187"/>
      <c r="I118" s="187"/>
      <c r="J118" s="188"/>
      <c r="K118" s="188"/>
      <c r="L118" s="188"/>
      <c r="M118" s="188"/>
      <c r="N118" s="179"/>
      <c r="O118" s="189"/>
      <c r="P118" s="179"/>
    </row>
    <row r="119" spans="1:19" s="185" customFormat="1" ht="20.100000000000001" customHeight="1">
      <c r="A119" s="177"/>
      <c r="B119" s="177"/>
      <c r="C119" s="191"/>
      <c r="D119" s="177"/>
      <c r="F119" s="192"/>
      <c r="G119" s="177"/>
      <c r="I119" s="193"/>
      <c r="J119" s="194"/>
      <c r="K119" s="195"/>
      <c r="L119" s="195"/>
      <c r="M119" s="177"/>
      <c r="N119" s="177"/>
      <c r="O119" s="177"/>
      <c r="P119" s="196"/>
    </row>
    <row r="120" spans="1:19" s="164" customFormat="1" ht="20.100000000000001" customHeight="1">
      <c r="A120" s="186"/>
      <c r="B120" s="176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74"/>
    </row>
    <row r="121" spans="1:19" s="190" customFormat="1" ht="20.100000000000001" customHeight="1">
      <c r="A121" s="198"/>
      <c r="B121" s="198"/>
      <c r="C121" s="198"/>
      <c r="D121" s="480"/>
      <c r="E121" s="480"/>
      <c r="F121" s="198"/>
      <c r="G121" s="198"/>
      <c r="H121" s="198"/>
      <c r="I121" s="198"/>
      <c r="J121" s="479"/>
      <c r="K121" s="479"/>
      <c r="L121" s="198"/>
      <c r="M121" s="198"/>
      <c r="N121" s="198"/>
      <c r="O121" s="198"/>
      <c r="P121" s="199"/>
    </row>
    <row r="122" spans="1:19" s="164" customFormat="1" ht="29.25">
      <c r="A122" s="358"/>
      <c r="B122" s="358"/>
      <c r="C122" s="358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257"/>
    </row>
    <row r="123" spans="1:19" s="164" customFormat="1" ht="29.25">
      <c r="A123" s="358"/>
      <c r="B123" s="358"/>
      <c r="C123" s="358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200"/>
    </row>
    <row r="124" spans="1:19" s="164" customFormat="1" ht="29.25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200"/>
    </row>
    <row r="125" spans="1:19" s="164" customFormat="1" ht="29.25">
      <c r="A125" s="358"/>
      <c r="B125" s="358"/>
      <c r="C125" s="358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0"/>
    </row>
    <row r="126" spans="1:19" s="164" customFormat="1" ht="19.899999999999999" customHeight="1">
      <c r="A126" s="202"/>
      <c r="B126" s="203"/>
      <c r="C126" s="202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2"/>
      <c r="B127" s="203"/>
      <c r="C127" s="202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251"/>
      <c r="B128" s="208"/>
      <c r="C128" s="251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251"/>
      <c r="B129" s="209"/>
      <c r="C129" s="251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2"/>
      <c r="B130" s="203"/>
      <c r="C130" s="202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2"/>
      <c r="B131" s="203"/>
      <c r="C131" s="202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251"/>
      <c r="B132" s="209"/>
      <c r="C132" s="251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 ht="19.899999999999999" customHeight="1">
      <c r="A133" s="251"/>
      <c r="B133" s="209"/>
      <c r="C133" s="251"/>
      <c r="D133" s="204"/>
      <c r="E133" s="204"/>
      <c r="F133" s="99"/>
      <c r="G133" s="99"/>
      <c r="H133" s="202"/>
      <c r="I133" s="204"/>
      <c r="J133" s="202"/>
      <c r="K133" s="99"/>
      <c r="L133" s="202"/>
      <c r="M133" s="99"/>
      <c r="N133" s="202"/>
      <c r="O133" s="99"/>
      <c r="P133" s="205"/>
      <c r="Q133" s="206"/>
      <c r="S133" s="206"/>
    </row>
    <row r="134" spans="1:19" s="164" customFormat="1" ht="19.899999999999999" customHeight="1">
      <c r="A134" s="251"/>
      <c r="B134" s="209"/>
      <c r="C134" s="251"/>
      <c r="D134" s="204"/>
      <c r="E134" s="204"/>
      <c r="F134" s="99"/>
      <c r="G134" s="99"/>
      <c r="H134" s="202"/>
      <c r="I134" s="204"/>
      <c r="J134" s="202"/>
      <c r="K134" s="99"/>
      <c r="L134" s="202"/>
      <c r="M134" s="99"/>
      <c r="N134" s="202"/>
      <c r="O134" s="99"/>
      <c r="P134" s="205"/>
      <c r="Q134" s="206"/>
      <c r="S134" s="206"/>
    </row>
    <row r="135" spans="1:19" s="164" customFormat="1">
      <c r="A135" s="357"/>
      <c r="B135" s="357"/>
      <c r="C135" s="202"/>
      <c r="D135" s="210"/>
      <c r="E135" s="210"/>
      <c r="F135" s="210"/>
      <c r="G135" s="210"/>
      <c r="H135" s="202"/>
      <c r="I135" s="210"/>
      <c r="J135" s="202"/>
      <c r="K135" s="211"/>
      <c r="L135" s="202"/>
      <c r="M135" s="211"/>
      <c r="N135" s="99"/>
      <c r="O135" s="211"/>
      <c r="P135" s="200"/>
    </row>
    <row r="136" spans="1:19" s="164" customFormat="1" ht="23.25">
      <c r="A136" s="364"/>
      <c r="B136" s="364"/>
      <c r="C136" s="364"/>
      <c r="D136" s="364"/>
      <c r="E136" s="364"/>
      <c r="F136" s="364"/>
      <c r="G136" s="364"/>
      <c r="H136" s="364"/>
      <c r="I136" s="364"/>
      <c r="J136" s="202"/>
      <c r="K136" s="202"/>
      <c r="L136" s="202"/>
      <c r="M136" s="202"/>
      <c r="N136" s="202"/>
      <c r="O136" s="202"/>
      <c r="P136" s="200"/>
    </row>
    <row r="137" spans="1:19" s="164" customFormat="1" ht="29.25">
      <c r="A137" s="364"/>
      <c r="B137" s="364"/>
      <c r="C137" s="364"/>
      <c r="D137" s="364"/>
      <c r="E137" s="364"/>
      <c r="F137" s="364"/>
      <c r="G137" s="364"/>
      <c r="H137" s="364"/>
      <c r="I137" s="364"/>
      <c r="J137" s="212"/>
      <c r="K137" s="358"/>
      <c r="L137" s="358"/>
      <c r="M137" s="213"/>
      <c r="N137" s="358"/>
      <c r="O137" s="358"/>
      <c r="P137" s="200"/>
    </row>
    <row r="138" spans="1:19" s="164" customFormat="1" ht="23.25">
      <c r="A138" s="214"/>
      <c r="B138" s="176"/>
      <c r="C138" s="197"/>
      <c r="D138" s="197"/>
      <c r="E138" s="197"/>
      <c r="F138" s="197"/>
      <c r="G138" s="197"/>
      <c r="H138" s="197"/>
      <c r="I138" s="197"/>
      <c r="J138" s="202"/>
      <c r="K138" s="481"/>
      <c r="L138" s="481"/>
      <c r="M138" s="216"/>
      <c r="N138" s="481"/>
      <c r="O138" s="481"/>
      <c r="P138" s="200"/>
    </row>
    <row r="139" spans="1:19" s="164" customFormat="1" ht="29.25">
      <c r="A139" s="214"/>
      <c r="B139" s="178"/>
      <c r="C139" s="197"/>
      <c r="D139" s="197"/>
      <c r="E139" s="197"/>
      <c r="F139" s="197"/>
      <c r="G139" s="197"/>
      <c r="H139" s="197"/>
      <c r="I139" s="197"/>
      <c r="J139" s="202"/>
      <c r="K139" s="485"/>
      <c r="L139" s="485"/>
      <c r="M139" s="216"/>
      <c r="N139" s="358"/>
      <c r="O139" s="359"/>
      <c r="P139" s="200"/>
    </row>
    <row r="140" spans="1:19" s="164" customFormat="1" ht="23.25" customHeight="1">
      <c r="A140" s="214"/>
      <c r="B140" s="178"/>
      <c r="C140" s="197"/>
      <c r="D140" s="197"/>
      <c r="E140" s="197"/>
      <c r="F140" s="197"/>
      <c r="G140" s="197"/>
      <c r="H140" s="197"/>
      <c r="I140" s="197"/>
      <c r="J140" s="202"/>
      <c r="K140" s="360"/>
      <c r="L140" s="361"/>
      <c r="M140" s="216"/>
      <c r="N140" s="361"/>
      <c r="O140" s="361"/>
      <c r="P140" s="200"/>
    </row>
    <row r="141" spans="1:19" s="164" customFormat="1" ht="23.25">
      <c r="A141" s="214"/>
      <c r="B141" s="217"/>
      <c r="C141" s="168"/>
      <c r="D141" s="168"/>
      <c r="E141" s="218"/>
      <c r="F141" s="218"/>
      <c r="G141" s="218"/>
      <c r="H141" s="218"/>
      <c r="I141" s="218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18"/>
      <c r="F142" s="218"/>
      <c r="G142" s="218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18"/>
      <c r="F143" s="218"/>
      <c r="G143" s="218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4"/>
      <c r="B144" s="217"/>
      <c r="C144" s="168"/>
      <c r="D144" s="168"/>
      <c r="E144" s="218"/>
      <c r="F144" s="218"/>
      <c r="G144" s="218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 ht="23.25">
      <c r="A145" s="214"/>
      <c r="B145" s="217"/>
      <c r="C145" s="168"/>
      <c r="D145" s="168"/>
      <c r="E145" s="218"/>
      <c r="F145" s="218"/>
      <c r="G145" s="218"/>
      <c r="H145" s="197"/>
      <c r="I145" s="197"/>
      <c r="J145" s="202"/>
      <c r="K145" s="202"/>
      <c r="L145" s="202"/>
      <c r="M145" s="202"/>
      <c r="N145" s="202"/>
      <c r="O145" s="202"/>
      <c r="P145" s="200"/>
    </row>
    <row r="146" spans="1:16" s="164" customFormat="1" ht="23.25">
      <c r="A146" s="217"/>
      <c r="B146" s="217"/>
      <c r="C146" s="168"/>
      <c r="D146" s="168"/>
      <c r="E146" s="218"/>
      <c r="F146" s="218"/>
      <c r="G146" s="218"/>
      <c r="H146" s="197"/>
      <c r="I146" s="197"/>
      <c r="J146" s="202"/>
      <c r="K146" s="202"/>
      <c r="L146" s="202"/>
      <c r="M146" s="202"/>
      <c r="N146" s="202"/>
      <c r="O146" s="202"/>
      <c r="P146" s="200"/>
    </row>
    <row r="147" spans="1:16" s="164" customForma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362"/>
      <c r="L147" s="362"/>
      <c r="M147" s="200"/>
      <c r="N147" s="363"/>
      <c r="O147" s="363"/>
      <c r="P147" s="200"/>
    </row>
    <row r="148" spans="1:16" s="164" customFormat="1">
      <c r="A148" s="219"/>
      <c r="B148" s="200"/>
      <c r="C148" s="200"/>
      <c r="D148" s="200"/>
      <c r="E148" s="200"/>
      <c r="F148" s="200"/>
      <c r="G148" s="200"/>
      <c r="H148" s="200"/>
      <c r="I148" s="200"/>
      <c r="J148" s="200"/>
      <c r="K148" s="220"/>
      <c r="L148" s="220"/>
      <c r="M148" s="200"/>
      <c r="N148" s="221"/>
      <c r="O148" s="221"/>
      <c r="P148" s="200"/>
    </row>
    <row r="149" spans="1:16" s="164" customFormat="1">
      <c r="A149" s="219"/>
      <c r="B149" s="200"/>
      <c r="C149" s="200"/>
      <c r="D149" s="200"/>
      <c r="E149" s="200"/>
      <c r="F149" s="200"/>
      <c r="G149" s="200"/>
      <c r="H149" s="200"/>
      <c r="I149" s="200"/>
      <c r="J149" s="200"/>
      <c r="K149" s="220"/>
      <c r="L149" s="220"/>
      <c r="M149" s="200"/>
      <c r="N149" s="221"/>
      <c r="O149" s="221"/>
      <c r="P149" s="200"/>
    </row>
    <row r="150" spans="1:16" s="164" customFormat="1" ht="42">
      <c r="A150" s="222"/>
      <c r="B150" s="482"/>
      <c r="C150" s="482"/>
      <c r="D150" s="482"/>
      <c r="E150" s="482"/>
      <c r="F150" s="482"/>
      <c r="G150" s="482"/>
      <c r="H150" s="482"/>
      <c r="I150" s="482"/>
      <c r="J150" s="200"/>
      <c r="K150" s="200"/>
      <c r="L150" s="200"/>
      <c r="M150" s="200"/>
      <c r="N150" s="200"/>
      <c r="O150" s="200"/>
      <c r="P150" s="200"/>
    </row>
    <row r="151" spans="1:16" s="164" customFormat="1" ht="33">
      <c r="A151" s="483"/>
      <c r="B151" s="483"/>
      <c r="C151" s="483"/>
      <c r="D151" s="483"/>
      <c r="E151" s="483"/>
      <c r="F151" s="483"/>
      <c r="G151" s="483"/>
      <c r="H151" s="483"/>
      <c r="I151" s="483"/>
      <c r="J151" s="223"/>
      <c r="K151" s="224"/>
      <c r="L151" s="224"/>
      <c r="M151" s="225"/>
      <c r="N151" s="225"/>
      <c r="O151" s="225"/>
      <c r="P151" s="225"/>
    </row>
    <row r="152" spans="1:16" s="164" customFormat="1" ht="31.15" customHeight="1">
      <c r="A152" s="484"/>
      <c r="B152" s="484"/>
      <c r="C152" s="484"/>
      <c r="D152" s="486"/>
      <c r="E152" s="484"/>
      <c r="F152" s="484"/>
      <c r="G152" s="484"/>
      <c r="H152" s="484"/>
      <c r="I152" s="484"/>
      <c r="J152" s="484"/>
      <c r="K152" s="484"/>
      <c r="L152" s="484"/>
      <c r="M152" s="484"/>
      <c r="N152" s="484"/>
      <c r="O152" s="484"/>
      <c r="P152" s="484"/>
    </row>
    <row r="153" spans="1:16" s="164" customFormat="1" ht="30" customHeight="1">
      <c r="A153" s="484"/>
      <c r="B153" s="484"/>
      <c r="C153" s="484"/>
      <c r="D153" s="486"/>
      <c r="E153" s="484"/>
      <c r="F153" s="484"/>
      <c r="G153" s="484"/>
      <c r="H153" s="484"/>
      <c r="I153" s="484"/>
      <c r="J153" s="484"/>
      <c r="K153" s="484"/>
      <c r="L153" s="484"/>
      <c r="M153" s="484"/>
      <c r="N153" s="484"/>
      <c r="O153" s="484"/>
      <c r="P153" s="484"/>
    </row>
    <row r="154" spans="1:16" s="164" customFormat="1" ht="29.25">
      <c r="A154" s="484"/>
      <c r="B154" s="484"/>
      <c r="C154" s="484"/>
      <c r="D154" s="48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</row>
    <row r="155" spans="1:16" s="164" customFormat="1" ht="19.899999999999999" customHeight="1">
      <c r="A155" s="227"/>
      <c r="B155" s="228"/>
      <c r="C155" s="228"/>
      <c r="D155" s="251"/>
      <c r="E155" s="229"/>
      <c r="F155" s="230"/>
      <c r="G155" s="231"/>
      <c r="H155" s="232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251"/>
      <c r="E156" s="229"/>
      <c r="F156" s="230"/>
      <c r="G156" s="231"/>
      <c r="H156" s="232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251"/>
      <c r="E157" s="229"/>
      <c r="F157" s="230"/>
      <c r="G157" s="229"/>
      <c r="H157" s="230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251"/>
      <c r="E158" s="229"/>
      <c r="F158" s="230"/>
      <c r="G158" s="98"/>
      <c r="H158" s="230"/>
      <c r="I158" s="232"/>
      <c r="J158" s="232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251"/>
      <c r="E159" s="98"/>
      <c r="F159" s="99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251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251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19.899999999999999" customHeight="1">
      <c r="A162" s="227"/>
      <c r="B162" s="228"/>
      <c r="C162" s="228"/>
      <c r="D162" s="251"/>
      <c r="E162" s="229"/>
      <c r="F162" s="230"/>
      <c r="G162" s="231"/>
      <c r="H162" s="232"/>
      <c r="I162" s="229"/>
      <c r="J162" s="229"/>
      <c r="K162" s="229"/>
      <c r="L162" s="230"/>
      <c r="M162" s="229"/>
      <c r="N162" s="230"/>
      <c r="O162" s="205"/>
      <c r="P162" s="233"/>
    </row>
    <row r="163" spans="1:20" s="164" customFormat="1" ht="19.899999999999999" customHeight="1">
      <c r="A163" s="227"/>
      <c r="B163" s="228"/>
      <c r="C163" s="228"/>
      <c r="D163" s="251"/>
      <c r="E163" s="229"/>
      <c r="F163" s="230"/>
      <c r="G163" s="231"/>
      <c r="H163" s="232"/>
      <c r="I163" s="229"/>
      <c r="J163" s="229"/>
      <c r="K163" s="229"/>
      <c r="L163" s="230"/>
      <c r="M163" s="229"/>
      <c r="N163" s="230"/>
      <c r="O163" s="205"/>
      <c r="P163" s="233"/>
    </row>
    <row r="164" spans="1:20" s="164" customFormat="1" ht="25.5">
      <c r="A164" s="251"/>
      <c r="B164" s="487"/>
      <c r="C164" s="487"/>
      <c r="D164" s="234"/>
      <c r="E164" s="235"/>
      <c r="F164" s="211"/>
      <c r="G164" s="98"/>
      <c r="H164" s="99"/>
      <c r="I164" s="99"/>
      <c r="J164" s="99"/>
      <c r="K164" s="235"/>
      <c r="L164" s="211"/>
      <c r="M164" s="235"/>
      <c r="N164" s="211"/>
      <c r="O164" s="236"/>
      <c r="P164" s="237"/>
    </row>
    <row r="165" spans="1:20" s="164" customFormat="1" ht="23.25">
      <c r="A165" s="251"/>
      <c r="B165" s="234"/>
      <c r="C165" s="234"/>
      <c r="D165" s="234"/>
      <c r="E165" s="98"/>
      <c r="F165" s="99"/>
      <c r="G165" s="98"/>
      <c r="H165" s="99"/>
      <c r="I165" s="99"/>
      <c r="J165" s="99"/>
      <c r="K165" s="99"/>
      <c r="L165" s="99"/>
      <c r="M165" s="99"/>
      <c r="N165" s="99"/>
      <c r="O165" s="236"/>
      <c r="P165" s="237"/>
    </row>
    <row r="166" spans="1:20" s="164" customFormat="1" ht="33">
      <c r="A166" s="488"/>
      <c r="B166" s="488"/>
      <c r="C166" s="488"/>
      <c r="D166" s="488"/>
      <c r="E166" s="488"/>
      <c r="F166" s="488"/>
      <c r="G166" s="488"/>
      <c r="H166" s="488"/>
      <c r="I166" s="488"/>
      <c r="J166" s="223"/>
      <c r="K166" s="224"/>
      <c r="L166" s="238"/>
      <c r="M166" s="239"/>
      <c r="N166" s="239"/>
      <c r="O166" s="239"/>
      <c r="P166" s="239"/>
    </row>
    <row r="167" spans="1:20" s="164" customFormat="1" ht="33">
      <c r="A167" s="484"/>
      <c r="B167" s="484"/>
      <c r="C167" s="484"/>
      <c r="D167" s="486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84"/>
      <c r="P167" s="484"/>
    </row>
    <row r="168" spans="1:20" s="164" customFormat="1" ht="29.25">
      <c r="A168" s="484"/>
      <c r="B168" s="484"/>
      <c r="C168" s="484"/>
      <c r="D168" s="486"/>
      <c r="E168" s="484"/>
      <c r="F168" s="484"/>
      <c r="G168" s="484"/>
      <c r="H168" s="484"/>
      <c r="I168" s="484"/>
      <c r="J168" s="484"/>
      <c r="K168" s="484"/>
      <c r="L168" s="484"/>
      <c r="M168" s="484"/>
      <c r="N168" s="484"/>
      <c r="O168" s="484"/>
      <c r="P168" s="484"/>
    </row>
    <row r="169" spans="1:20" s="164" customFormat="1" ht="29.25">
      <c r="A169" s="484"/>
      <c r="B169" s="484"/>
      <c r="C169" s="484"/>
      <c r="D169" s="486"/>
      <c r="E169" s="226"/>
      <c r="F169" s="226"/>
      <c r="G169" s="240"/>
      <c r="H169" s="226"/>
      <c r="I169" s="226"/>
      <c r="J169" s="226"/>
      <c r="K169" s="226"/>
      <c r="L169" s="226"/>
      <c r="M169" s="226"/>
      <c r="N169" s="226"/>
      <c r="O169" s="226"/>
      <c r="P169" s="226"/>
    </row>
    <row r="170" spans="1:20" s="164" customFormat="1" ht="30" customHeight="1">
      <c r="A170" s="241"/>
      <c r="B170" s="491"/>
      <c r="C170" s="491"/>
      <c r="D170" s="242"/>
      <c r="E170" s="243"/>
      <c r="F170" s="244"/>
      <c r="G170" s="243"/>
      <c r="H170" s="244"/>
      <c r="I170" s="245"/>
      <c r="J170" s="246"/>
      <c r="K170" s="247"/>
      <c r="L170" s="248"/>
      <c r="M170" s="243"/>
      <c r="N170" s="244"/>
      <c r="O170" s="249"/>
      <c r="P170" s="249"/>
      <c r="Q170" s="206"/>
      <c r="R170" s="206"/>
      <c r="S170" s="206"/>
      <c r="T170" s="206"/>
    </row>
    <row r="171" spans="1:20" s="164" customFormat="1" ht="30" customHeight="1">
      <c r="A171" s="250"/>
      <c r="B171" s="492"/>
      <c r="C171" s="492"/>
      <c r="D171" s="251"/>
      <c r="E171" s="252"/>
      <c r="F171" s="252"/>
      <c r="G171" s="253"/>
      <c r="H171" s="253"/>
      <c r="I171" s="254"/>
      <c r="J171" s="252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30" customHeight="1">
      <c r="A172" s="250"/>
      <c r="B172" s="489"/>
      <c r="C172" s="489"/>
      <c r="D172" s="251"/>
      <c r="E172" s="254"/>
      <c r="F172" s="253"/>
      <c r="G172" s="253"/>
      <c r="H172" s="253"/>
      <c r="I172" s="258"/>
      <c r="J172" s="258"/>
      <c r="K172" s="252"/>
      <c r="L172" s="252"/>
      <c r="M172" s="253"/>
      <c r="N172" s="255"/>
      <c r="O172" s="256"/>
      <c r="P172" s="256"/>
      <c r="Q172" s="206"/>
      <c r="R172" s="206"/>
      <c r="S172" s="206"/>
      <c r="T172" s="206"/>
    </row>
    <row r="173" spans="1:20" s="164" customFormat="1" ht="30" customHeight="1">
      <c r="A173" s="250"/>
      <c r="B173" s="489"/>
      <c r="C173" s="489"/>
      <c r="D173" s="251"/>
      <c r="E173" s="254"/>
      <c r="F173" s="253"/>
      <c r="G173" s="253"/>
      <c r="H173" s="253"/>
      <c r="I173" s="258"/>
      <c r="J173" s="258"/>
      <c r="K173" s="252"/>
      <c r="L173" s="252"/>
      <c r="M173" s="253"/>
      <c r="N173" s="255"/>
      <c r="O173" s="256"/>
      <c r="P173" s="256"/>
      <c r="Q173" s="206"/>
      <c r="R173" s="206"/>
      <c r="S173" s="206"/>
      <c r="T173" s="206"/>
    </row>
    <row r="174" spans="1:20" s="164" customFormat="1" ht="25.5">
      <c r="A174" s="251"/>
      <c r="B174" s="487"/>
      <c r="C174" s="487"/>
      <c r="D174" s="234"/>
      <c r="E174" s="235"/>
      <c r="F174" s="259"/>
      <c r="G174" s="235"/>
      <c r="H174" s="260"/>
      <c r="I174" s="235"/>
      <c r="J174" s="259"/>
      <c r="K174" s="235"/>
      <c r="L174" s="259"/>
      <c r="M174" s="235"/>
      <c r="N174" s="259"/>
      <c r="O174" s="261"/>
      <c r="P174" s="261"/>
    </row>
    <row r="175" spans="1:20" s="164" customForma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</row>
    <row r="176" spans="1:20" s="164" customFormat="1" ht="29.25">
      <c r="A176" s="200"/>
      <c r="B176" s="214"/>
      <c r="C176" s="203"/>
      <c r="D176" s="203"/>
      <c r="E176" s="203"/>
      <c r="F176" s="203"/>
      <c r="G176" s="203"/>
      <c r="H176" s="203"/>
      <c r="I176" s="203"/>
      <c r="J176" s="203"/>
      <c r="K176" s="359"/>
      <c r="L176" s="359"/>
      <c r="M176" s="177"/>
      <c r="N176" s="359"/>
      <c r="O176" s="359"/>
      <c r="P176" s="203"/>
    </row>
    <row r="177" spans="1:16" s="164" customFormat="1" ht="29.25">
      <c r="A177" s="200"/>
      <c r="B177" s="262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9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490"/>
      <c r="L178" s="490"/>
      <c r="M178" s="263"/>
      <c r="N178" s="490"/>
      <c r="O178" s="490"/>
      <c r="P178" s="200"/>
    </row>
    <row r="179" spans="1:16" s="164" customFormat="1" ht="29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490"/>
      <c r="L179" s="490"/>
      <c r="M179" s="263"/>
      <c r="N179" s="490"/>
      <c r="O179" s="490"/>
      <c r="P179" s="200"/>
    </row>
    <row r="180" spans="1:16" s="164" customFormat="1" ht="25.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64"/>
      <c r="L180" s="264"/>
      <c r="M180" s="264"/>
      <c r="N180" s="264"/>
      <c r="O180" s="264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363"/>
      <c r="L190" s="363"/>
      <c r="M190" s="200"/>
      <c r="N190" s="363"/>
      <c r="O190" s="363"/>
      <c r="P190" s="200"/>
    </row>
    <row r="191" spans="1:16" s="164" customForma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21"/>
      <c r="L191" s="221"/>
      <c r="M191" s="200"/>
      <c r="N191" s="221"/>
      <c r="O191" s="221"/>
      <c r="P191" s="200"/>
    </row>
    <row r="192" spans="1:16" s="164" customForma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21"/>
      <c r="L192" s="221"/>
      <c r="M192" s="200"/>
      <c r="N192" s="221"/>
      <c r="O192" s="221"/>
      <c r="P192" s="200"/>
    </row>
    <row r="193" spans="1:18" s="164" customFormat="1" ht="36.75">
      <c r="A193" s="200"/>
      <c r="B193" s="494"/>
      <c r="C193" s="494"/>
      <c r="D193" s="494"/>
      <c r="E193" s="494"/>
      <c r="F193" s="494"/>
      <c r="G193" s="494"/>
      <c r="H193" s="494"/>
      <c r="I193" s="494"/>
      <c r="J193" s="494"/>
      <c r="K193" s="494"/>
      <c r="L193" s="200"/>
      <c r="M193" s="200"/>
      <c r="N193" s="200"/>
      <c r="O193" s="200"/>
      <c r="P193" s="200"/>
    </row>
    <row r="194" spans="1:18" s="266" customFormat="1" ht="33">
      <c r="A194" s="265"/>
      <c r="B194" s="488"/>
      <c r="C194" s="488"/>
      <c r="D194" s="488"/>
      <c r="E194" s="488"/>
      <c r="F194" s="488"/>
      <c r="G194" s="488"/>
      <c r="H194" s="488"/>
      <c r="I194" s="488"/>
      <c r="J194" s="223"/>
      <c r="K194" s="224"/>
      <c r="L194" s="265"/>
      <c r="M194" s="265"/>
      <c r="N194" s="265"/>
      <c r="O194" s="265"/>
      <c r="P194" s="265"/>
    </row>
    <row r="195" spans="1:18" s="185" customFormat="1" ht="29.25">
      <c r="A195" s="484"/>
      <c r="B195" s="484"/>
      <c r="C195" s="484"/>
      <c r="D195" s="484"/>
      <c r="E195" s="486"/>
      <c r="F195" s="486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</row>
    <row r="196" spans="1:18" s="185" customFormat="1" ht="29.25">
      <c r="A196" s="484"/>
      <c r="B196" s="484"/>
      <c r="C196" s="484"/>
      <c r="D196" s="484"/>
      <c r="E196" s="486"/>
      <c r="F196" s="486"/>
      <c r="G196" s="226"/>
      <c r="H196" s="226"/>
      <c r="I196" s="226"/>
      <c r="J196" s="226"/>
      <c r="K196" s="484"/>
      <c r="L196" s="484"/>
      <c r="M196" s="498"/>
      <c r="N196" s="498"/>
      <c r="O196" s="484"/>
      <c r="P196" s="484"/>
    </row>
    <row r="197" spans="1:18" s="275" customFormat="1" ht="25.15" customHeight="1">
      <c r="A197" s="268"/>
      <c r="B197" s="499"/>
      <c r="C197" s="499"/>
      <c r="D197" s="499"/>
      <c r="E197" s="500"/>
      <c r="F197" s="500"/>
      <c r="G197" s="269"/>
      <c r="H197" s="270"/>
      <c r="I197" s="271"/>
      <c r="J197" s="272"/>
      <c r="K197" s="501"/>
      <c r="L197" s="501"/>
      <c r="M197" s="502"/>
      <c r="N197" s="502"/>
      <c r="O197" s="499"/>
      <c r="P197" s="499"/>
      <c r="Q197" s="273"/>
      <c r="R197" s="274"/>
    </row>
    <row r="198" spans="1:18" s="284" customFormat="1" ht="25.15" customHeight="1">
      <c r="A198" s="277"/>
      <c r="B198" s="503"/>
      <c r="C198" s="503"/>
      <c r="D198" s="503"/>
      <c r="E198" s="504"/>
      <c r="F198" s="504"/>
      <c r="G198" s="293"/>
      <c r="H198" s="279"/>
      <c r="I198" s="280"/>
      <c r="J198" s="281"/>
      <c r="K198" s="505"/>
      <c r="L198" s="505"/>
      <c r="M198" s="506"/>
      <c r="N198" s="506"/>
      <c r="O198" s="495"/>
      <c r="P198" s="495"/>
      <c r="Q198" s="282"/>
      <c r="R198" s="283"/>
    </row>
    <row r="199" spans="1:18" s="164" customFormat="1">
      <c r="A199" s="200"/>
      <c r="B199" s="285"/>
      <c r="C199" s="208"/>
      <c r="D199" s="208"/>
      <c r="E199" s="208"/>
      <c r="F199" s="208"/>
      <c r="G199" s="208"/>
      <c r="H199" s="208"/>
      <c r="I199" s="208"/>
      <c r="J199" s="208"/>
      <c r="K199" s="208"/>
      <c r="L199" s="200"/>
      <c r="M199" s="200"/>
      <c r="N199" s="200"/>
      <c r="O199" s="200"/>
      <c r="P199" s="200"/>
    </row>
    <row r="200" spans="1:18" s="185" customFormat="1" ht="29.25">
      <c r="A200" s="286"/>
      <c r="B200" s="497"/>
      <c r="C200" s="497"/>
      <c r="D200" s="497"/>
      <c r="E200" s="497"/>
      <c r="F200" s="497"/>
      <c r="G200" s="497"/>
      <c r="H200" s="497"/>
      <c r="I200" s="497"/>
      <c r="J200" s="287"/>
      <c r="K200" s="288"/>
      <c r="L200" s="286"/>
      <c r="M200" s="286"/>
      <c r="N200" s="286"/>
      <c r="O200" s="286"/>
      <c r="P200" s="286"/>
    </row>
    <row r="201" spans="1:18" s="185" customFormat="1" ht="29.25">
      <c r="A201" s="484"/>
      <c r="B201" s="484"/>
      <c r="C201" s="484"/>
      <c r="D201" s="484"/>
      <c r="E201" s="496"/>
      <c r="F201" s="496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</row>
    <row r="202" spans="1:18" s="185" customFormat="1" ht="29.25">
      <c r="A202" s="484"/>
      <c r="B202" s="484"/>
      <c r="C202" s="484"/>
      <c r="D202" s="484"/>
      <c r="E202" s="496"/>
      <c r="F202" s="496"/>
      <c r="G202" s="226"/>
      <c r="H202" s="226"/>
      <c r="I202" s="226"/>
      <c r="J202" s="226"/>
      <c r="K202" s="484"/>
      <c r="L202" s="484"/>
      <c r="M202" s="498"/>
      <c r="N202" s="498"/>
      <c r="O202" s="484"/>
      <c r="P202" s="484"/>
    </row>
    <row r="203" spans="1:18" s="275" customFormat="1" ht="25.15" customHeight="1">
      <c r="A203" s="289"/>
      <c r="B203" s="499"/>
      <c r="C203" s="499"/>
      <c r="D203" s="499"/>
      <c r="E203" s="500"/>
      <c r="F203" s="500"/>
      <c r="G203" s="271"/>
      <c r="H203" s="272"/>
      <c r="I203" s="271"/>
      <c r="J203" s="272"/>
      <c r="K203" s="501"/>
      <c r="L203" s="501"/>
      <c r="M203" s="502"/>
      <c r="N203" s="502"/>
      <c r="O203" s="499"/>
      <c r="P203" s="499"/>
      <c r="Q203" s="273"/>
      <c r="R203" s="274"/>
    </row>
    <row r="204" spans="1:18" s="284" customFormat="1" ht="25.15" customHeight="1">
      <c r="A204" s="277"/>
      <c r="B204" s="503"/>
      <c r="C204" s="503"/>
      <c r="D204" s="503"/>
      <c r="E204" s="504"/>
      <c r="F204" s="504"/>
      <c r="G204" s="293"/>
      <c r="H204" s="279"/>
      <c r="I204" s="280"/>
      <c r="J204" s="281"/>
      <c r="K204" s="505"/>
      <c r="L204" s="505"/>
      <c r="M204" s="506"/>
      <c r="N204" s="506"/>
      <c r="O204" s="495"/>
      <c r="P204" s="495"/>
      <c r="Q204" s="282"/>
      <c r="R204" s="283"/>
    </row>
    <row r="205" spans="1:18" s="164" customFormat="1" ht="23.25">
      <c r="A205" s="200"/>
      <c r="B205" s="285"/>
      <c r="C205" s="234"/>
      <c r="D205" s="234"/>
      <c r="E205" s="234"/>
      <c r="F205" s="234"/>
      <c r="G205" s="208"/>
      <c r="H205" s="208"/>
      <c r="I205" s="208"/>
      <c r="J205" s="208"/>
      <c r="K205" s="208"/>
      <c r="L205" s="200"/>
      <c r="M205" s="200"/>
      <c r="N205" s="200"/>
      <c r="O205" s="200"/>
      <c r="P205" s="200"/>
    </row>
    <row r="206" spans="1:18" s="266" customFormat="1" ht="33">
      <c r="A206" s="265"/>
      <c r="B206" s="488"/>
      <c r="C206" s="488"/>
      <c r="D206" s="488"/>
      <c r="E206" s="488"/>
      <c r="F206" s="488"/>
      <c r="G206" s="488"/>
      <c r="H206" s="488"/>
      <c r="I206" s="488"/>
      <c r="J206" s="223"/>
      <c r="K206" s="224"/>
      <c r="L206" s="265"/>
      <c r="M206" s="265"/>
      <c r="N206" s="265"/>
      <c r="O206" s="265"/>
      <c r="P206" s="265"/>
    </row>
    <row r="207" spans="1:18" s="185" customFormat="1" ht="29.25">
      <c r="A207" s="226"/>
      <c r="B207" s="484"/>
      <c r="C207" s="484"/>
      <c r="D207" s="290"/>
      <c r="E207" s="486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</row>
    <row r="208" spans="1:18" s="164" customFormat="1" ht="28.15" customHeight="1">
      <c r="A208" s="250"/>
      <c r="B208" s="484"/>
      <c r="C208" s="484"/>
      <c r="D208" s="208"/>
      <c r="E208" s="492"/>
      <c r="F208" s="492"/>
      <c r="G208" s="492"/>
      <c r="H208" s="492"/>
      <c r="I208" s="492"/>
      <c r="J208" s="492"/>
      <c r="K208" s="492"/>
      <c r="L208" s="492"/>
      <c r="M208" s="492"/>
      <c r="N208" s="492"/>
      <c r="O208" s="507"/>
      <c r="P208" s="507"/>
    </row>
    <row r="209" spans="1:18" s="164" customFormat="1" ht="29.25">
      <c r="A209" s="251"/>
      <c r="B209" s="484"/>
      <c r="C209" s="484"/>
      <c r="D209" s="208"/>
      <c r="E209" s="492"/>
      <c r="F209" s="492"/>
      <c r="G209" s="492"/>
      <c r="H209" s="492"/>
      <c r="I209" s="492"/>
      <c r="J209" s="492"/>
      <c r="K209" s="492"/>
      <c r="L209" s="492"/>
      <c r="M209" s="492"/>
      <c r="N209" s="492"/>
      <c r="O209" s="507"/>
      <c r="P209" s="507"/>
    </row>
    <row r="210" spans="1:18" s="284" customFormat="1" ht="25.15" customHeight="1">
      <c r="A210" s="277"/>
      <c r="B210" s="503"/>
      <c r="C210" s="503"/>
      <c r="D210" s="292"/>
      <c r="E210" s="504"/>
      <c r="F210" s="504"/>
      <c r="G210" s="508"/>
      <c r="H210" s="508"/>
      <c r="I210" s="508"/>
      <c r="J210" s="508"/>
      <c r="K210" s="505"/>
      <c r="L210" s="505"/>
      <c r="M210" s="505"/>
      <c r="N210" s="505"/>
      <c r="O210" s="495"/>
      <c r="P210" s="495"/>
      <c r="Q210" s="282"/>
      <c r="R210" s="283"/>
    </row>
    <row r="211" spans="1:18" s="164" customFormat="1" ht="29.25">
      <c r="A211" s="251"/>
      <c r="B211" s="226"/>
      <c r="C211" s="226"/>
      <c r="D211" s="208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91"/>
      <c r="P211" s="291"/>
    </row>
    <row r="212" spans="1:18" s="164" customForma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</row>
    <row r="213" spans="1:18" s="164" customFormat="1" ht="29.25">
      <c r="A213" s="178"/>
      <c r="B213" s="178"/>
      <c r="C213" s="203"/>
      <c r="D213" s="203"/>
      <c r="E213" s="203"/>
      <c r="F213" s="203"/>
      <c r="G213" s="203"/>
      <c r="H213" s="203"/>
      <c r="I213" s="203"/>
      <c r="J213" s="203"/>
      <c r="K213" s="359"/>
      <c r="L213" s="359"/>
      <c r="M213" s="263"/>
      <c r="N213" s="496"/>
      <c r="O213" s="496"/>
      <c r="P213" s="200"/>
    </row>
    <row r="214" spans="1:18" s="164" customFormat="1" ht="29.25">
      <c r="A214" s="200"/>
      <c r="B214" s="262"/>
      <c r="C214" s="203"/>
      <c r="D214" s="203"/>
      <c r="E214" s="203"/>
      <c r="F214" s="203"/>
      <c r="G214" s="203"/>
      <c r="H214" s="203"/>
      <c r="I214" s="203"/>
      <c r="J214" s="203"/>
      <c r="K214" s="359"/>
      <c r="L214" s="359"/>
      <c r="M214" s="263"/>
      <c r="N214" s="490"/>
      <c r="O214" s="490"/>
      <c r="P214" s="200"/>
    </row>
    <row r="215" spans="1:18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359"/>
      <c r="L215" s="359"/>
      <c r="M215" s="263"/>
      <c r="N215" s="490"/>
      <c r="O215" s="490"/>
      <c r="P215" s="200"/>
    </row>
    <row r="216" spans="1:18" s="164" customFormat="1" ht="29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490"/>
      <c r="L216" s="490"/>
      <c r="M216" s="263"/>
      <c r="N216" s="490"/>
      <c r="O216" s="490"/>
      <c r="P216" s="200"/>
    </row>
    <row r="217" spans="1:18" s="164" customFormat="1" ht="29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94"/>
      <c r="L217" s="294"/>
      <c r="M217" s="263"/>
      <c r="N217" s="294"/>
      <c r="O217" s="294"/>
      <c r="P217" s="200"/>
    </row>
    <row r="218" spans="1:18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91"/>
      <c r="L218" s="291"/>
      <c r="M218" s="200"/>
      <c r="N218" s="291"/>
      <c r="O218" s="291"/>
      <c r="P218" s="200"/>
    </row>
    <row r="219" spans="1:18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91"/>
      <c r="L219" s="291"/>
      <c r="M219" s="200"/>
      <c r="N219" s="291"/>
      <c r="O219" s="291"/>
      <c r="P219" s="200"/>
    </row>
    <row r="220" spans="1:18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8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8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8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8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</row>
    <row r="229" spans="1:16" s="164" customForma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</row>
    <row r="230" spans="1:16" s="164" customForma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363"/>
      <c r="L230" s="363"/>
      <c r="M230" s="200"/>
      <c r="N230" s="363"/>
      <c r="O230" s="363"/>
      <c r="P230" s="200"/>
    </row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</sheetData>
  <mergeCells count="297">
    <mergeCell ref="K216:L216"/>
    <mergeCell ref="N216:O216"/>
    <mergeCell ref="K230:L230"/>
    <mergeCell ref="N230:O230"/>
    <mergeCell ref="K213:L213"/>
    <mergeCell ref="N213:O213"/>
    <mergeCell ref="K214:L214"/>
    <mergeCell ref="N214:O214"/>
    <mergeCell ref="K215:L215"/>
    <mergeCell ref="N215:O215"/>
    <mergeCell ref="B209:C209"/>
    <mergeCell ref="E209:F209"/>
    <mergeCell ref="G209:J209"/>
    <mergeCell ref="K209:N209"/>
    <mergeCell ref="O209:P209"/>
    <mergeCell ref="B210:C210"/>
    <mergeCell ref="E210:F210"/>
    <mergeCell ref="G210:J210"/>
    <mergeCell ref="K210:N210"/>
    <mergeCell ref="O210:P210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B204:D204"/>
    <mergeCell ref="E204:F204"/>
    <mergeCell ref="K204:L204"/>
    <mergeCell ref="M204:N204"/>
    <mergeCell ref="O204:P204"/>
    <mergeCell ref="B206:I206"/>
    <mergeCell ref="O201:P202"/>
    <mergeCell ref="K202:L202"/>
    <mergeCell ref="M202:N202"/>
    <mergeCell ref="B203:D203"/>
    <mergeCell ref="E203:F203"/>
    <mergeCell ref="K203:L203"/>
    <mergeCell ref="M203:N203"/>
    <mergeCell ref="O203:P203"/>
    <mergeCell ref="A201:A202"/>
    <mergeCell ref="B201:D202"/>
    <mergeCell ref="E201:F202"/>
    <mergeCell ref="G201:H201"/>
    <mergeCell ref="I201:J201"/>
    <mergeCell ref="K201:N201"/>
    <mergeCell ref="B198:D198"/>
    <mergeCell ref="E198:F198"/>
    <mergeCell ref="K198:L198"/>
    <mergeCell ref="M198:N198"/>
    <mergeCell ref="O198:P198"/>
    <mergeCell ref="B200:I200"/>
    <mergeCell ref="O195:P196"/>
    <mergeCell ref="K196:L196"/>
    <mergeCell ref="M196:N196"/>
    <mergeCell ref="B197:D197"/>
    <mergeCell ref="E197:F197"/>
    <mergeCell ref="K197:L197"/>
    <mergeCell ref="M197:N197"/>
    <mergeCell ref="O197:P197"/>
    <mergeCell ref="K190:L190"/>
    <mergeCell ref="N190:O190"/>
    <mergeCell ref="B193:K193"/>
    <mergeCell ref="B194:I194"/>
    <mergeCell ref="A195:A196"/>
    <mergeCell ref="B195:D196"/>
    <mergeCell ref="E195:F196"/>
    <mergeCell ref="G195:H195"/>
    <mergeCell ref="I195:J195"/>
    <mergeCell ref="K195:N195"/>
    <mergeCell ref="N176:O176"/>
    <mergeCell ref="K177:L177"/>
    <mergeCell ref="N177:O177"/>
    <mergeCell ref="K178:L178"/>
    <mergeCell ref="N178:O178"/>
    <mergeCell ref="K179:L179"/>
    <mergeCell ref="N179:O179"/>
    <mergeCell ref="B170:C170"/>
    <mergeCell ref="B171:C171"/>
    <mergeCell ref="B172:C172"/>
    <mergeCell ref="B173:C173"/>
    <mergeCell ref="B174:C174"/>
    <mergeCell ref="K176:L176"/>
    <mergeCell ref="O167:P168"/>
    <mergeCell ref="E168:F168"/>
    <mergeCell ref="G168:H168"/>
    <mergeCell ref="I168:J168"/>
    <mergeCell ref="K168:L168"/>
    <mergeCell ref="M168:N168"/>
    <mergeCell ref="B164:C164"/>
    <mergeCell ref="A166:I166"/>
    <mergeCell ref="A167:A169"/>
    <mergeCell ref="B167:C169"/>
    <mergeCell ref="D167:D169"/>
    <mergeCell ref="E167:N167"/>
    <mergeCell ref="O152:P153"/>
    <mergeCell ref="E153:F153"/>
    <mergeCell ref="G153:H153"/>
    <mergeCell ref="I153:J153"/>
    <mergeCell ref="K153:L153"/>
    <mergeCell ref="M153:N153"/>
    <mergeCell ref="B150:I150"/>
    <mergeCell ref="A151:I151"/>
    <mergeCell ref="A152:A154"/>
    <mergeCell ref="B152:C154"/>
    <mergeCell ref="D152:D154"/>
    <mergeCell ref="E152:N152"/>
    <mergeCell ref="K139:L139"/>
    <mergeCell ref="N139:O139"/>
    <mergeCell ref="K140:L140"/>
    <mergeCell ref="N140:O140"/>
    <mergeCell ref="K147:L147"/>
    <mergeCell ref="N147:O147"/>
    <mergeCell ref="A135:B135"/>
    <mergeCell ref="A136:I136"/>
    <mergeCell ref="A137:I137"/>
    <mergeCell ref="K137:L137"/>
    <mergeCell ref="N137:O137"/>
    <mergeCell ref="K138:L138"/>
    <mergeCell ref="N138:O138"/>
    <mergeCell ref="L123:O123"/>
    <mergeCell ref="D124:E124"/>
    <mergeCell ref="F124:G124"/>
    <mergeCell ref="H124:I124"/>
    <mergeCell ref="J124:K124"/>
    <mergeCell ref="L124:M124"/>
    <mergeCell ref="N124:O124"/>
    <mergeCell ref="B112:O112"/>
    <mergeCell ref="G113:H113"/>
    <mergeCell ref="G114:I114"/>
    <mergeCell ref="D121:E121"/>
    <mergeCell ref="J121:K121"/>
    <mergeCell ref="A122:B125"/>
    <mergeCell ref="C122:C125"/>
    <mergeCell ref="D122:O122"/>
    <mergeCell ref="D123:G123"/>
    <mergeCell ref="H123:K123"/>
    <mergeCell ref="K107:L107"/>
    <mergeCell ref="N107:O107"/>
    <mergeCell ref="B108:O108"/>
    <mergeCell ref="B109:O109"/>
    <mergeCell ref="G110:J110"/>
    <mergeCell ref="B111:O111"/>
    <mergeCell ref="K97:L97"/>
    <mergeCell ref="N97:O97"/>
    <mergeCell ref="K98:L98"/>
    <mergeCell ref="N98:O98"/>
    <mergeCell ref="K99:L99"/>
    <mergeCell ref="N99:O99"/>
    <mergeCell ref="B94:C94"/>
    <mergeCell ref="E94:F94"/>
    <mergeCell ref="G94:J94"/>
    <mergeCell ref="K94:N94"/>
    <mergeCell ref="O94:P94"/>
    <mergeCell ref="K96:L96"/>
    <mergeCell ref="N96:O96"/>
    <mergeCell ref="B92:C92"/>
    <mergeCell ref="E92:F92"/>
    <mergeCell ref="G92:J92"/>
    <mergeCell ref="O92:P92"/>
    <mergeCell ref="B93:C93"/>
    <mergeCell ref="E93:F93"/>
    <mergeCell ref="G93:J93"/>
    <mergeCell ref="K93:N93"/>
    <mergeCell ref="O93:P93"/>
    <mergeCell ref="B90:C90"/>
    <mergeCell ref="E90:F90"/>
    <mergeCell ref="G90:J90"/>
    <mergeCell ref="K90:N90"/>
    <mergeCell ref="O90:P90"/>
    <mergeCell ref="B91:C91"/>
    <mergeCell ref="E91:F91"/>
    <mergeCell ref="G91:J91"/>
    <mergeCell ref="K91:N91"/>
    <mergeCell ref="O91:P91"/>
    <mergeCell ref="B87:D87"/>
    <mergeCell ref="E87:F87"/>
    <mergeCell ref="K87:L87"/>
    <mergeCell ref="M87:N87"/>
    <mergeCell ref="O87:P87"/>
    <mergeCell ref="B89:I89"/>
    <mergeCell ref="O84:P85"/>
    <mergeCell ref="K85:L85"/>
    <mergeCell ref="M85:N85"/>
    <mergeCell ref="B86:D86"/>
    <mergeCell ref="E86:F86"/>
    <mergeCell ref="K86:L86"/>
    <mergeCell ref="M86:N86"/>
    <mergeCell ref="O86:P86"/>
    <mergeCell ref="A84:A85"/>
    <mergeCell ref="B84:D85"/>
    <mergeCell ref="E84:F85"/>
    <mergeCell ref="G84:H84"/>
    <mergeCell ref="I84:J84"/>
    <mergeCell ref="K84:N84"/>
    <mergeCell ref="B81:D81"/>
    <mergeCell ref="E81:F81"/>
    <mergeCell ref="K81:L81"/>
    <mergeCell ref="M81:N81"/>
    <mergeCell ref="O81:P81"/>
    <mergeCell ref="B83:I83"/>
    <mergeCell ref="O78:P79"/>
    <mergeCell ref="K79:L79"/>
    <mergeCell ref="M79:N79"/>
    <mergeCell ref="B80:D80"/>
    <mergeCell ref="E80:F80"/>
    <mergeCell ref="K80:L80"/>
    <mergeCell ref="M80:N80"/>
    <mergeCell ref="O80:P80"/>
    <mergeCell ref="K75:L75"/>
    <mergeCell ref="N75:O75"/>
    <mergeCell ref="B76:K76"/>
    <mergeCell ref="B77:I77"/>
    <mergeCell ref="A78:A79"/>
    <mergeCell ref="B78:D79"/>
    <mergeCell ref="E78:F79"/>
    <mergeCell ref="G78:H78"/>
    <mergeCell ref="I78:J78"/>
    <mergeCell ref="K78:N78"/>
    <mergeCell ref="K67:L67"/>
    <mergeCell ref="N67:O67"/>
    <mergeCell ref="K68:L68"/>
    <mergeCell ref="N68:O68"/>
    <mergeCell ref="K69:L69"/>
    <mergeCell ref="N69:O69"/>
    <mergeCell ref="B61:C61"/>
    <mergeCell ref="B62:C62"/>
    <mergeCell ref="B63:C63"/>
    <mergeCell ref="B64:C64"/>
    <mergeCell ref="K66:L66"/>
    <mergeCell ref="N66:O66"/>
    <mergeCell ref="A58:A60"/>
    <mergeCell ref="B58:C60"/>
    <mergeCell ref="D58:D60"/>
    <mergeCell ref="E58:N58"/>
    <mergeCell ref="O58:P59"/>
    <mergeCell ref="E59:F59"/>
    <mergeCell ref="G59:H59"/>
    <mergeCell ref="I59:J59"/>
    <mergeCell ref="K59:L59"/>
    <mergeCell ref="M59:N59"/>
    <mergeCell ref="G45:H45"/>
    <mergeCell ref="I45:J45"/>
    <mergeCell ref="K45:L45"/>
    <mergeCell ref="M45:N45"/>
    <mergeCell ref="B55:C55"/>
    <mergeCell ref="A57:I57"/>
    <mergeCell ref="K41:L41"/>
    <mergeCell ref="N41:O41"/>
    <mergeCell ref="B42:I42"/>
    <mergeCell ref="A43:I43"/>
    <mergeCell ref="A44:A46"/>
    <mergeCell ref="B44:C46"/>
    <mergeCell ref="D44:D46"/>
    <mergeCell ref="E44:N44"/>
    <mergeCell ref="O44:P45"/>
    <mergeCell ref="E45:F45"/>
    <mergeCell ref="K32:L32"/>
    <mergeCell ref="N32:O32"/>
    <mergeCell ref="A34:I34"/>
    <mergeCell ref="K34:L34"/>
    <mergeCell ref="N34:O34"/>
    <mergeCell ref="A37:G37"/>
    <mergeCell ref="A28:B28"/>
    <mergeCell ref="A29:I29"/>
    <mergeCell ref="A30:I30"/>
    <mergeCell ref="K30:L30"/>
    <mergeCell ref="N30:O30"/>
    <mergeCell ref="K31:L31"/>
    <mergeCell ref="N31:O31"/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1" max="16383" man="1"/>
    <brk id="75" max="16383" man="1"/>
    <brk id="107" max="16383" man="1"/>
    <brk id="147" max="16383" man="1"/>
    <brk id="19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9"/>
  <sheetViews>
    <sheetView view="pageBreakPreview" topLeftCell="C52" zoomScaleNormal="100" zoomScaleSheetLayoutView="100" workbookViewId="0">
      <selection activeCell="O63" sqref="O63"/>
    </sheetView>
  </sheetViews>
  <sheetFormatPr defaultColWidth="9.140625" defaultRowHeight="15"/>
  <cols>
    <col min="1" max="2" width="15.85546875" style="1" customWidth="1"/>
    <col min="3" max="3" width="17.71093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12.28515625" style="1" customWidth="1"/>
    <col min="13" max="13" width="17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7" width="13.28515625" style="1" bestFit="1" customWidth="1"/>
    <col min="18" max="18" width="16.7109375" style="1" customWidth="1"/>
    <col min="19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125</v>
      </c>
      <c r="J6" s="301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129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321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7">
        <v>168</v>
      </c>
      <c r="D13" s="513" t="s">
        <v>4</v>
      </c>
      <c r="E13" s="513"/>
      <c r="F13" s="512">
        <v>113</v>
      </c>
      <c r="G13" s="512"/>
      <c r="H13" s="128" t="s">
        <v>5</v>
      </c>
      <c r="J13" s="382">
        <v>61010.34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58.5">
      <c r="A19" s="371"/>
      <c r="B19" s="371"/>
      <c r="C19" s="371"/>
      <c r="D19" s="300" t="s">
        <v>83</v>
      </c>
      <c r="E19" s="300" t="s">
        <v>84</v>
      </c>
      <c r="F19" s="300" t="s">
        <v>83</v>
      </c>
      <c r="G19" s="300" t="s">
        <v>85</v>
      </c>
      <c r="H19" s="300" t="s">
        <v>83</v>
      </c>
      <c r="I19" s="300" t="s">
        <v>84</v>
      </c>
      <c r="J19" s="300" t="s">
        <v>83</v>
      </c>
      <c r="K19" s="300" t="s">
        <v>85</v>
      </c>
      <c r="L19" s="300" t="s">
        <v>83</v>
      </c>
      <c r="M19" s="300" t="s">
        <v>85</v>
      </c>
      <c r="N19" s="300" t="s">
        <v>83</v>
      </c>
      <c r="O19" s="300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41078</v>
      </c>
      <c r="J20" s="16"/>
      <c r="K20" s="17">
        <f>ROUND(I20*2.25345562101368,2)</f>
        <v>92567.45</v>
      </c>
      <c r="L20" s="16"/>
      <c r="M20" s="142">
        <f>I20+'7-JUL'!M20</f>
        <v>415333</v>
      </c>
      <c r="N20" s="16"/>
      <c r="O20" s="142">
        <f>K20+'7-JUL'!O20</f>
        <v>799067.27999999991</v>
      </c>
      <c r="Q20" s="138">
        <f>M20+I20</f>
        <v>456411</v>
      </c>
      <c r="R20" s="57"/>
      <c r="S20" s="58">
        <f t="shared" ref="S20:S26" si="0">O20+K20</f>
        <v>891634.72999999986</v>
      </c>
    </row>
    <row r="21" spans="1:19" ht="22.15" customHeight="1">
      <c r="A21" s="14" t="s">
        <v>98</v>
      </c>
      <c r="B21" s="21" t="s">
        <v>99</v>
      </c>
      <c r="C21" s="16" t="s">
        <v>8</v>
      </c>
      <c r="D21" s="17"/>
      <c r="E21" s="17"/>
      <c r="F21" s="17"/>
      <c r="G21" s="17"/>
      <c r="H21" s="16"/>
      <c r="I21" s="143">
        <v>13404</v>
      </c>
      <c r="J21" s="16"/>
      <c r="K21" s="17">
        <f>ROUND(I21*1.38028200537153,2)</f>
        <v>18501.3</v>
      </c>
      <c r="L21" s="16"/>
      <c r="M21" s="17">
        <f>I21+'7-JUL'!M21</f>
        <v>23698</v>
      </c>
      <c r="N21" s="16"/>
      <c r="O21" s="142">
        <f>K21+'6-JUN'!O21</f>
        <v>344904.25999999995</v>
      </c>
      <c r="Q21" s="139"/>
      <c r="S21" s="59"/>
    </row>
    <row r="22" spans="1:19" ht="21.75" customHeight="1">
      <c r="A22" s="14" t="s">
        <v>98</v>
      </c>
      <c r="B22" s="21" t="s">
        <v>105</v>
      </c>
      <c r="C22" s="16" t="s">
        <v>8</v>
      </c>
      <c r="D22" s="17"/>
      <c r="E22" s="17"/>
      <c r="F22" s="17"/>
      <c r="G22" s="17"/>
      <c r="H22" s="16"/>
      <c r="I22" s="18"/>
      <c r="J22" s="16"/>
      <c r="K22" s="17"/>
      <c r="L22" s="16"/>
      <c r="M22" s="142">
        <v>81280</v>
      </c>
      <c r="N22" s="16"/>
      <c r="O22" s="142">
        <f>K22+'6-JUN'!O22</f>
        <v>2855</v>
      </c>
      <c r="Q22" s="139"/>
      <c r="S22" s="59"/>
    </row>
    <row r="23" spans="1:19" ht="22.15" customHeight="1">
      <c r="A23" s="14" t="s">
        <v>98</v>
      </c>
      <c r="B23" s="21" t="s">
        <v>108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42">
        <v>576</v>
      </c>
      <c r="N23" s="16"/>
      <c r="O23" s="142">
        <f>K23+'6-JUN'!O23</f>
        <v>267740.36</v>
      </c>
      <c r="Q23" s="139">
        <f t="shared" ref="Q23:Q26" si="1">M23+I23</f>
        <v>576</v>
      </c>
      <c r="S23" s="59">
        <f t="shared" si="0"/>
        <v>267740.36</v>
      </c>
    </row>
    <row r="24" spans="1:19" ht="22.15" customHeight="1">
      <c r="A24" s="14" t="s">
        <v>98</v>
      </c>
      <c r="B24" s="21" t="s">
        <v>101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42">
        <v>3396</v>
      </c>
      <c r="N24" s="16"/>
      <c r="O24" s="142">
        <f>K24+'6-JUN'!O24</f>
        <v>1532.16</v>
      </c>
      <c r="Q24" s="139">
        <f t="shared" si="1"/>
        <v>3396</v>
      </c>
      <c r="S24" s="59">
        <f t="shared" si="0"/>
        <v>1532.16</v>
      </c>
    </row>
    <row r="25" spans="1:19" ht="22.15" customHeight="1">
      <c r="A25" s="14" t="s">
        <v>98</v>
      </c>
      <c r="B25" s="15" t="s">
        <v>103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42">
        <v>1848</v>
      </c>
      <c r="N25" s="16"/>
      <c r="O25" s="142">
        <f>K25+'6-JUN'!O25</f>
        <v>2272.8000000000002</v>
      </c>
      <c r="Q25" s="139">
        <f t="shared" si="1"/>
        <v>1848</v>
      </c>
      <c r="S25" s="59">
        <f t="shared" si="0"/>
        <v>2272.8000000000002</v>
      </c>
    </row>
    <row r="26" spans="1:19" ht="22.15" customHeight="1">
      <c r="A26" s="14" t="s">
        <v>98</v>
      </c>
      <c r="B26" s="21" t="s">
        <v>104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42">
        <v>565651</v>
      </c>
      <c r="N26" s="16"/>
      <c r="O26" s="142">
        <f>K26+'6-JUN'!O26</f>
        <v>2605.6799999999998</v>
      </c>
      <c r="Q26" s="140">
        <f t="shared" si="1"/>
        <v>565651</v>
      </c>
      <c r="R26" s="60"/>
      <c r="S26" s="61">
        <f t="shared" si="0"/>
        <v>2605.6799999999998</v>
      </c>
    </row>
    <row r="27" spans="1:19" ht="22.15" customHeight="1" thickBot="1">
      <c r="A27" s="14" t="s">
        <v>98</v>
      </c>
      <c r="B27" s="21" t="s">
        <v>123</v>
      </c>
      <c r="C27" s="16" t="s">
        <v>8</v>
      </c>
      <c r="D27" s="17"/>
      <c r="E27" s="17"/>
      <c r="F27" s="17"/>
      <c r="G27" s="17"/>
      <c r="H27" s="16"/>
      <c r="I27" s="18"/>
      <c r="J27" s="16"/>
      <c r="K27" s="17"/>
      <c r="L27" s="16"/>
      <c r="M27" s="142">
        <f>'7-JUL'!M27</f>
        <v>1000</v>
      </c>
      <c r="N27" s="16"/>
      <c r="O27" s="142">
        <f>'7-JUL'!O27</f>
        <v>1950</v>
      </c>
      <c r="Q27" s="205"/>
      <c r="R27" s="164"/>
      <c r="S27" s="206"/>
    </row>
    <row r="28" spans="1:19" s="96" customFormat="1" ht="22.15" customHeight="1" thickBot="1">
      <c r="A28" s="390" t="s">
        <v>9</v>
      </c>
      <c r="B28" s="391"/>
      <c r="C28" s="107"/>
      <c r="D28" s="322"/>
      <c r="E28" s="323">
        <f>SUM(E20:E26)</f>
        <v>0</v>
      </c>
      <c r="F28" s="322"/>
      <c r="G28" s="323">
        <f>SUM(G20:G26)</f>
        <v>0</v>
      </c>
      <c r="H28" s="324"/>
      <c r="I28" s="322">
        <f>SUM(I20:I27)</f>
        <v>54482</v>
      </c>
      <c r="J28" s="324"/>
      <c r="K28" s="323">
        <f>SUM(K20:K27)</f>
        <v>111068.75</v>
      </c>
      <c r="L28" s="324"/>
      <c r="M28" s="323">
        <f>SUM(M20:M27)</f>
        <v>1092782</v>
      </c>
      <c r="N28" s="324"/>
      <c r="O28" s="325">
        <f>SUM(O20:O27)</f>
        <v>1422927.5399999998</v>
      </c>
      <c r="Q28" s="97"/>
    </row>
    <row r="29" spans="1:19" ht="23.25">
      <c r="A29" s="392" t="s">
        <v>60</v>
      </c>
      <c r="B29" s="387"/>
      <c r="C29" s="387"/>
      <c r="D29" s="387"/>
      <c r="E29" s="387"/>
      <c r="F29" s="387"/>
      <c r="G29" s="387"/>
      <c r="H29" s="387"/>
      <c r="I29" s="387"/>
      <c r="J29" s="25"/>
      <c r="K29" s="25"/>
      <c r="L29" s="25"/>
      <c r="M29" s="25"/>
      <c r="N29" s="25"/>
      <c r="O29" s="25"/>
      <c r="P29" s="13"/>
    </row>
    <row r="30" spans="1:19" ht="29.25">
      <c r="A30" s="387" t="s">
        <v>61</v>
      </c>
      <c r="B30" s="387"/>
      <c r="C30" s="387"/>
      <c r="D30" s="387"/>
      <c r="E30" s="387"/>
      <c r="F30" s="387"/>
      <c r="G30" s="387"/>
      <c r="H30" s="387"/>
      <c r="I30" s="387"/>
      <c r="J30" s="23"/>
      <c r="K30" s="385" t="s">
        <v>126</v>
      </c>
      <c r="L30" s="385"/>
      <c r="M30" s="74"/>
      <c r="N30" s="385" t="str">
        <f>K30</f>
        <v>ថ្ងៃទី 15 ខែ សីហា ឆ្នាំ2026</v>
      </c>
      <c r="O30" s="385"/>
      <c r="P30" s="13"/>
    </row>
    <row r="31" spans="1:19" ht="18.75">
      <c r="A31" s="45" t="s">
        <v>62</v>
      </c>
      <c r="B31" s="9"/>
      <c r="C31" s="12"/>
      <c r="D31" s="12"/>
      <c r="E31" s="12"/>
      <c r="F31" s="12"/>
      <c r="G31" s="12"/>
      <c r="H31" s="12"/>
      <c r="I31" s="12"/>
      <c r="J31" s="25" t="s">
        <v>54</v>
      </c>
      <c r="K31" s="383" t="s">
        <v>128</v>
      </c>
      <c r="L31" s="383"/>
      <c r="M31" s="304"/>
      <c r="N31" s="383" t="s">
        <v>128</v>
      </c>
      <c r="O31" s="383"/>
      <c r="P31" s="13"/>
    </row>
    <row r="32" spans="1:19" ht="29.25">
      <c r="A32" s="11" t="s">
        <v>10</v>
      </c>
      <c r="B32" s="11"/>
      <c r="C32" s="12"/>
      <c r="D32" s="12"/>
      <c r="E32" s="12"/>
      <c r="F32" s="12"/>
      <c r="G32" s="12"/>
      <c r="H32" s="12"/>
      <c r="I32" s="12"/>
      <c r="J32" s="25"/>
      <c r="K32" s="384" t="s">
        <v>11</v>
      </c>
      <c r="L32" s="384"/>
      <c r="M32" s="304"/>
      <c r="N32" s="385" t="s">
        <v>12</v>
      </c>
      <c r="O32" s="386"/>
      <c r="P32" s="13"/>
    </row>
    <row r="33" spans="1:16" ht="24.75">
      <c r="A33" s="11" t="s">
        <v>63</v>
      </c>
      <c r="B33" s="11"/>
      <c r="C33" s="12"/>
      <c r="D33" s="12"/>
      <c r="E33" s="12"/>
      <c r="F33" s="12"/>
      <c r="G33" s="12"/>
      <c r="H33" s="12"/>
      <c r="I33" s="12"/>
      <c r="J33" s="25"/>
      <c r="K33" s="87"/>
      <c r="L33" s="87"/>
      <c r="M33" s="304"/>
      <c r="N33" s="303"/>
      <c r="O33" s="304"/>
      <c r="P33" s="13"/>
    </row>
    <row r="34" spans="1:16" ht="23.25">
      <c r="A34" s="387" t="s">
        <v>64</v>
      </c>
      <c r="B34" s="387"/>
      <c r="C34" s="387"/>
      <c r="D34" s="387"/>
      <c r="E34" s="387"/>
      <c r="F34" s="387"/>
      <c r="G34" s="387"/>
      <c r="H34" s="387"/>
      <c r="I34" s="387"/>
      <c r="J34" s="25"/>
      <c r="K34" s="388" t="s">
        <v>13</v>
      </c>
      <c r="L34" s="389"/>
      <c r="M34" s="304"/>
      <c r="N34" s="389" t="s">
        <v>14</v>
      </c>
      <c r="O34" s="389"/>
      <c r="P34" s="13"/>
    </row>
    <row r="35" spans="1:16" ht="23.25">
      <c r="A35" s="24" t="s">
        <v>65</v>
      </c>
      <c r="B35" s="24"/>
      <c r="C35" s="7"/>
      <c r="D35" s="7"/>
      <c r="E35" s="302"/>
      <c r="F35" s="302"/>
      <c r="G35" s="302"/>
      <c r="H35" s="302"/>
      <c r="I35" s="302"/>
      <c r="J35" s="25"/>
      <c r="K35" s="304"/>
      <c r="L35" s="304"/>
      <c r="M35" s="304"/>
      <c r="N35" s="304"/>
      <c r="O35" s="304"/>
      <c r="P35" s="13"/>
    </row>
    <row r="36" spans="1:16" s="46" customFormat="1" ht="20.100000000000001" customHeight="1">
      <c r="A36" s="46" t="s">
        <v>66</v>
      </c>
      <c r="H36" s="12"/>
      <c r="I36" s="12"/>
      <c r="J36" s="25"/>
      <c r="K36" s="304"/>
      <c r="L36" s="304"/>
      <c r="M36" s="304"/>
      <c r="N36" s="304"/>
      <c r="O36" s="304"/>
      <c r="P36" s="24"/>
    </row>
    <row r="37" spans="1:16" ht="23.25">
      <c r="A37" s="393" t="s">
        <v>67</v>
      </c>
      <c r="B37" s="393"/>
      <c r="C37" s="393"/>
      <c r="D37" s="393"/>
      <c r="E37" s="393"/>
      <c r="F37" s="393"/>
      <c r="G37" s="393"/>
      <c r="H37" s="12"/>
      <c r="I37" s="12"/>
      <c r="J37" s="25"/>
      <c r="K37" s="304"/>
      <c r="L37" s="304"/>
      <c r="M37" s="304"/>
      <c r="N37" s="304"/>
      <c r="O37" s="304"/>
      <c r="P37" s="13"/>
    </row>
    <row r="38" spans="1:16" ht="23.25">
      <c r="A38" s="305"/>
      <c r="B38" s="305"/>
      <c r="C38" s="305"/>
      <c r="D38" s="305"/>
      <c r="E38" s="305"/>
      <c r="F38" s="305"/>
      <c r="G38" s="305"/>
      <c r="H38" s="12"/>
      <c r="I38" s="12"/>
      <c r="J38" s="25"/>
      <c r="K38" s="304"/>
      <c r="L38" s="304"/>
      <c r="M38" s="304"/>
      <c r="N38" s="304"/>
      <c r="O38" s="304"/>
      <c r="P38" s="13"/>
    </row>
    <row r="39" spans="1:16" ht="23.25">
      <c r="A39" s="305"/>
      <c r="B39" s="305"/>
      <c r="C39" s="305"/>
      <c r="D39" s="305"/>
      <c r="E39" s="305"/>
      <c r="F39" s="305"/>
      <c r="G39" s="305"/>
      <c r="H39" s="12"/>
      <c r="I39" s="12"/>
      <c r="J39" s="25"/>
      <c r="K39" s="304"/>
      <c r="L39" s="304"/>
      <c r="M39" s="304"/>
      <c r="N39" s="304"/>
      <c r="O39" s="304"/>
      <c r="P39" s="13"/>
    </row>
    <row r="40" spans="1:16" ht="23.25">
      <c r="A40" s="13"/>
      <c r="B40" s="305"/>
      <c r="C40" s="25"/>
      <c r="D40" s="25"/>
      <c r="E40" s="25"/>
      <c r="F40" s="25"/>
      <c r="G40" s="25"/>
      <c r="H40" s="25"/>
      <c r="I40" s="25"/>
      <c r="J40" s="25"/>
      <c r="K40" s="304"/>
      <c r="L40" s="304"/>
      <c r="M40" s="304"/>
      <c r="N40" s="304"/>
      <c r="O40" s="304"/>
      <c r="P40" s="13"/>
    </row>
    <row r="41" spans="1:16" ht="18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394" t="s">
        <v>113</v>
      </c>
      <c r="L41" s="394"/>
      <c r="M41" s="77"/>
      <c r="N41" s="395" t="s">
        <v>127</v>
      </c>
      <c r="O41" s="395"/>
      <c r="P41" s="13"/>
    </row>
    <row r="42" spans="1:16" ht="36.75">
      <c r="A42" s="13"/>
      <c r="B42" s="396" t="s">
        <v>96</v>
      </c>
      <c r="C42" s="396"/>
      <c r="D42" s="396"/>
      <c r="E42" s="396"/>
      <c r="F42" s="396"/>
      <c r="G42" s="396"/>
      <c r="H42" s="396"/>
      <c r="I42" s="396"/>
      <c r="J42" s="13"/>
      <c r="K42" s="13"/>
      <c r="L42" s="13"/>
      <c r="M42" s="13"/>
      <c r="N42" s="13"/>
      <c r="O42" s="13"/>
      <c r="P42" s="13"/>
    </row>
    <row r="43" spans="1:16" ht="33">
      <c r="A43" s="397" t="s">
        <v>68</v>
      </c>
      <c r="B43" s="397"/>
      <c r="C43" s="397"/>
      <c r="D43" s="397"/>
      <c r="E43" s="397"/>
      <c r="F43" s="397"/>
      <c r="G43" s="397"/>
      <c r="H43" s="397"/>
      <c r="I43" s="397"/>
      <c r="J43" s="62" t="str">
        <f>I6</f>
        <v>សីហា</v>
      </c>
      <c r="K43" s="88" t="s">
        <v>97</v>
      </c>
      <c r="L43" s="26"/>
      <c r="M43" s="26"/>
      <c r="N43" s="26"/>
      <c r="O43" s="26"/>
      <c r="P43" s="26"/>
    </row>
    <row r="44" spans="1:16" ht="33">
      <c r="A44" s="399" t="s">
        <v>15</v>
      </c>
      <c r="B44" s="399" t="s">
        <v>16</v>
      </c>
      <c r="C44" s="399"/>
      <c r="D44" s="400" t="s">
        <v>17</v>
      </c>
      <c r="E44" s="401" t="s">
        <v>70</v>
      </c>
      <c r="F44" s="402"/>
      <c r="G44" s="402"/>
      <c r="H44" s="402"/>
      <c r="I44" s="402"/>
      <c r="J44" s="402"/>
      <c r="K44" s="402"/>
      <c r="L44" s="402"/>
      <c r="M44" s="402"/>
      <c r="N44" s="402"/>
      <c r="O44" s="403" t="s">
        <v>23</v>
      </c>
      <c r="P44" s="404"/>
    </row>
    <row r="45" spans="1:16" ht="28.15" customHeight="1">
      <c r="A45" s="399"/>
      <c r="B45" s="399"/>
      <c r="C45" s="399"/>
      <c r="D45" s="400"/>
      <c r="E45" s="398" t="s">
        <v>18</v>
      </c>
      <c r="F45" s="399"/>
      <c r="G45" s="399" t="s">
        <v>19</v>
      </c>
      <c r="H45" s="399"/>
      <c r="I45" s="399" t="s">
        <v>20</v>
      </c>
      <c r="J45" s="399"/>
      <c r="K45" s="399" t="s">
        <v>21</v>
      </c>
      <c r="L45" s="399"/>
      <c r="M45" s="399" t="s">
        <v>22</v>
      </c>
      <c r="N45" s="407"/>
      <c r="O45" s="405"/>
      <c r="P45" s="406"/>
    </row>
    <row r="46" spans="1:16" ht="29.25">
      <c r="A46" s="399"/>
      <c r="B46" s="399"/>
      <c r="C46" s="399"/>
      <c r="D46" s="400"/>
      <c r="E46" s="310" t="s">
        <v>24</v>
      </c>
      <c r="F46" s="308" t="s">
        <v>25</v>
      </c>
      <c r="G46" s="308" t="s">
        <v>24</v>
      </c>
      <c r="H46" s="308" t="s">
        <v>25</v>
      </c>
      <c r="I46" s="308" t="s">
        <v>24</v>
      </c>
      <c r="J46" s="308" t="s">
        <v>25</v>
      </c>
      <c r="K46" s="308" t="s">
        <v>24</v>
      </c>
      <c r="L46" s="308" t="s">
        <v>25</v>
      </c>
      <c r="M46" s="308" t="s">
        <v>24</v>
      </c>
      <c r="N46" s="308" t="s">
        <v>25</v>
      </c>
      <c r="O46" s="308" t="s">
        <v>24</v>
      </c>
      <c r="P46" s="308" t="s">
        <v>25</v>
      </c>
    </row>
    <row r="47" spans="1:16" ht="25.15" customHeight="1">
      <c r="A47" s="27">
        <v>1</v>
      </c>
      <c r="B47" s="145" t="str">
        <f t="shared" ref="B47:C54" si="2">A20</f>
        <v>LADIES</v>
      </c>
      <c r="C47" s="146" t="str">
        <f t="shared" si="2"/>
        <v>PANTS</v>
      </c>
      <c r="D47" s="42" t="s">
        <v>8</v>
      </c>
      <c r="E47" s="148">
        <v>26427</v>
      </c>
      <c r="F47" s="148">
        <f>ROUND(E47*2.25345562101368,2)</f>
        <v>59552.07</v>
      </c>
      <c r="G47" s="144">
        <v>12675</v>
      </c>
      <c r="H47" s="17">
        <f>ROUND(G47*2.25345562101368,2)</f>
        <v>28562.55</v>
      </c>
      <c r="I47" s="31"/>
      <c r="J47" s="31"/>
      <c r="K47" s="31"/>
      <c r="L47" s="17"/>
      <c r="M47" s="31">
        <v>1976</v>
      </c>
      <c r="N47" s="17">
        <f>ROUND(M47*2.25345562101368,2)</f>
        <v>4452.83</v>
      </c>
      <c r="O47" s="44">
        <f>M20</f>
        <v>415333</v>
      </c>
      <c r="P47" s="44">
        <f t="shared" ref="P47:P53" si="3">O20</f>
        <v>799067.27999999991</v>
      </c>
    </row>
    <row r="48" spans="1:16" ht="25.15" customHeight="1">
      <c r="A48" s="27">
        <v>2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>
        <v>7908</v>
      </c>
      <c r="F48" s="17">
        <f>ROUND(E48*1.38028200537153,2)</f>
        <v>10915.27</v>
      </c>
      <c r="G48" s="144">
        <v>5496</v>
      </c>
      <c r="H48" s="17">
        <f>ROUND(G48*1.38028200537153,2)</f>
        <v>7586.03</v>
      </c>
      <c r="I48" s="34"/>
      <c r="J48" s="34"/>
      <c r="K48" s="31"/>
      <c r="L48" s="17"/>
      <c r="M48" s="31"/>
      <c r="N48" s="17"/>
      <c r="O48" s="44">
        <f t="shared" ref="O48:O53" si="4">M21</f>
        <v>23698</v>
      </c>
      <c r="P48" s="44">
        <f t="shared" si="3"/>
        <v>344904.25999999995</v>
      </c>
    </row>
    <row r="49" spans="1:20" ht="25.15" customHeight="1">
      <c r="A49" s="27">
        <v>3</v>
      </c>
      <c r="B49" s="145" t="str">
        <f t="shared" si="2"/>
        <v>LADIES</v>
      </c>
      <c r="C49" s="146" t="str">
        <f t="shared" si="2"/>
        <v>SKIRT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si="4"/>
        <v>81280</v>
      </c>
      <c r="P49" s="44">
        <f t="shared" si="3"/>
        <v>2855</v>
      </c>
    </row>
    <row r="50" spans="1:20" ht="25.15" customHeight="1">
      <c r="A50" s="27">
        <v>4</v>
      </c>
      <c r="B50" s="145" t="str">
        <f t="shared" si="2"/>
        <v>LADIES</v>
      </c>
      <c r="C50" s="146" t="str">
        <f t="shared" si="2"/>
        <v>DRESS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4"/>
        <v>576</v>
      </c>
      <c r="P50" s="44">
        <f t="shared" si="3"/>
        <v>267740.36</v>
      </c>
    </row>
    <row r="51" spans="1:20" ht="25.15" customHeight="1">
      <c r="A51" s="27">
        <v>5</v>
      </c>
      <c r="B51" s="145" t="str">
        <f t="shared" si="2"/>
        <v>LADIES</v>
      </c>
      <c r="C51" s="146" t="str">
        <f t="shared" si="2"/>
        <v>NIGHT GOWN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4"/>
        <v>3396</v>
      </c>
      <c r="P51" s="44">
        <f t="shared" si="3"/>
        <v>1532.16</v>
      </c>
    </row>
    <row r="52" spans="1:20" ht="25.15" customHeight="1">
      <c r="A52" s="27">
        <v>6</v>
      </c>
      <c r="B52" s="145" t="str">
        <f t="shared" si="2"/>
        <v>LADIES</v>
      </c>
      <c r="C52" s="146" t="str">
        <f t="shared" si="2"/>
        <v>TANK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4"/>
        <v>1848</v>
      </c>
      <c r="P52" s="44">
        <f t="shared" si="3"/>
        <v>2272.8000000000002</v>
      </c>
    </row>
    <row r="53" spans="1:20" ht="25.15" customHeight="1">
      <c r="A53" s="27">
        <v>7</v>
      </c>
      <c r="B53" s="145" t="str">
        <f t="shared" si="2"/>
        <v>LADIES</v>
      </c>
      <c r="C53" s="146" t="str">
        <f t="shared" si="2"/>
        <v>SHORT</v>
      </c>
      <c r="D53" s="42" t="s">
        <v>8</v>
      </c>
      <c r="E53" s="31"/>
      <c r="F53" s="17"/>
      <c r="G53" s="38"/>
      <c r="H53" s="34"/>
      <c r="I53" s="31"/>
      <c r="J53" s="31"/>
      <c r="K53" s="31"/>
      <c r="L53" s="17"/>
      <c r="M53" s="31"/>
      <c r="N53" s="17"/>
      <c r="O53" s="44">
        <f t="shared" si="4"/>
        <v>565651</v>
      </c>
      <c r="P53" s="44">
        <f t="shared" si="3"/>
        <v>2605.6799999999998</v>
      </c>
    </row>
    <row r="54" spans="1:20" ht="25.15" customHeight="1" thickBot="1">
      <c r="A54" s="27">
        <v>8</v>
      </c>
      <c r="B54" s="145" t="str">
        <f t="shared" si="2"/>
        <v>LADIES</v>
      </c>
      <c r="C54" s="146" t="str">
        <f t="shared" si="2"/>
        <v>SKORT</v>
      </c>
      <c r="D54" s="42" t="s">
        <v>8</v>
      </c>
      <c r="E54" s="31"/>
      <c r="F54" s="17"/>
      <c r="G54" s="38"/>
      <c r="H54" s="34"/>
      <c r="I54" s="31"/>
      <c r="J54" s="31"/>
      <c r="K54" s="31"/>
      <c r="L54" s="17"/>
      <c r="M54" s="31"/>
      <c r="N54" s="17"/>
      <c r="O54" s="326">
        <v>1000</v>
      </c>
      <c r="P54" s="327">
        <v>1950</v>
      </c>
    </row>
    <row r="55" spans="1:20" s="96" customFormat="1" ht="26.25" thickBot="1">
      <c r="A55" s="111"/>
      <c r="B55" s="408" t="s">
        <v>26</v>
      </c>
      <c r="C55" s="408"/>
      <c r="D55" s="306"/>
      <c r="E55" s="328">
        <f t="shared" ref="E55:N55" si="5">SUM(E47:E53)</f>
        <v>34335</v>
      </c>
      <c r="F55" s="328">
        <f t="shared" si="5"/>
        <v>70467.34</v>
      </c>
      <c r="G55" s="328">
        <f t="shared" si="5"/>
        <v>18171</v>
      </c>
      <c r="H55" s="328">
        <f t="shared" si="5"/>
        <v>36148.58</v>
      </c>
      <c r="I55" s="328">
        <f t="shared" si="5"/>
        <v>0</v>
      </c>
      <c r="J55" s="328">
        <f t="shared" si="5"/>
        <v>0</v>
      </c>
      <c r="K55" s="328">
        <f t="shared" si="5"/>
        <v>0</v>
      </c>
      <c r="L55" s="328">
        <f t="shared" si="5"/>
        <v>0</v>
      </c>
      <c r="M55" s="328">
        <f t="shared" si="5"/>
        <v>1976</v>
      </c>
      <c r="N55" s="328">
        <f t="shared" si="5"/>
        <v>4452.83</v>
      </c>
      <c r="O55" s="114">
        <f>SUM(O47:O54)</f>
        <v>1092782</v>
      </c>
      <c r="P55" s="114">
        <f>SUM(P47:P54)</f>
        <v>1422927.5399999998</v>
      </c>
    </row>
    <row r="56" spans="1:20" ht="23.25">
      <c r="A56" s="94"/>
      <c r="B56" s="43"/>
      <c r="C56" s="43"/>
      <c r="D56" s="43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100"/>
      <c r="P56" s="101"/>
    </row>
    <row r="57" spans="1:20" ht="33">
      <c r="A57" s="397" t="s">
        <v>27</v>
      </c>
      <c r="B57" s="397"/>
      <c r="C57" s="397"/>
      <c r="D57" s="397"/>
      <c r="E57" s="397"/>
      <c r="F57" s="397"/>
      <c r="G57" s="397"/>
      <c r="H57" s="397"/>
      <c r="I57" s="397"/>
      <c r="J57" s="62" t="str">
        <f>$I$6</f>
        <v>សីហា</v>
      </c>
      <c r="K57" s="63" t="str">
        <f>$K$43</f>
        <v>ឆ្នាំ២០២៦ (USD)</v>
      </c>
      <c r="L57" s="26"/>
      <c r="M57" s="26"/>
      <c r="N57" s="26"/>
      <c r="O57" s="26"/>
      <c r="P57" s="26"/>
    </row>
    <row r="58" spans="1:20" ht="33">
      <c r="A58" s="399" t="s">
        <v>15</v>
      </c>
      <c r="B58" s="399" t="s">
        <v>28</v>
      </c>
      <c r="C58" s="399"/>
      <c r="D58" s="400" t="s">
        <v>17</v>
      </c>
      <c r="E58" s="402" t="s">
        <v>88</v>
      </c>
      <c r="F58" s="402"/>
      <c r="G58" s="402"/>
      <c r="H58" s="402"/>
      <c r="I58" s="402"/>
      <c r="J58" s="402"/>
      <c r="K58" s="402"/>
      <c r="L58" s="402"/>
      <c r="M58" s="402"/>
      <c r="N58" s="402"/>
      <c r="O58" s="403" t="s">
        <v>23</v>
      </c>
      <c r="P58" s="404"/>
    </row>
    <row r="59" spans="1:20" s="71" customFormat="1" ht="28.15" customHeight="1">
      <c r="A59" s="399"/>
      <c r="B59" s="399"/>
      <c r="C59" s="399"/>
      <c r="D59" s="400"/>
      <c r="E59" s="398" t="s">
        <v>29</v>
      </c>
      <c r="F59" s="399"/>
      <c r="G59" s="399" t="s">
        <v>30</v>
      </c>
      <c r="H59" s="399"/>
      <c r="I59" s="399" t="s">
        <v>31</v>
      </c>
      <c r="J59" s="399"/>
      <c r="K59" s="399" t="s">
        <v>32</v>
      </c>
      <c r="L59" s="399"/>
      <c r="M59" s="399" t="s">
        <v>22</v>
      </c>
      <c r="N59" s="407"/>
      <c r="O59" s="405"/>
      <c r="P59" s="406"/>
    </row>
    <row r="60" spans="1:20" s="71" customFormat="1" ht="29.25">
      <c r="A60" s="399"/>
      <c r="B60" s="399"/>
      <c r="C60" s="399"/>
      <c r="D60" s="400"/>
      <c r="E60" s="310" t="s">
        <v>24</v>
      </c>
      <c r="F60" s="308" t="s">
        <v>25</v>
      </c>
      <c r="G60" s="66" t="s">
        <v>24</v>
      </c>
      <c r="H60" s="308" t="s">
        <v>25</v>
      </c>
      <c r="I60" s="308" t="s">
        <v>24</v>
      </c>
      <c r="J60" s="308" t="s">
        <v>25</v>
      </c>
      <c r="K60" s="308" t="s">
        <v>24</v>
      </c>
      <c r="L60" s="308" t="s">
        <v>25</v>
      </c>
      <c r="M60" s="308" t="s">
        <v>24</v>
      </c>
      <c r="N60" s="308" t="s">
        <v>25</v>
      </c>
      <c r="O60" s="308" t="s">
        <v>24</v>
      </c>
      <c r="P60" s="308" t="s">
        <v>25</v>
      </c>
    </row>
    <row r="61" spans="1:20" ht="44.45" customHeight="1">
      <c r="A61" s="32">
        <v>1</v>
      </c>
      <c r="B61" s="410" t="s">
        <v>55</v>
      </c>
      <c r="C61" s="411"/>
      <c r="D61" s="42" t="s">
        <v>124</v>
      </c>
      <c r="E61" s="33">
        <v>1</v>
      </c>
      <c r="F61" s="33">
        <v>11000</v>
      </c>
      <c r="G61" s="33"/>
      <c r="H61" s="33"/>
      <c r="I61" s="126"/>
      <c r="J61" s="34"/>
      <c r="K61" s="34"/>
      <c r="L61" s="34"/>
      <c r="M61" s="33"/>
      <c r="N61" s="33"/>
      <c r="O61" s="34">
        <f>E61</f>
        <v>1</v>
      </c>
      <c r="P61" s="34">
        <f>F61</f>
        <v>11000</v>
      </c>
      <c r="Q61" s="19">
        <f t="shared" ref="Q61:R63" si="6">E61+G61+I61+K61+M61</f>
        <v>1</v>
      </c>
      <c r="R61" s="19">
        <f t="shared" si="6"/>
        <v>11000</v>
      </c>
      <c r="S61" s="130">
        <f>Q61+O61</f>
        <v>2</v>
      </c>
      <c r="T61" s="131">
        <f>R61+P61</f>
        <v>22000</v>
      </c>
    </row>
    <row r="62" spans="1:20" ht="31.15" customHeight="1">
      <c r="A62" s="32">
        <v>3</v>
      </c>
      <c r="B62" s="412" t="s">
        <v>33</v>
      </c>
      <c r="C62" s="413"/>
      <c r="D62" s="42" t="s">
        <v>111</v>
      </c>
      <c r="E62" s="34">
        <v>39071.9</v>
      </c>
      <c r="F62" s="34">
        <v>39071.9</v>
      </c>
      <c r="G62" s="33"/>
      <c r="H62" s="33"/>
      <c r="I62" s="126"/>
      <c r="J62" s="34"/>
      <c r="K62" s="34"/>
      <c r="L62" s="34"/>
      <c r="M62" s="33"/>
      <c r="N62" s="33"/>
      <c r="O62" s="34">
        <f>E62+'7-JUL'!O62</f>
        <v>659034.00000000012</v>
      </c>
      <c r="P62" s="34">
        <f>F62+'7-JUL'!P62</f>
        <v>651848.20000000007</v>
      </c>
      <c r="Q62" s="19">
        <f t="shared" si="6"/>
        <v>39071.9</v>
      </c>
      <c r="R62" s="19">
        <f t="shared" si="6"/>
        <v>39071.9</v>
      </c>
      <c r="S62" s="132">
        <f t="shared" ref="S62:T63" si="7">Q62+O62</f>
        <v>698105.90000000014</v>
      </c>
      <c r="T62" s="133">
        <f t="shared" si="7"/>
        <v>690920.10000000009</v>
      </c>
    </row>
    <row r="63" spans="1:20" ht="31.15" customHeight="1" thickBot="1">
      <c r="A63" s="104">
        <v>4</v>
      </c>
      <c r="B63" s="414" t="s">
        <v>34</v>
      </c>
      <c r="C63" s="414"/>
      <c r="D63" s="53" t="s">
        <v>112</v>
      </c>
      <c r="E63" s="127"/>
      <c r="F63" s="116"/>
      <c r="G63" s="116"/>
      <c r="H63" s="116"/>
      <c r="I63" s="116"/>
      <c r="J63" s="116"/>
      <c r="K63" s="117"/>
      <c r="L63" s="117"/>
      <c r="M63" s="116"/>
      <c r="N63" s="116"/>
      <c r="O63" s="34">
        <f>E63+'7-JUL'!O63</f>
        <v>27637</v>
      </c>
      <c r="P63" s="34">
        <f>F63+'7-JUL'!P63</f>
        <v>6588.45</v>
      </c>
      <c r="Q63" s="19">
        <f t="shared" si="6"/>
        <v>0</v>
      </c>
      <c r="R63" s="19">
        <f t="shared" si="6"/>
        <v>0</v>
      </c>
      <c r="S63" s="134">
        <f t="shared" si="7"/>
        <v>27637</v>
      </c>
      <c r="T63" s="135">
        <f t="shared" si="7"/>
        <v>6588.45</v>
      </c>
    </row>
    <row r="64" spans="1:20" s="95" customFormat="1" ht="26.25" thickBot="1">
      <c r="A64" s="136"/>
      <c r="B64" s="408" t="s">
        <v>26</v>
      </c>
      <c r="C64" s="408"/>
      <c r="D64" s="137"/>
      <c r="E64" s="103">
        <f t="shared" ref="E64:O64" si="8">SUM(E61:E63)</f>
        <v>39072.9</v>
      </c>
      <c r="F64" s="103">
        <f t="shared" si="8"/>
        <v>50071.9</v>
      </c>
      <c r="G64" s="103">
        <f t="shared" si="8"/>
        <v>0</v>
      </c>
      <c r="H64" s="103">
        <f t="shared" si="8"/>
        <v>0</v>
      </c>
      <c r="I64" s="103">
        <f t="shared" si="8"/>
        <v>0</v>
      </c>
      <c r="J64" s="103">
        <f t="shared" si="8"/>
        <v>0</v>
      </c>
      <c r="K64" s="103">
        <f t="shared" si="8"/>
        <v>0</v>
      </c>
      <c r="L64" s="103">
        <f t="shared" si="8"/>
        <v>0</v>
      </c>
      <c r="M64" s="103">
        <f t="shared" si="8"/>
        <v>0</v>
      </c>
      <c r="N64" s="103">
        <f t="shared" si="8"/>
        <v>0</v>
      </c>
      <c r="O64" s="103">
        <f t="shared" si="8"/>
        <v>686672.00000000012</v>
      </c>
      <c r="P64" s="103">
        <f>SUM(P61:P63)</f>
        <v>669436.65</v>
      </c>
    </row>
    <row r="65" spans="1:18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9.25">
      <c r="A66" s="13"/>
      <c r="B66" s="305" t="str">
        <f>A37</f>
        <v>ទំនាក់ទំនង : Tel 077 330 279/090 922 237  E-mail : industryaffair.mih@gmail.com : TELEGRAM :077 330 279</v>
      </c>
      <c r="C66" s="35"/>
      <c r="D66" s="35"/>
      <c r="E66" s="35"/>
      <c r="F66" s="35"/>
      <c r="G66" s="35"/>
      <c r="H66" s="35"/>
      <c r="I66" s="35"/>
      <c r="J66" s="35"/>
      <c r="K66" s="386" t="str">
        <f>K30</f>
        <v>ថ្ងៃទី 15 ខែ សីហា ឆ្នាំ2026</v>
      </c>
      <c r="L66" s="386"/>
      <c r="M66" s="69"/>
      <c r="N66" s="386" t="str">
        <f>N30</f>
        <v>ថ្ងៃទី 15 ខែ សីហា ឆ្នាំ2026</v>
      </c>
      <c r="O66" s="386"/>
      <c r="P66" s="35"/>
    </row>
    <row r="67" spans="1:18" ht="29.25">
      <c r="A67" s="13"/>
      <c r="B67" s="36"/>
      <c r="C67" s="13"/>
      <c r="D67" s="13"/>
      <c r="E67" s="13"/>
      <c r="F67" s="13"/>
      <c r="G67" s="13"/>
      <c r="H67" s="13"/>
      <c r="I67" s="13"/>
      <c r="J67" s="13"/>
      <c r="K67" s="409" t="str">
        <f>K31</f>
        <v>Date:……./……../……</v>
      </c>
      <c r="L67" s="409"/>
      <c r="M67" s="80"/>
      <c r="N67" s="409" t="str">
        <f>N31</f>
        <v>Date:……./……../……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409" t="str">
        <f>K32</f>
        <v>នាយក</v>
      </c>
      <c r="L68" s="409"/>
      <c r="M68" s="80"/>
      <c r="N68" s="409" t="str">
        <f>N32</f>
        <v>អ្នកធ្វើរបាយការណ៍</v>
      </c>
      <c r="O68" s="409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409" t="str">
        <f>K34</f>
        <v>Director</v>
      </c>
      <c r="L69" s="409"/>
      <c r="M69" s="80"/>
      <c r="N69" s="409" t="str">
        <f>N34</f>
        <v>Reportor</v>
      </c>
      <c r="O69" s="409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80"/>
      <c r="L73" s="80"/>
      <c r="M73" s="80"/>
      <c r="N73" s="80"/>
      <c r="O73" s="80"/>
      <c r="P73" s="13"/>
    </row>
    <row r="74" spans="1:18" ht="29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80"/>
      <c r="L74" s="80"/>
      <c r="M74" s="80"/>
      <c r="N74" s="80"/>
      <c r="O74" s="80"/>
      <c r="P74" s="13"/>
    </row>
    <row r="75" spans="1:18" ht="29.25">
      <c r="A75" s="37"/>
      <c r="B75" s="13"/>
      <c r="C75" s="13"/>
      <c r="D75" s="13"/>
      <c r="E75" s="13"/>
      <c r="F75" s="13"/>
      <c r="G75" s="13"/>
      <c r="H75" s="13"/>
      <c r="I75" s="13"/>
      <c r="J75" s="13"/>
      <c r="K75" s="420" t="str">
        <f>K41</f>
        <v>NI, CUNLAN</v>
      </c>
      <c r="L75" s="420"/>
      <c r="M75" s="80"/>
      <c r="N75" s="420" t="str">
        <f>N41</f>
        <v>THNIN</v>
      </c>
      <c r="O75" s="420"/>
      <c r="P75" s="13"/>
    </row>
    <row r="76" spans="1:18" ht="36.75">
      <c r="A76" s="13"/>
      <c r="B76" s="396" t="s">
        <v>96</v>
      </c>
      <c r="C76" s="396"/>
      <c r="D76" s="396"/>
      <c r="E76" s="396"/>
      <c r="F76" s="396"/>
      <c r="G76" s="396"/>
      <c r="H76" s="396"/>
      <c r="I76" s="396"/>
      <c r="J76" s="396"/>
      <c r="K76" s="396"/>
      <c r="L76" s="13"/>
      <c r="M76" s="13"/>
      <c r="N76" s="13"/>
      <c r="O76" s="13"/>
      <c r="P76" s="13"/>
    </row>
    <row r="77" spans="1:18" ht="33">
      <c r="A77" s="13"/>
      <c r="B77" s="421" t="s">
        <v>35</v>
      </c>
      <c r="C77" s="421"/>
      <c r="D77" s="421"/>
      <c r="E77" s="421"/>
      <c r="F77" s="421"/>
      <c r="G77" s="421"/>
      <c r="H77" s="421"/>
      <c r="I77" s="421"/>
      <c r="J77" s="89" t="str">
        <f>$I$6</f>
        <v>សីហា</v>
      </c>
      <c r="K77" s="90" t="str">
        <f>$K$43</f>
        <v>ឆ្នាំ២០២៦ (USD)</v>
      </c>
      <c r="L77" s="13"/>
      <c r="M77" s="13"/>
      <c r="N77" s="13"/>
      <c r="O77" s="13"/>
      <c r="P77" s="13"/>
    </row>
    <row r="78" spans="1:18" s="71" customFormat="1" ht="29.25">
      <c r="A78" s="415" t="s">
        <v>15</v>
      </c>
      <c r="B78" s="415" t="s">
        <v>36</v>
      </c>
      <c r="C78" s="415"/>
      <c r="D78" s="415"/>
      <c r="E78" s="416" t="s">
        <v>17</v>
      </c>
      <c r="F78" s="416"/>
      <c r="G78" s="415" t="s">
        <v>37</v>
      </c>
      <c r="H78" s="415"/>
      <c r="I78" s="415" t="s">
        <v>38</v>
      </c>
      <c r="J78" s="415"/>
      <c r="K78" s="418" t="s">
        <v>23</v>
      </c>
      <c r="L78" s="418"/>
      <c r="M78" s="418"/>
      <c r="N78" s="419"/>
      <c r="O78" s="424" t="s">
        <v>22</v>
      </c>
      <c r="P78" s="425"/>
    </row>
    <row r="79" spans="1:18" s="71" customFormat="1" ht="29.25">
      <c r="A79" s="415"/>
      <c r="B79" s="415"/>
      <c r="C79" s="415"/>
      <c r="D79" s="415"/>
      <c r="E79" s="417"/>
      <c r="F79" s="417"/>
      <c r="G79" s="308" t="s">
        <v>24</v>
      </c>
      <c r="H79" s="308" t="s">
        <v>89</v>
      </c>
      <c r="I79" s="308" t="s">
        <v>24</v>
      </c>
      <c r="J79" s="308" t="s">
        <v>89</v>
      </c>
      <c r="K79" s="428" t="s">
        <v>24</v>
      </c>
      <c r="L79" s="419"/>
      <c r="M79" s="429" t="s">
        <v>90</v>
      </c>
      <c r="N79" s="430"/>
      <c r="O79" s="426"/>
      <c r="P79" s="427"/>
    </row>
    <row r="80" spans="1:18" s="70" customFormat="1" ht="26.25" thickBot="1">
      <c r="A80" s="311">
        <v>1</v>
      </c>
      <c r="B80" s="431" t="s">
        <v>39</v>
      </c>
      <c r="C80" s="432"/>
      <c r="D80" s="433"/>
      <c r="E80" s="434" t="s">
        <v>40</v>
      </c>
      <c r="F80" s="434"/>
      <c r="G80" s="119"/>
      <c r="H80" s="119"/>
      <c r="I80" s="120">
        <v>11368</v>
      </c>
      <c r="J80" s="120">
        <f>0.137*I80</f>
        <v>1557.4160000000002</v>
      </c>
      <c r="K80" s="435">
        <f>I80+'7-JUL'!K81:L81</f>
        <v>90944</v>
      </c>
      <c r="L80" s="436"/>
      <c r="M80" s="435">
        <f>J80+'7-JUL'!M81:N81</f>
        <v>12459.328000000001</v>
      </c>
      <c r="N80" s="436"/>
      <c r="O80" s="437"/>
      <c r="P80" s="438"/>
      <c r="Q80" s="92">
        <f>K80+I80</f>
        <v>102312</v>
      </c>
      <c r="R80" s="93">
        <f>M80+J80</f>
        <v>14016.744000000002</v>
      </c>
    </row>
    <row r="81" spans="1:18" s="70" customFormat="1" ht="31.5" customHeight="1" thickBot="1">
      <c r="A81" s="121"/>
      <c r="B81" s="439" t="s">
        <v>26</v>
      </c>
      <c r="C81" s="440"/>
      <c r="D81" s="441"/>
      <c r="E81" s="442"/>
      <c r="F81" s="442"/>
      <c r="G81" s="122">
        <f>SUM(G80)</f>
        <v>0</v>
      </c>
      <c r="H81" s="122">
        <f>SUM(H80)</f>
        <v>0</v>
      </c>
      <c r="I81" s="122">
        <f>SUM(I80)</f>
        <v>11368</v>
      </c>
      <c r="J81" s="122">
        <f>SUM(J80)</f>
        <v>1557.4160000000002</v>
      </c>
      <c r="K81" s="443">
        <f>SUM(K80)</f>
        <v>90944</v>
      </c>
      <c r="L81" s="444"/>
      <c r="M81" s="445">
        <f>SUM(M80)</f>
        <v>12459.328000000001</v>
      </c>
      <c r="N81" s="446"/>
      <c r="O81" s="422"/>
      <c r="P81" s="423"/>
      <c r="Q81" s="92"/>
      <c r="R81" s="93"/>
    </row>
    <row r="82" spans="1:18">
      <c r="A82" s="13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13"/>
      <c r="M82" s="13"/>
      <c r="N82" s="13"/>
      <c r="O82" s="13"/>
      <c r="P82" s="13"/>
    </row>
    <row r="83" spans="1:18" s="79" customFormat="1" ht="33">
      <c r="A83" s="78"/>
      <c r="B83" s="421" t="s">
        <v>41</v>
      </c>
      <c r="C83" s="421"/>
      <c r="D83" s="421"/>
      <c r="E83" s="421"/>
      <c r="F83" s="421"/>
      <c r="G83" s="421"/>
      <c r="H83" s="421"/>
      <c r="I83" s="421"/>
      <c r="J83" s="91" t="str">
        <f>J77</f>
        <v>សីហា</v>
      </c>
      <c r="K83" s="91"/>
      <c r="L83" s="78"/>
      <c r="M83" s="78"/>
      <c r="N83" s="78"/>
      <c r="O83" s="78"/>
      <c r="P83" s="78"/>
    </row>
    <row r="84" spans="1:18" s="71" customFormat="1" ht="29.25">
      <c r="A84" s="415" t="s">
        <v>15</v>
      </c>
      <c r="B84" s="415" t="s">
        <v>42</v>
      </c>
      <c r="C84" s="415"/>
      <c r="D84" s="415"/>
      <c r="E84" s="447" t="s">
        <v>17</v>
      </c>
      <c r="F84" s="447"/>
      <c r="G84" s="415" t="s">
        <v>37</v>
      </c>
      <c r="H84" s="415"/>
      <c r="I84" s="415" t="s">
        <v>38</v>
      </c>
      <c r="J84" s="415"/>
      <c r="K84" s="415" t="s">
        <v>23</v>
      </c>
      <c r="L84" s="415"/>
      <c r="M84" s="415"/>
      <c r="N84" s="415"/>
      <c r="O84" s="424" t="s">
        <v>22</v>
      </c>
      <c r="P84" s="425"/>
    </row>
    <row r="85" spans="1:18" s="71" customFormat="1" ht="29.25">
      <c r="A85" s="415"/>
      <c r="B85" s="415"/>
      <c r="C85" s="415"/>
      <c r="D85" s="415"/>
      <c r="E85" s="447"/>
      <c r="F85" s="447"/>
      <c r="G85" s="308" t="s">
        <v>24</v>
      </c>
      <c r="H85" s="308" t="s">
        <v>89</v>
      </c>
      <c r="I85" s="308" t="s">
        <v>24</v>
      </c>
      <c r="J85" s="308" t="s">
        <v>89</v>
      </c>
      <c r="K85" s="428" t="s">
        <v>24</v>
      </c>
      <c r="L85" s="419"/>
      <c r="M85" s="429" t="s">
        <v>90</v>
      </c>
      <c r="N85" s="430"/>
      <c r="O85" s="426"/>
      <c r="P85" s="427"/>
    </row>
    <row r="86" spans="1:18" s="70" customFormat="1" ht="19.899999999999999" customHeight="1" thickBot="1">
      <c r="A86" s="123">
        <v>1</v>
      </c>
      <c r="B86" s="431" t="s">
        <v>43</v>
      </c>
      <c r="C86" s="432"/>
      <c r="D86" s="433"/>
      <c r="E86" s="448" t="s">
        <v>44</v>
      </c>
      <c r="F86" s="449"/>
      <c r="G86" s="120"/>
      <c r="H86" s="120"/>
      <c r="I86" s="120">
        <v>83</v>
      </c>
      <c r="J86" s="120">
        <f>0.55*I86</f>
        <v>45.650000000000006</v>
      </c>
      <c r="K86" s="435">
        <f>I86+'7-JUL'!K87:L87</f>
        <v>664</v>
      </c>
      <c r="L86" s="436"/>
      <c r="M86" s="435">
        <f>J86+'7-JUL'!M87:N87</f>
        <v>365.20000000000005</v>
      </c>
      <c r="N86" s="436"/>
      <c r="O86" s="437"/>
      <c r="P86" s="438"/>
      <c r="Q86" s="92">
        <f>K86+I86</f>
        <v>747</v>
      </c>
      <c r="R86" s="93">
        <f>M86+J86</f>
        <v>410.85</v>
      </c>
    </row>
    <row r="87" spans="1:18" s="70" customFormat="1" ht="19.899999999999999" customHeight="1" thickBot="1">
      <c r="A87" s="121"/>
      <c r="B87" s="439" t="s">
        <v>26</v>
      </c>
      <c r="C87" s="440"/>
      <c r="D87" s="441"/>
      <c r="E87" s="450"/>
      <c r="F87" s="451"/>
      <c r="G87" s="122">
        <f>SUM(G86)</f>
        <v>0</v>
      </c>
      <c r="H87" s="122">
        <f>SUM(H86)</f>
        <v>0</v>
      </c>
      <c r="I87" s="122">
        <f>SUM(I86)</f>
        <v>83</v>
      </c>
      <c r="J87" s="122">
        <f>SUM(J86)</f>
        <v>45.650000000000006</v>
      </c>
      <c r="K87" s="443">
        <f>SUM(K86)</f>
        <v>664</v>
      </c>
      <c r="L87" s="444"/>
      <c r="M87" s="445">
        <f>SUM(M86)</f>
        <v>365.20000000000005</v>
      </c>
      <c r="N87" s="446"/>
      <c r="O87" s="422"/>
      <c r="P87" s="423"/>
      <c r="Q87" s="92"/>
      <c r="R87" s="93"/>
    </row>
    <row r="88" spans="1:18" ht="23.25">
      <c r="A88" s="13"/>
      <c r="B88" s="40"/>
      <c r="C88" s="43"/>
      <c r="D88" s="43"/>
      <c r="E88" s="43"/>
      <c r="F88" s="43"/>
      <c r="G88" s="41"/>
      <c r="H88" s="41"/>
      <c r="I88" s="41"/>
      <c r="J88" s="41"/>
      <c r="K88" s="41"/>
      <c r="L88" s="13"/>
      <c r="M88" s="13"/>
      <c r="N88" s="13"/>
      <c r="O88" s="13"/>
      <c r="P88" s="13"/>
    </row>
    <row r="89" spans="1:18" s="79" customFormat="1" ht="33">
      <c r="A89" s="78"/>
      <c r="B89" s="421" t="s">
        <v>45</v>
      </c>
      <c r="C89" s="421"/>
      <c r="D89" s="421"/>
      <c r="E89" s="421"/>
      <c r="F89" s="421"/>
      <c r="G89" s="421"/>
      <c r="H89" s="421"/>
      <c r="I89" s="421"/>
      <c r="J89" s="89" t="str">
        <f>$I$6</f>
        <v>សីហា</v>
      </c>
      <c r="K89" s="90" t="str">
        <f>$K$43</f>
        <v>ឆ្នាំ២០២៦ (USD)</v>
      </c>
      <c r="L89" s="78"/>
      <c r="M89" s="78"/>
      <c r="N89" s="78"/>
      <c r="O89" s="78"/>
      <c r="P89" s="78"/>
    </row>
    <row r="90" spans="1:18" s="71" customFormat="1" ht="58.5">
      <c r="A90" s="308" t="s">
        <v>15</v>
      </c>
      <c r="B90" s="415" t="s">
        <v>46</v>
      </c>
      <c r="C90" s="415"/>
      <c r="D90" s="309" t="s">
        <v>17</v>
      </c>
      <c r="E90" s="452" t="s">
        <v>47</v>
      </c>
      <c r="F90" s="419"/>
      <c r="G90" s="428" t="s">
        <v>48</v>
      </c>
      <c r="H90" s="418"/>
      <c r="I90" s="418"/>
      <c r="J90" s="419"/>
      <c r="K90" s="415" t="s">
        <v>49</v>
      </c>
      <c r="L90" s="415"/>
      <c r="M90" s="415"/>
      <c r="N90" s="415"/>
      <c r="O90" s="415" t="s">
        <v>22</v>
      </c>
      <c r="P90" s="415"/>
    </row>
    <row r="91" spans="1:18" ht="23.25">
      <c r="A91" s="32">
        <v>1</v>
      </c>
      <c r="B91" s="453" t="s">
        <v>50</v>
      </c>
      <c r="C91" s="454"/>
      <c r="D91" s="39"/>
      <c r="E91" s="455"/>
      <c r="F91" s="456"/>
      <c r="G91" s="455"/>
      <c r="H91" s="457"/>
      <c r="I91" s="457"/>
      <c r="J91" s="456"/>
      <c r="K91" s="455"/>
      <c r="L91" s="457"/>
      <c r="M91" s="457"/>
      <c r="N91" s="456"/>
      <c r="O91" s="458"/>
      <c r="P91" s="459"/>
    </row>
    <row r="92" spans="1:18" ht="23.25">
      <c r="A92" s="42">
        <v>2</v>
      </c>
      <c r="B92" s="461" t="s">
        <v>51</v>
      </c>
      <c r="C92" s="461"/>
      <c r="D92" s="39"/>
      <c r="E92" s="455"/>
      <c r="F92" s="456"/>
      <c r="G92" s="455"/>
      <c r="H92" s="457"/>
      <c r="I92" s="457"/>
      <c r="J92" s="456"/>
      <c r="O92" s="458"/>
      <c r="P92" s="459"/>
    </row>
    <row r="93" spans="1:18" ht="24" thickBot="1">
      <c r="A93" s="53">
        <v>3</v>
      </c>
      <c r="B93" s="462" t="s">
        <v>52</v>
      </c>
      <c r="C93" s="462"/>
      <c r="D93" s="124"/>
      <c r="E93" s="463"/>
      <c r="F93" s="464"/>
      <c r="G93" s="463"/>
      <c r="H93" s="465"/>
      <c r="I93" s="465"/>
      <c r="J93" s="464"/>
      <c r="K93" s="463"/>
      <c r="L93" s="465"/>
      <c r="M93" s="465"/>
      <c r="N93" s="464"/>
      <c r="O93" s="466"/>
      <c r="P93" s="467"/>
    </row>
    <row r="94" spans="1:18" ht="26.25" thickBot="1">
      <c r="A94" s="102">
        <v>4</v>
      </c>
      <c r="B94" s="408" t="s">
        <v>26</v>
      </c>
      <c r="C94" s="408"/>
      <c r="D94" s="125"/>
      <c r="E94" s="468"/>
      <c r="F94" s="469"/>
      <c r="G94" s="468"/>
      <c r="H94" s="470"/>
      <c r="I94" s="470"/>
      <c r="J94" s="469"/>
      <c r="K94" s="468"/>
      <c r="L94" s="470"/>
      <c r="M94" s="470"/>
      <c r="N94" s="469"/>
      <c r="O94" s="471"/>
      <c r="P94" s="472"/>
    </row>
    <row r="95" spans="1:18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8" ht="29.25">
      <c r="A96" s="11" t="str">
        <f>A37</f>
        <v>ទំនាក់ទំនង : Tel 077 330 279/090 922 237  E-mail : industryaffair.mih@gmail.com : TELEGRAM :077 330 279</v>
      </c>
      <c r="B96" s="11"/>
      <c r="C96" s="35"/>
      <c r="D96" s="35"/>
      <c r="E96" s="35"/>
      <c r="F96" s="35"/>
      <c r="G96" s="35"/>
      <c r="H96" s="35"/>
      <c r="I96" s="35"/>
      <c r="J96" s="35"/>
      <c r="K96" s="386" t="str">
        <f>K30</f>
        <v>ថ្ងៃទី 15 ខែ សីហា ឆ្នាំ2026</v>
      </c>
      <c r="L96" s="386"/>
      <c r="M96" s="80"/>
      <c r="N96" s="460" t="str">
        <f>N30</f>
        <v>ថ្ងៃទី 15 ខែ សីហា ឆ្នាំ2026</v>
      </c>
      <c r="O96" s="460"/>
      <c r="P96" s="13"/>
    </row>
    <row r="97" spans="1:16" ht="29.25">
      <c r="A97" s="13"/>
      <c r="B97" s="36"/>
      <c r="C97" s="35"/>
      <c r="D97" s="35"/>
      <c r="E97" s="35"/>
      <c r="F97" s="35"/>
      <c r="G97" s="35"/>
      <c r="H97" s="35"/>
      <c r="I97" s="35"/>
      <c r="J97" s="35"/>
      <c r="K97" s="386" t="str">
        <f>K31</f>
        <v>Date:……./……../……</v>
      </c>
      <c r="L97" s="386"/>
      <c r="M97" s="80"/>
      <c r="N97" s="409" t="str">
        <f>N31</f>
        <v>Date:……./……../……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386" t="str">
        <f>K32</f>
        <v>នាយក</v>
      </c>
      <c r="L98" s="386"/>
      <c r="M98" s="80"/>
      <c r="N98" s="409" t="str">
        <f>N32</f>
        <v>អ្នកធ្វើរបាយការណ៍</v>
      </c>
      <c r="O98" s="409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409" t="str">
        <f>K34</f>
        <v>Director</v>
      </c>
      <c r="L99" s="409"/>
      <c r="M99" s="80"/>
      <c r="N99" s="409" t="str">
        <f>N69</f>
        <v>Reportor</v>
      </c>
      <c r="O99" s="409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307"/>
      <c r="L100" s="307"/>
      <c r="M100" s="80"/>
      <c r="N100" s="307"/>
      <c r="O100" s="307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307"/>
      <c r="L101" s="307"/>
      <c r="M101" s="80"/>
      <c r="N101" s="307"/>
      <c r="O101" s="307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307"/>
      <c r="L102" s="307"/>
      <c r="M102" s="80"/>
      <c r="N102" s="307"/>
      <c r="O102" s="307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80"/>
      <c r="L105" s="80"/>
      <c r="M105" s="80"/>
      <c r="N105" s="80"/>
      <c r="O105" s="80"/>
      <c r="P105" s="13"/>
    </row>
    <row r="106" spans="1:16" ht="29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80"/>
      <c r="L106" s="80"/>
      <c r="M106" s="80"/>
      <c r="N106" s="80"/>
      <c r="O106" s="80"/>
      <c r="P106" s="13"/>
    </row>
    <row r="107" spans="1:16" ht="29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420" t="str">
        <f>K41</f>
        <v>NI, CUNLAN</v>
      </c>
      <c r="L107" s="420"/>
      <c r="M107" s="80"/>
      <c r="N107" s="420" t="str">
        <f>N75</f>
        <v>THNIN</v>
      </c>
      <c r="O107" s="420"/>
      <c r="P107" s="13"/>
    </row>
    <row r="108" spans="1:16" s="164" customFormat="1" ht="35.25">
      <c r="B108" s="473"/>
      <c r="C108" s="473"/>
      <c r="D108" s="473"/>
      <c r="E108" s="473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</row>
    <row r="109" spans="1:16" s="164" customFormat="1" ht="35.25">
      <c r="B109" s="474"/>
      <c r="C109" s="473"/>
      <c r="D109" s="473"/>
      <c r="E109" s="473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</row>
    <row r="110" spans="1:16" s="164" customFormat="1">
      <c r="B110" s="165"/>
      <c r="C110" s="165"/>
      <c r="D110" s="165"/>
      <c r="E110" s="165"/>
      <c r="F110" s="165"/>
      <c r="G110" s="475"/>
      <c r="H110" s="476"/>
      <c r="I110" s="476"/>
      <c r="J110" s="476"/>
      <c r="K110" s="165"/>
      <c r="L110" s="165"/>
      <c r="M110" s="165"/>
      <c r="N110" s="165"/>
      <c r="O110" s="165"/>
    </row>
    <row r="111" spans="1:16" s="164" customFormat="1" ht="33">
      <c r="A111" s="319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314"/>
    </row>
    <row r="112" spans="1:16" s="164" customFormat="1" ht="29.25">
      <c r="A112" s="319"/>
      <c r="B112" s="478"/>
      <c r="C112" s="478"/>
      <c r="D112" s="478"/>
      <c r="E112" s="478"/>
      <c r="F112" s="478"/>
      <c r="G112" s="478"/>
      <c r="H112" s="478"/>
      <c r="I112" s="478"/>
      <c r="J112" s="478"/>
      <c r="K112" s="478"/>
      <c r="L112" s="478"/>
      <c r="M112" s="478"/>
      <c r="N112" s="478"/>
      <c r="O112" s="478"/>
      <c r="P112" s="314"/>
    </row>
    <row r="113" spans="1:19" s="164" customFormat="1" ht="33">
      <c r="A113" s="168"/>
      <c r="B113" s="169"/>
      <c r="C113" s="169"/>
      <c r="D113" s="169"/>
      <c r="E113" s="169"/>
      <c r="F113" s="169"/>
      <c r="G113" s="477"/>
      <c r="H113" s="477"/>
      <c r="I113" s="170"/>
      <c r="J113" s="171"/>
      <c r="K113" s="172"/>
      <c r="L113" s="173"/>
      <c r="M113" s="169"/>
      <c r="N113" s="169"/>
      <c r="O113" s="169"/>
      <c r="P113" s="174"/>
    </row>
    <row r="114" spans="1:19" s="164" customFormat="1">
      <c r="A114" s="168"/>
      <c r="B114" s="175"/>
      <c r="C114" s="176"/>
      <c r="D114" s="176"/>
      <c r="E114" s="176"/>
      <c r="F114" s="176"/>
      <c r="G114" s="357"/>
      <c r="H114" s="357"/>
      <c r="I114" s="357"/>
      <c r="J114" s="176"/>
      <c r="K114" s="176"/>
      <c r="L114" s="176"/>
      <c r="M114" s="176"/>
      <c r="N114" s="176"/>
      <c r="O114" s="176"/>
      <c r="P114" s="174"/>
    </row>
    <row r="115" spans="1:19" s="164" customFormat="1" ht="29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9" s="164" customFormat="1" ht="20.100000000000001" customHeight="1">
      <c r="A116" s="179"/>
      <c r="B116" s="180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81"/>
      <c r="N116" s="181"/>
      <c r="O116" s="181"/>
      <c r="P116" s="181"/>
    </row>
    <row r="117" spans="1:19" s="185" customFormat="1" ht="20.100000000000001" customHeight="1">
      <c r="A117" s="182"/>
      <c r="B117" s="183"/>
      <c r="C117" s="183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</row>
    <row r="118" spans="1:19" s="190" customFormat="1" ht="20.100000000000001" customHeight="1">
      <c r="A118" s="186"/>
      <c r="B118" s="187"/>
      <c r="C118" s="187"/>
      <c r="D118" s="187"/>
      <c r="E118" s="187"/>
      <c r="F118" s="187"/>
      <c r="G118" s="187"/>
      <c r="H118" s="187"/>
      <c r="I118" s="187"/>
      <c r="J118" s="188"/>
      <c r="K118" s="188"/>
      <c r="L118" s="188"/>
      <c r="M118" s="188"/>
      <c r="N118" s="179"/>
      <c r="O118" s="189"/>
      <c r="P118" s="179"/>
    </row>
    <row r="119" spans="1:19" s="185" customFormat="1" ht="20.100000000000001" customHeight="1">
      <c r="A119" s="177"/>
      <c r="B119" s="177"/>
      <c r="C119" s="191"/>
      <c r="D119" s="177"/>
      <c r="F119" s="192"/>
      <c r="G119" s="177"/>
      <c r="I119" s="193"/>
      <c r="J119" s="194"/>
      <c r="K119" s="195"/>
      <c r="L119" s="195"/>
      <c r="M119" s="177"/>
      <c r="N119" s="177"/>
      <c r="O119" s="177"/>
      <c r="P119" s="196"/>
    </row>
    <row r="120" spans="1:19" s="164" customFormat="1" ht="20.100000000000001" customHeight="1">
      <c r="A120" s="186"/>
      <c r="B120" s="176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74"/>
    </row>
    <row r="121" spans="1:19" s="190" customFormat="1" ht="20.100000000000001" customHeight="1">
      <c r="A121" s="198"/>
      <c r="B121" s="198"/>
      <c r="C121" s="198"/>
      <c r="D121" s="480"/>
      <c r="E121" s="480"/>
      <c r="F121" s="198"/>
      <c r="G121" s="198"/>
      <c r="H121" s="198"/>
      <c r="I121" s="198"/>
      <c r="J121" s="479"/>
      <c r="K121" s="479"/>
      <c r="L121" s="198"/>
      <c r="M121" s="198"/>
      <c r="N121" s="198"/>
      <c r="O121" s="198"/>
      <c r="P121" s="199"/>
    </row>
    <row r="122" spans="1:19" s="164" customFormat="1" ht="29.25">
      <c r="A122" s="358"/>
      <c r="B122" s="358"/>
      <c r="C122" s="358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14"/>
    </row>
    <row r="123" spans="1:19" s="164" customFormat="1" ht="29.25">
      <c r="A123" s="358"/>
      <c r="B123" s="358"/>
      <c r="C123" s="358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200"/>
    </row>
    <row r="124" spans="1:19" s="164" customFormat="1" ht="29.25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200"/>
    </row>
    <row r="125" spans="1:19" s="164" customFormat="1" ht="29.25">
      <c r="A125" s="358"/>
      <c r="B125" s="358"/>
      <c r="C125" s="358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00"/>
    </row>
    <row r="126" spans="1:19" s="164" customFormat="1" ht="19.899999999999999" customHeight="1">
      <c r="A126" s="202"/>
      <c r="B126" s="203"/>
      <c r="C126" s="202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2"/>
      <c r="B127" s="203"/>
      <c r="C127" s="202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316"/>
      <c r="B128" s="208"/>
      <c r="C128" s="316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316"/>
      <c r="B129" s="209"/>
      <c r="C129" s="316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2"/>
      <c r="B130" s="203"/>
      <c r="C130" s="202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2"/>
      <c r="B131" s="203"/>
      <c r="C131" s="202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316"/>
      <c r="B132" s="209"/>
      <c r="C132" s="316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 ht="19.899999999999999" customHeight="1">
      <c r="A133" s="316"/>
      <c r="B133" s="209"/>
      <c r="C133" s="316"/>
      <c r="D133" s="204"/>
      <c r="E133" s="204"/>
      <c r="F133" s="99"/>
      <c r="G133" s="99"/>
      <c r="H133" s="202"/>
      <c r="I133" s="204"/>
      <c r="J133" s="202"/>
      <c r="K133" s="99"/>
      <c r="L133" s="202"/>
      <c r="M133" s="99"/>
      <c r="N133" s="202"/>
      <c r="O133" s="99"/>
      <c r="P133" s="205"/>
      <c r="Q133" s="206"/>
      <c r="S133" s="206"/>
    </row>
    <row r="134" spans="1:19" s="164" customFormat="1" ht="19.899999999999999" customHeight="1">
      <c r="A134" s="316"/>
      <c r="B134" s="209"/>
      <c r="C134" s="316"/>
      <c r="D134" s="204"/>
      <c r="E134" s="204"/>
      <c r="F134" s="99"/>
      <c r="G134" s="99"/>
      <c r="H134" s="202"/>
      <c r="I134" s="204"/>
      <c r="J134" s="202"/>
      <c r="K134" s="99"/>
      <c r="L134" s="202"/>
      <c r="M134" s="99"/>
      <c r="N134" s="202"/>
      <c r="O134" s="99"/>
      <c r="P134" s="205"/>
      <c r="Q134" s="206"/>
      <c r="S134" s="206"/>
    </row>
    <row r="135" spans="1:19" s="164" customFormat="1">
      <c r="A135" s="357"/>
      <c r="B135" s="357"/>
      <c r="C135" s="202"/>
      <c r="D135" s="210"/>
      <c r="E135" s="210"/>
      <c r="F135" s="210"/>
      <c r="G135" s="210"/>
      <c r="H135" s="202"/>
      <c r="I135" s="210"/>
      <c r="J135" s="202"/>
      <c r="K135" s="211"/>
      <c r="L135" s="202"/>
      <c r="M135" s="211"/>
      <c r="N135" s="99"/>
      <c r="O135" s="211"/>
      <c r="P135" s="200"/>
    </row>
    <row r="136" spans="1:19" s="164" customFormat="1" ht="23.25">
      <c r="A136" s="364"/>
      <c r="B136" s="364"/>
      <c r="C136" s="364"/>
      <c r="D136" s="364"/>
      <c r="E136" s="364"/>
      <c r="F136" s="364"/>
      <c r="G136" s="364"/>
      <c r="H136" s="364"/>
      <c r="I136" s="364"/>
      <c r="J136" s="202"/>
      <c r="K136" s="202"/>
      <c r="L136" s="202"/>
      <c r="M136" s="202"/>
      <c r="N136" s="202"/>
      <c r="O136" s="202"/>
      <c r="P136" s="200"/>
    </row>
    <row r="137" spans="1:19" s="164" customFormat="1" ht="29.25">
      <c r="A137" s="364"/>
      <c r="B137" s="364"/>
      <c r="C137" s="364"/>
      <c r="D137" s="364"/>
      <c r="E137" s="364"/>
      <c r="F137" s="364"/>
      <c r="G137" s="364"/>
      <c r="H137" s="364"/>
      <c r="I137" s="364"/>
      <c r="J137" s="212"/>
      <c r="K137" s="358"/>
      <c r="L137" s="358"/>
      <c r="M137" s="213"/>
      <c r="N137" s="358"/>
      <c r="O137" s="358"/>
      <c r="P137" s="200"/>
    </row>
    <row r="138" spans="1:19" s="164" customFormat="1" ht="23.25">
      <c r="A138" s="214"/>
      <c r="B138" s="176"/>
      <c r="C138" s="197"/>
      <c r="D138" s="197"/>
      <c r="E138" s="197"/>
      <c r="F138" s="197"/>
      <c r="G138" s="197"/>
      <c r="H138" s="197"/>
      <c r="I138" s="197"/>
      <c r="J138" s="202"/>
      <c r="K138" s="481"/>
      <c r="L138" s="481"/>
      <c r="M138" s="296"/>
      <c r="N138" s="481"/>
      <c r="O138" s="481"/>
      <c r="P138" s="200"/>
    </row>
    <row r="139" spans="1:19" s="164" customFormat="1" ht="29.25">
      <c r="A139" s="214"/>
      <c r="B139" s="178"/>
      <c r="C139" s="197"/>
      <c r="D139" s="197"/>
      <c r="E139" s="197"/>
      <c r="F139" s="197"/>
      <c r="G139" s="197"/>
      <c r="H139" s="197"/>
      <c r="I139" s="197"/>
      <c r="J139" s="202"/>
      <c r="K139" s="485"/>
      <c r="L139" s="485"/>
      <c r="M139" s="296"/>
      <c r="N139" s="358"/>
      <c r="O139" s="359"/>
      <c r="P139" s="200"/>
    </row>
    <row r="140" spans="1:19" s="164" customFormat="1" ht="23.25" customHeight="1">
      <c r="A140" s="214"/>
      <c r="B140" s="178"/>
      <c r="C140" s="197"/>
      <c r="D140" s="197"/>
      <c r="E140" s="197"/>
      <c r="F140" s="197"/>
      <c r="G140" s="197"/>
      <c r="H140" s="197"/>
      <c r="I140" s="197"/>
      <c r="J140" s="202"/>
      <c r="K140" s="360"/>
      <c r="L140" s="361"/>
      <c r="M140" s="296"/>
      <c r="N140" s="361"/>
      <c r="O140" s="361"/>
      <c r="P140" s="200"/>
    </row>
    <row r="141" spans="1:19" s="164" customFormat="1" ht="23.25">
      <c r="A141" s="214"/>
      <c r="B141" s="217"/>
      <c r="C141" s="168"/>
      <c r="D141" s="168"/>
      <c r="E141" s="299"/>
      <c r="F141" s="299"/>
      <c r="G141" s="299"/>
      <c r="H141" s="299"/>
      <c r="I141" s="299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299"/>
      <c r="F142" s="299"/>
      <c r="G142" s="299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299"/>
      <c r="F143" s="299"/>
      <c r="G143" s="299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4"/>
      <c r="B144" s="217"/>
      <c r="C144" s="168"/>
      <c r="D144" s="168"/>
      <c r="E144" s="299"/>
      <c r="F144" s="299"/>
      <c r="G144" s="299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 ht="23.25">
      <c r="A145" s="214"/>
      <c r="B145" s="217"/>
      <c r="C145" s="168"/>
      <c r="D145" s="168"/>
      <c r="E145" s="299"/>
      <c r="F145" s="299"/>
      <c r="G145" s="299"/>
      <c r="H145" s="197"/>
      <c r="I145" s="197"/>
      <c r="J145" s="202"/>
      <c r="K145" s="202"/>
      <c r="L145" s="202"/>
      <c r="M145" s="202"/>
      <c r="N145" s="202"/>
      <c r="O145" s="202"/>
      <c r="P145" s="200"/>
    </row>
    <row r="146" spans="1:16" s="164" customFormat="1" ht="23.25">
      <c r="A146" s="217"/>
      <c r="B146" s="217"/>
      <c r="C146" s="168"/>
      <c r="D146" s="168"/>
      <c r="E146" s="299"/>
      <c r="F146" s="299"/>
      <c r="G146" s="299"/>
      <c r="H146" s="197"/>
      <c r="I146" s="197"/>
      <c r="J146" s="202"/>
      <c r="K146" s="202"/>
      <c r="L146" s="202"/>
      <c r="M146" s="202"/>
      <c r="N146" s="202"/>
      <c r="O146" s="202"/>
      <c r="P146" s="200"/>
    </row>
    <row r="147" spans="1:16" s="164" customForma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362"/>
      <c r="L147" s="362"/>
      <c r="M147" s="200"/>
      <c r="N147" s="363"/>
      <c r="O147" s="363"/>
      <c r="P147" s="200"/>
    </row>
    <row r="148" spans="1:16" s="164" customFormat="1">
      <c r="A148" s="219"/>
      <c r="B148" s="200"/>
      <c r="C148" s="200"/>
      <c r="D148" s="200"/>
      <c r="E148" s="200"/>
      <c r="F148" s="200"/>
      <c r="G148" s="200"/>
      <c r="H148" s="200"/>
      <c r="I148" s="200"/>
      <c r="J148" s="200"/>
      <c r="K148" s="297"/>
      <c r="L148" s="297"/>
      <c r="M148" s="200"/>
      <c r="N148" s="298"/>
      <c r="O148" s="298"/>
      <c r="P148" s="200"/>
    </row>
    <row r="149" spans="1:16" s="164" customFormat="1">
      <c r="A149" s="219"/>
      <c r="B149" s="200"/>
      <c r="C149" s="200"/>
      <c r="D149" s="200"/>
      <c r="E149" s="200"/>
      <c r="F149" s="200"/>
      <c r="G149" s="200"/>
      <c r="H149" s="200"/>
      <c r="I149" s="200"/>
      <c r="J149" s="200"/>
      <c r="K149" s="297"/>
      <c r="L149" s="297"/>
      <c r="M149" s="200"/>
      <c r="N149" s="298"/>
      <c r="O149" s="298"/>
      <c r="P149" s="200"/>
    </row>
    <row r="150" spans="1:16" s="164" customFormat="1" ht="42">
      <c r="A150" s="222"/>
      <c r="B150" s="482"/>
      <c r="C150" s="482"/>
      <c r="D150" s="482"/>
      <c r="E150" s="482"/>
      <c r="F150" s="482"/>
      <c r="G150" s="482"/>
      <c r="H150" s="482"/>
      <c r="I150" s="482"/>
      <c r="J150" s="200"/>
      <c r="K150" s="200"/>
      <c r="L150" s="200"/>
      <c r="M150" s="200"/>
      <c r="N150" s="200"/>
      <c r="O150" s="200"/>
      <c r="P150" s="200"/>
    </row>
    <row r="151" spans="1:16" s="164" customFormat="1" ht="33">
      <c r="A151" s="483"/>
      <c r="B151" s="483"/>
      <c r="C151" s="483"/>
      <c r="D151" s="483"/>
      <c r="E151" s="483"/>
      <c r="F151" s="483"/>
      <c r="G151" s="483"/>
      <c r="H151" s="483"/>
      <c r="I151" s="483"/>
      <c r="J151" s="223"/>
      <c r="K151" s="224"/>
      <c r="L151" s="224"/>
      <c r="M151" s="225"/>
      <c r="N151" s="225"/>
      <c r="O151" s="225"/>
      <c r="P151" s="225"/>
    </row>
    <row r="152" spans="1:16" s="164" customFormat="1" ht="31.15" customHeight="1">
      <c r="A152" s="484"/>
      <c r="B152" s="484"/>
      <c r="C152" s="484"/>
      <c r="D152" s="486"/>
      <c r="E152" s="484"/>
      <c r="F152" s="484"/>
      <c r="G152" s="484"/>
      <c r="H152" s="484"/>
      <c r="I152" s="484"/>
      <c r="J152" s="484"/>
      <c r="K152" s="484"/>
      <c r="L152" s="484"/>
      <c r="M152" s="484"/>
      <c r="N152" s="484"/>
      <c r="O152" s="484"/>
      <c r="P152" s="484"/>
    </row>
    <row r="153" spans="1:16" s="164" customFormat="1" ht="30" customHeight="1">
      <c r="A153" s="484"/>
      <c r="B153" s="484"/>
      <c r="C153" s="484"/>
      <c r="D153" s="486"/>
      <c r="E153" s="484"/>
      <c r="F153" s="484"/>
      <c r="G153" s="484"/>
      <c r="H153" s="484"/>
      <c r="I153" s="484"/>
      <c r="J153" s="484"/>
      <c r="K153" s="484"/>
      <c r="L153" s="484"/>
      <c r="M153" s="484"/>
      <c r="N153" s="484"/>
      <c r="O153" s="484"/>
      <c r="P153" s="484"/>
    </row>
    <row r="154" spans="1:16" s="164" customFormat="1" ht="29.25">
      <c r="A154" s="484"/>
      <c r="B154" s="484"/>
      <c r="C154" s="484"/>
      <c r="D154" s="486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</row>
    <row r="155" spans="1:16" s="164" customFormat="1" ht="19.899999999999999" customHeight="1">
      <c r="A155" s="227"/>
      <c r="B155" s="228"/>
      <c r="C155" s="228"/>
      <c r="D155" s="316"/>
      <c r="E155" s="229"/>
      <c r="F155" s="230"/>
      <c r="G155" s="231"/>
      <c r="H155" s="232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316"/>
      <c r="E156" s="229"/>
      <c r="F156" s="230"/>
      <c r="G156" s="231"/>
      <c r="H156" s="232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316"/>
      <c r="E157" s="229"/>
      <c r="F157" s="230"/>
      <c r="G157" s="229"/>
      <c r="H157" s="230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316"/>
      <c r="E158" s="229"/>
      <c r="F158" s="230"/>
      <c r="G158" s="98"/>
      <c r="H158" s="230"/>
      <c r="I158" s="232"/>
      <c r="J158" s="232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316"/>
      <c r="E159" s="98"/>
      <c r="F159" s="99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316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316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19.899999999999999" customHeight="1">
      <c r="A162" s="227"/>
      <c r="B162" s="228"/>
      <c r="C162" s="228"/>
      <c r="D162" s="316"/>
      <c r="E162" s="229"/>
      <c r="F162" s="230"/>
      <c r="G162" s="231"/>
      <c r="H162" s="232"/>
      <c r="I162" s="229"/>
      <c r="J162" s="229"/>
      <c r="K162" s="229"/>
      <c r="L162" s="230"/>
      <c r="M162" s="229"/>
      <c r="N162" s="230"/>
      <c r="O162" s="205"/>
      <c r="P162" s="233"/>
    </row>
    <row r="163" spans="1:20" s="164" customFormat="1" ht="19.899999999999999" customHeight="1">
      <c r="A163" s="227"/>
      <c r="B163" s="228"/>
      <c r="C163" s="228"/>
      <c r="D163" s="316"/>
      <c r="E163" s="229"/>
      <c r="F163" s="230"/>
      <c r="G163" s="231"/>
      <c r="H163" s="232"/>
      <c r="I163" s="229"/>
      <c r="J163" s="229"/>
      <c r="K163" s="229"/>
      <c r="L163" s="230"/>
      <c r="M163" s="229"/>
      <c r="N163" s="230"/>
      <c r="O163" s="205"/>
      <c r="P163" s="233"/>
    </row>
    <row r="164" spans="1:20" s="164" customFormat="1" ht="25.5">
      <c r="A164" s="316"/>
      <c r="B164" s="487"/>
      <c r="C164" s="487"/>
      <c r="D164" s="234"/>
      <c r="E164" s="235"/>
      <c r="F164" s="211"/>
      <c r="G164" s="98"/>
      <c r="H164" s="99"/>
      <c r="I164" s="99"/>
      <c r="J164" s="99"/>
      <c r="K164" s="235"/>
      <c r="L164" s="211"/>
      <c r="M164" s="235"/>
      <c r="N164" s="211"/>
      <c r="O164" s="236"/>
      <c r="P164" s="237"/>
    </row>
    <row r="165" spans="1:20" s="164" customFormat="1" ht="23.25">
      <c r="A165" s="316"/>
      <c r="B165" s="234"/>
      <c r="C165" s="234"/>
      <c r="D165" s="234"/>
      <c r="E165" s="98"/>
      <c r="F165" s="99"/>
      <c r="G165" s="98"/>
      <c r="H165" s="99"/>
      <c r="I165" s="99"/>
      <c r="J165" s="99"/>
      <c r="K165" s="99"/>
      <c r="L165" s="99"/>
      <c r="M165" s="99"/>
      <c r="N165" s="99"/>
      <c r="O165" s="236"/>
      <c r="P165" s="237"/>
    </row>
    <row r="166" spans="1:20" s="164" customFormat="1" ht="33">
      <c r="A166" s="488"/>
      <c r="B166" s="488"/>
      <c r="C166" s="488"/>
      <c r="D166" s="488"/>
      <c r="E166" s="488"/>
      <c r="F166" s="488"/>
      <c r="G166" s="488"/>
      <c r="H166" s="488"/>
      <c r="I166" s="488"/>
      <c r="J166" s="223"/>
      <c r="K166" s="224"/>
      <c r="L166" s="238"/>
      <c r="M166" s="239"/>
      <c r="N166" s="239"/>
      <c r="O166" s="239"/>
      <c r="P166" s="239"/>
    </row>
    <row r="167" spans="1:20" s="164" customFormat="1" ht="33">
      <c r="A167" s="484"/>
      <c r="B167" s="484"/>
      <c r="C167" s="484"/>
      <c r="D167" s="486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84"/>
      <c r="P167" s="484"/>
    </row>
    <row r="168" spans="1:20" s="164" customFormat="1" ht="29.25">
      <c r="A168" s="484"/>
      <c r="B168" s="484"/>
      <c r="C168" s="484"/>
      <c r="D168" s="486"/>
      <c r="E168" s="484"/>
      <c r="F168" s="484"/>
      <c r="G168" s="484"/>
      <c r="H168" s="484"/>
      <c r="I168" s="484"/>
      <c r="J168" s="484"/>
      <c r="K168" s="484"/>
      <c r="L168" s="484"/>
      <c r="M168" s="484"/>
      <c r="N168" s="484"/>
      <c r="O168" s="484"/>
      <c r="P168" s="484"/>
    </row>
    <row r="169" spans="1:20" s="164" customFormat="1" ht="29.25">
      <c r="A169" s="484"/>
      <c r="B169" s="484"/>
      <c r="C169" s="484"/>
      <c r="D169" s="486"/>
      <c r="E169" s="312"/>
      <c r="F169" s="312"/>
      <c r="G169" s="240"/>
      <c r="H169" s="312"/>
      <c r="I169" s="312"/>
      <c r="J169" s="312"/>
      <c r="K169" s="312"/>
      <c r="L169" s="312"/>
      <c r="M169" s="312"/>
      <c r="N169" s="312"/>
      <c r="O169" s="312"/>
      <c r="P169" s="312"/>
    </row>
    <row r="170" spans="1:20" s="164" customFormat="1" ht="30" customHeight="1">
      <c r="A170" s="241"/>
      <c r="B170" s="491"/>
      <c r="C170" s="491"/>
      <c r="D170" s="242"/>
      <c r="E170" s="243"/>
      <c r="F170" s="244"/>
      <c r="G170" s="243"/>
      <c r="H170" s="244"/>
      <c r="I170" s="245"/>
      <c r="J170" s="246"/>
      <c r="K170" s="247"/>
      <c r="L170" s="248"/>
      <c r="M170" s="243"/>
      <c r="N170" s="244"/>
      <c r="O170" s="249"/>
      <c r="P170" s="249"/>
      <c r="Q170" s="206"/>
      <c r="R170" s="206"/>
      <c r="S170" s="206"/>
      <c r="T170" s="206"/>
    </row>
    <row r="171" spans="1:20" s="164" customFormat="1" ht="30" customHeight="1">
      <c r="A171" s="250"/>
      <c r="B171" s="492"/>
      <c r="C171" s="492"/>
      <c r="D171" s="316"/>
      <c r="E171" s="252"/>
      <c r="F171" s="252"/>
      <c r="G171" s="253"/>
      <c r="H171" s="253"/>
      <c r="I171" s="254"/>
      <c r="J171" s="252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30" customHeight="1">
      <c r="A172" s="250"/>
      <c r="B172" s="489"/>
      <c r="C172" s="489"/>
      <c r="D172" s="316"/>
      <c r="E172" s="254"/>
      <c r="F172" s="253"/>
      <c r="G172" s="253"/>
      <c r="H172" s="253"/>
      <c r="I172" s="258"/>
      <c r="J172" s="258"/>
      <c r="K172" s="252"/>
      <c r="L172" s="252"/>
      <c r="M172" s="253"/>
      <c r="N172" s="255"/>
      <c r="O172" s="256"/>
      <c r="P172" s="256"/>
      <c r="Q172" s="206"/>
      <c r="R172" s="206"/>
      <c r="S172" s="206"/>
      <c r="T172" s="206"/>
    </row>
    <row r="173" spans="1:20" s="164" customFormat="1" ht="30" customHeight="1">
      <c r="A173" s="250"/>
      <c r="B173" s="489"/>
      <c r="C173" s="489"/>
      <c r="D173" s="316"/>
      <c r="E173" s="254"/>
      <c r="F173" s="253"/>
      <c r="G173" s="253"/>
      <c r="H173" s="253"/>
      <c r="I173" s="258"/>
      <c r="J173" s="258"/>
      <c r="K173" s="252"/>
      <c r="L173" s="252"/>
      <c r="M173" s="253"/>
      <c r="N173" s="255"/>
      <c r="O173" s="256"/>
      <c r="P173" s="256"/>
      <c r="Q173" s="206"/>
      <c r="R173" s="206"/>
      <c r="S173" s="206"/>
      <c r="T173" s="206"/>
    </row>
    <row r="174" spans="1:20" s="164" customFormat="1" ht="25.5">
      <c r="A174" s="316"/>
      <c r="B174" s="487"/>
      <c r="C174" s="487"/>
      <c r="D174" s="234"/>
      <c r="E174" s="235"/>
      <c r="F174" s="259"/>
      <c r="G174" s="235"/>
      <c r="H174" s="260"/>
      <c r="I174" s="235"/>
      <c r="J174" s="259"/>
      <c r="K174" s="235"/>
      <c r="L174" s="259"/>
      <c r="M174" s="235"/>
      <c r="N174" s="259"/>
      <c r="O174" s="261"/>
      <c r="P174" s="261"/>
    </row>
    <row r="175" spans="1:20" s="164" customForma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</row>
    <row r="176" spans="1:20" s="164" customFormat="1" ht="29.25">
      <c r="A176" s="200"/>
      <c r="B176" s="214"/>
      <c r="C176" s="203"/>
      <c r="D176" s="203"/>
      <c r="E176" s="203"/>
      <c r="F176" s="203"/>
      <c r="G176" s="203"/>
      <c r="H176" s="203"/>
      <c r="I176" s="203"/>
      <c r="J176" s="203"/>
      <c r="K176" s="359"/>
      <c r="L176" s="359"/>
      <c r="M176" s="177"/>
      <c r="N176" s="359"/>
      <c r="O176" s="359"/>
      <c r="P176" s="203"/>
    </row>
    <row r="177" spans="1:16" s="164" customFormat="1" ht="29.25">
      <c r="A177" s="200"/>
      <c r="B177" s="262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9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490"/>
      <c r="L178" s="490"/>
      <c r="M178" s="263"/>
      <c r="N178" s="490"/>
      <c r="O178" s="490"/>
      <c r="P178" s="200"/>
    </row>
    <row r="179" spans="1:16" s="164" customFormat="1" ht="29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490"/>
      <c r="L179" s="490"/>
      <c r="M179" s="263"/>
      <c r="N179" s="490"/>
      <c r="O179" s="490"/>
      <c r="P179" s="200"/>
    </row>
    <row r="180" spans="1:16" s="164" customFormat="1" ht="25.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64"/>
      <c r="L180" s="264"/>
      <c r="M180" s="264"/>
      <c r="N180" s="264"/>
      <c r="O180" s="264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363"/>
      <c r="L190" s="363"/>
      <c r="M190" s="200"/>
      <c r="N190" s="363"/>
      <c r="O190" s="363"/>
      <c r="P190" s="200"/>
    </row>
    <row r="191" spans="1:16" s="164" customForma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98"/>
      <c r="L191" s="298"/>
      <c r="M191" s="200"/>
      <c r="N191" s="298"/>
      <c r="O191" s="298"/>
      <c r="P191" s="200"/>
    </row>
    <row r="192" spans="1:16" s="164" customForma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98"/>
      <c r="L192" s="298"/>
      <c r="M192" s="200"/>
      <c r="N192" s="298"/>
      <c r="O192" s="298"/>
      <c r="P192" s="200"/>
    </row>
    <row r="193" spans="1:18" s="164" customFormat="1" ht="36.75">
      <c r="A193" s="200"/>
      <c r="B193" s="494"/>
      <c r="C193" s="494"/>
      <c r="D193" s="494"/>
      <c r="E193" s="494"/>
      <c r="F193" s="494"/>
      <c r="G193" s="494"/>
      <c r="H193" s="494"/>
      <c r="I193" s="494"/>
      <c r="J193" s="494"/>
      <c r="K193" s="494"/>
      <c r="L193" s="200"/>
      <c r="M193" s="200"/>
      <c r="N193" s="200"/>
      <c r="O193" s="200"/>
      <c r="P193" s="200"/>
    </row>
    <row r="194" spans="1:18" s="266" customFormat="1" ht="33">
      <c r="A194" s="265"/>
      <c r="B194" s="488"/>
      <c r="C194" s="488"/>
      <c r="D194" s="488"/>
      <c r="E194" s="488"/>
      <c r="F194" s="488"/>
      <c r="G194" s="488"/>
      <c r="H194" s="488"/>
      <c r="I194" s="488"/>
      <c r="J194" s="223"/>
      <c r="K194" s="224"/>
      <c r="L194" s="265"/>
      <c r="M194" s="265"/>
      <c r="N194" s="265"/>
      <c r="O194" s="265"/>
      <c r="P194" s="265"/>
    </row>
    <row r="195" spans="1:18" s="185" customFormat="1" ht="29.25">
      <c r="A195" s="484"/>
      <c r="B195" s="484"/>
      <c r="C195" s="484"/>
      <c r="D195" s="484"/>
      <c r="E195" s="486"/>
      <c r="F195" s="486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</row>
    <row r="196" spans="1:18" s="185" customFormat="1" ht="29.25">
      <c r="A196" s="484"/>
      <c r="B196" s="484"/>
      <c r="C196" s="484"/>
      <c r="D196" s="484"/>
      <c r="E196" s="486"/>
      <c r="F196" s="486"/>
      <c r="G196" s="312"/>
      <c r="H196" s="312"/>
      <c r="I196" s="312"/>
      <c r="J196" s="312"/>
      <c r="K196" s="484"/>
      <c r="L196" s="484"/>
      <c r="M196" s="498"/>
      <c r="N196" s="498"/>
      <c r="O196" s="484"/>
      <c r="P196" s="484"/>
    </row>
    <row r="197" spans="1:18" s="275" customFormat="1" ht="25.15" customHeight="1">
      <c r="A197" s="317"/>
      <c r="B197" s="499"/>
      <c r="C197" s="499"/>
      <c r="D197" s="499"/>
      <c r="E197" s="500"/>
      <c r="F197" s="500"/>
      <c r="G197" s="269"/>
      <c r="H197" s="270"/>
      <c r="I197" s="271"/>
      <c r="J197" s="272"/>
      <c r="K197" s="501"/>
      <c r="L197" s="501"/>
      <c r="M197" s="502"/>
      <c r="N197" s="502"/>
      <c r="O197" s="499"/>
      <c r="P197" s="499"/>
      <c r="Q197" s="273"/>
      <c r="R197" s="274"/>
    </row>
    <row r="198" spans="1:18" s="284" customFormat="1" ht="25.15" customHeight="1">
      <c r="A198" s="318"/>
      <c r="B198" s="503"/>
      <c r="C198" s="503"/>
      <c r="D198" s="503"/>
      <c r="E198" s="504"/>
      <c r="F198" s="504"/>
      <c r="G198" s="320"/>
      <c r="H198" s="279"/>
      <c r="I198" s="280"/>
      <c r="J198" s="281"/>
      <c r="K198" s="505"/>
      <c r="L198" s="505"/>
      <c r="M198" s="506"/>
      <c r="N198" s="506"/>
      <c r="O198" s="495"/>
      <c r="P198" s="495"/>
      <c r="Q198" s="282"/>
      <c r="R198" s="283"/>
    </row>
    <row r="199" spans="1:18" s="164" customFormat="1">
      <c r="A199" s="200"/>
      <c r="B199" s="285"/>
      <c r="C199" s="208"/>
      <c r="D199" s="208"/>
      <c r="E199" s="208"/>
      <c r="F199" s="208"/>
      <c r="G199" s="208"/>
      <c r="H199" s="208"/>
      <c r="I199" s="208"/>
      <c r="J199" s="208"/>
      <c r="K199" s="208"/>
      <c r="L199" s="200"/>
      <c r="M199" s="200"/>
      <c r="N199" s="200"/>
      <c r="O199" s="200"/>
      <c r="P199" s="200"/>
    </row>
    <row r="200" spans="1:18" s="185" customFormat="1" ht="29.25">
      <c r="A200" s="286"/>
      <c r="B200" s="497"/>
      <c r="C200" s="497"/>
      <c r="D200" s="497"/>
      <c r="E200" s="497"/>
      <c r="F200" s="497"/>
      <c r="G200" s="497"/>
      <c r="H200" s="497"/>
      <c r="I200" s="497"/>
      <c r="J200" s="287"/>
      <c r="K200" s="288"/>
      <c r="L200" s="286"/>
      <c r="M200" s="286"/>
      <c r="N200" s="286"/>
      <c r="O200" s="286"/>
      <c r="P200" s="286"/>
    </row>
    <row r="201" spans="1:18" s="185" customFormat="1" ht="29.25">
      <c r="A201" s="484"/>
      <c r="B201" s="484"/>
      <c r="C201" s="484"/>
      <c r="D201" s="484"/>
      <c r="E201" s="496"/>
      <c r="F201" s="496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</row>
    <row r="202" spans="1:18" s="185" customFormat="1" ht="29.25">
      <c r="A202" s="484"/>
      <c r="B202" s="484"/>
      <c r="C202" s="484"/>
      <c r="D202" s="484"/>
      <c r="E202" s="496"/>
      <c r="F202" s="496"/>
      <c r="G202" s="312"/>
      <c r="H202" s="312"/>
      <c r="I202" s="312"/>
      <c r="J202" s="312"/>
      <c r="K202" s="484"/>
      <c r="L202" s="484"/>
      <c r="M202" s="498"/>
      <c r="N202" s="498"/>
      <c r="O202" s="484"/>
      <c r="P202" s="484"/>
    </row>
    <row r="203" spans="1:18" s="275" customFormat="1" ht="25.15" customHeight="1">
      <c r="A203" s="289"/>
      <c r="B203" s="499"/>
      <c r="C203" s="499"/>
      <c r="D203" s="499"/>
      <c r="E203" s="500"/>
      <c r="F203" s="500"/>
      <c r="G203" s="271"/>
      <c r="H203" s="272"/>
      <c r="I203" s="271"/>
      <c r="J203" s="272"/>
      <c r="K203" s="501"/>
      <c r="L203" s="501"/>
      <c r="M203" s="502"/>
      <c r="N203" s="502"/>
      <c r="O203" s="499"/>
      <c r="P203" s="499"/>
      <c r="Q203" s="273"/>
      <c r="R203" s="274"/>
    </row>
    <row r="204" spans="1:18" s="284" customFormat="1" ht="25.15" customHeight="1">
      <c r="A204" s="318"/>
      <c r="B204" s="503"/>
      <c r="C204" s="503"/>
      <c r="D204" s="503"/>
      <c r="E204" s="504"/>
      <c r="F204" s="504"/>
      <c r="G204" s="320"/>
      <c r="H204" s="279"/>
      <c r="I204" s="280"/>
      <c r="J204" s="281"/>
      <c r="K204" s="505"/>
      <c r="L204" s="505"/>
      <c r="M204" s="506"/>
      <c r="N204" s="506"/>
      <c r="O204" s="495"/>
      <c r="P204" s="495"/>
      <c r="Q204" s="282"/>
      <c r="R204" s="283"/>
    </row>
    <row r="205" spans="1:18" s="164" customFormat="1" ht="23.25">
      <c r="A205" s="200"/>
      <c r="B205" s="285"/>
      <c r="C205" s="234"/>
      <c r="D205" s="234"/>
      <c r="E205" s="234"/>
      <c r="F205" s="234"/>
      <c r="G205" s="208"/>
      <c r="H205" s="208"/>
      <c r="I205" s="208"/>
      <c r="J205" s="208"/>
      <c r="K205" s="208"/>
      <c r="L205" s="200"/>
      <c r="M205" s="200"/>
      <c r="N205" s="200"/>
      <c r="O205" s="200"/>
      <c r="P205" s="200"/>
    </row>
    <row r="206" spans="1:18" s="266" customFormat="1" ht="33">
      <c r="A206" s="265"/>
      <c r="B206" s="488"/>
      <c r="C206" s="488"/>
      <c r="D206" s="488"/>
      <c r="E206" s="488"/>
      <c r="F206" s="488"/>
      <c r="G206" s="488"/>
      <c r="H206" s="488"/>
      <c r="I206" s="488"/>
      <c r="J206" s="223"/>
      <c r="K206" s="224"/>
      <c r="L206" s="265"/>
      <c r="M206" s="265"/>
      <c r="N206" s="265"/>
      <c r="O206" s="265"/>
      <c r="P206" s="265"/>
    </row>
    <row r="207" spans="1:18" s="185" customFormat="1" ht="29.25">
      <c r="A207" s="312"/>
      <c r="B207" s="484"/>
      <c r="C207" s="484"/>
      <c r="D207" s="313"/>
      <c r="E207" s="486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</row>
    <row r="208" spans="1:18" s="164" customFormat="1" ht="28.15" customHeight="1">
      <c r="A208" s="250"/>
      <c r="B208" s="484"/>
      <c r="C208" s="484"/>
      <c r="D208" s="208"/>
      <c r="E208" s="492"/>
      <c r="F208" s="492"/>
      <c r="G208" s="492"/>
      <c r="H208" s="492"/>
      <c r="I208" s="492"/>
      <c r="J208" s="492"/>
      <c r="K208" s="492"/>
      <c r="L208" s="492"/>
      <c r="M208" s="492"/>
      <c r="N208" s="492"/>
      <c r="O208" s="507"/>
      <c r="P208" s="507"/>
    </row>
    <row r="209" spans="1:18" s="164" customFormat="1" ht="29.25">
      <c r="A209" s="316"/>
      <c r="B209" s="484"/>
      <c r="C209" s="484"/>
      <c r="D209" s="208"/>
      <c r="E209" s="492"/>
      <c r="F209" s="492"/>
      <c r="G209" s="492"/>
      <c r="H209" s="492"/>
      <c r="I209" s="492"/>
      <c r="J209" s="492"/>
      <c r="K209" s="492"/>
      <c r="L209" s="492"/>
      <c r="M209" s="492"/>
      <c r="N209" s="492"/>
      <c r="O209" s="507"/>
      <c r="P209" s="507"/>
    </row>
    <row r="210" spans="1:18" s="284" customFormat="1" ht="25.15" customHeight="1">
      <c r="A210" s="318"/>
      <c r="B210" s="503"/>
      <c r="C210" s="503"/>
      <c r="D210" s="292"/>
      <c r="E210" s="504"/>
      <c r="F210" s="504"/>
      <c r="G210" s="508"/>
      <c r="H210" s="508"/>
      <c r="I210" s="508"/>
      <c r="J210" s="508"/>
      <c r="K210" s="505"/>
      <c r="L210" s="505"/>
      <c r="M210" s="505"/>
      <c r="N210" s="505"/>
      <c r="O210" s="495"/>
      <c r="P210" s="495"/>
      <c r="Q210" s="282"/>
      <c r="R210" s="283"/>
    </row>
    <row r="211" spans="1:18" s="164" customFormat="1" ht="29.25">
      <c r="A211" s="316"/>
      <c r="B211" s="312"/>
      <c r="C211" s="312"/>
      <c r="D211" s="208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9"/>
      <c r="P211" s="319"/>
    </row>
    <row r="212" spans="1:18" s="164" customForma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</row>
    <row r="213" spans="1:18" s="164" customFormat="1" ht="29.25">
      <c r="A213" s="178"/>
      <c r="B213" s="178"/>
      <c r="C213" s="203"/>
      <c r="D213" s="203"/>
      <c r="E213" s="203"/>
      <c r="F213" s="203"/>
      <c r="G213" s="203"/>
      <c r="H213" s="203"/>
      <c r="I213" s="203"/>
      <c r="J213" s="203"/>
      <c r="K213" s="359"/>
      <c r="L213" s="359"/>
      <c r="M213" s="263"/>
      <c r="N213" s="496"/>
      <c r="O213" s="496"/>
      <c r="P213" s="200"/>
    </row>
    <row r="214" spans="1:18" s="164" customFormat="1" ht="29.25">
      <c r="A214" s="200"/>
      <c r="B214" s="262"/>
      <c r="C214" s="203"/>
      <c r="D214" s="203"/>
      <c r="E214" s="203"/>
      <c r="F214" s="203"/>
      <c r="G214" s="203"/>
      <c r="H214" s="203"/>
      <c r="I214" s="203"/>
      <c r="J214" s="203"/>
      <c r="K214" s="359"/>
      <c r="L214" s="359"/>
      <c r="M214" s="263"/>
      <c r="N214" s="490"/>
      <c r="O214" s="490"/>
      <c r="P214" s="200"/>
    </row>
    <row r="215" spans="1:18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359"/>
      <c r="L215" s="359"/>
      <c r="M215" s="263"/>
      <c r="N215" s="490"/>
      <c r="O215" s="490"/>
      <c r="P215" s="200"/>
    </row>
    <row r="216" spans="1:18" s="164" customFormat="1" ht="29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490"/>
      <c r="L216" s="490"/>
      <c r="M216" s="263"/>
      <c r="N216" s="490"/>
      <c r="O216" s="490"/>
      <c r="P216" s="200"/>
    </row>
    <row r="217" spans="1:18" s="164" customFormat="1" ht="29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315"/>
      <c r="L217" s="315"/>
      <c r="M217" s="263"/>
      <c r="N217" s="315"/>
      <c r="O217" s="315"/>
      <c r="P217" s="200"/>
    </row>
    <row r="218" spans="1:18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319"/>
      <c r="L218" s="319"/>
      <c r="M218" s="200"/>
      <c r="N218" s="319"/>
      <c r="O218" s="319"/>
      <c r="P218" s="200"/>
    </row>
    <row r="219" spans="1:18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319"/>
      <c r="L219" s="319"/>
      <c r="M219" s="200"/>
      <c r="N219" s="319"/>
      <c r="O219" s="319"/>
      <c r="P219" s="200"/>
    </row>
    <row r="220" spans="1:18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8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8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8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8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</row>
    <row r="229" spans="1:16" s="164" customForma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</row>
    <row r="230" spans="1:16" s="164" customForma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363"/>
      <c r="L230" s="363"/>
      <c r="M230" s="200"/>
      <c r="N230" s="363"/>
      <c r="O230" s="363"/>
      <c r="P230" s="200"/>
    </row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</sheetData>
  <mergeCells count="298">
    <mergeCell ref="A16:B19"/>
    <mergeCell ref="C16:C19"/>
    <mergeCell ref="D16:O16"/>
    <mergeCell ref="D17:G17"/>
    <mergeCell ref="H17:K17"/>
    <mergeCell ref="B1:O1"/>
    <mergeCell ref="B2:O2"/>
    <mergeCell ref="G3:J3"/>
    <mergeCell ref="B4:O4"/>
    <mergeCell ref="B5:O5"/>
    <mergeCell ref="G6:H6"/>
    <mergeCell ref="L17:O17"/>
    <mergeCell ref="D18:E18"/>
    <mergeCell ref="F18:G18"/>
    <mergeCell ref="H18:I18"/>
    <mergeCell ref="J18:K18"/>
    <mergeCell ref="L18:M18"/>
    <mergeCell ref="N18:O18"/>
    <mergeCell ref="G7:J7"/>
    <mergeCell ref="F13:G13"/>
    <mergeCell ref="J13:K13"/>
    <mergeCell ref="D15:E15"/>
    <mergeCell ref="J15:K15"/>
    <mergeCell ref="D13:E13"/>
    <mergeCell ref="K32:L32"/>
    <mergeCell ref="N32:O32"/>
    <mergeCell ref="A34:I34"/>
    <mergeCell ref="K34:L34"/>
    <mergeCell ref="N34:O34"/>
    <mergeCell ref="A37:G37"/>
    <mergeCell ref="A28:B28"/>
    <mergeCell ref="A29:I29"/>
    <mergeCell ref="A30:I30"/>
    <mergeCell ref="K30:L30"/>
    <mergeCell ref="N30:O30"/>
    <mergeCell ref="K31:L31"/>
    <mergeCell ref="N31:O31"/>
    <mergeCell ref="G45:H45"/>
    <mergeCell ref="I45:J45"/>
    <mergeCell ref="K45:L45"/>
    <mergeCell ref="M45:N45"/>
    <mergeCell ref="B55:C55"/>
    <mergeCell ref="A57:I57"/>
    <mergeCell ref="K41:L41"/>
    <mergeCell ref="N41:O41"/>
    <mergeCell ref="B42:I42"/>
    <mergeCell ref="A43:I43"/>
    <mergeCell ref="A44:A46"/>
    <mergeCell ref="B44:C46"/>
    <mergeCell ref="D44:D46"/>
    <mergeCell ref="E44:N44"/>
    <mergeCell ref="O44:P45"/>
    <mergeCell ref="E45:F45"/>
    <mergeCell ref="A58:A60"/>
    <mergeCell ref="B58:C60"/>
    <mergeCell ref="D58:D60"/>
    <mergeCell ref="E58:N58"/>
    <mergeCell ref="O58:P59"/>
    <mergeCell ref="E59:F59"/>
    <mergeCell ref="G59:H59"/>
    <mergeCell ref="I59:J59"/>
    <mergeCell ref="K59:L59"/>
    <mergeCell ref="M59:N59"/>
    <mergeCell ref="K67:L67"/>
    <mergeCell ref="N67:O67"/>
    <mergeCell ref="K68:L68"/>
    <mergeCell ref="N68:O68"/>
    <mergeCell ref="K69:L69"/>
    <mergeCell ref="N69:O69"/>
    <mergeCell ref="B61:C61"/>
    <mergeCell ref="B62:C62"/>
    <mergeCell ref="B63:C63"/>
    <mergeCell ref="B64:C64"/>
    <mergeCell ref="K66:L66"/>
    <mergeCell ref="N66:O66"/>
    <mergeCell ref="K75:L75"/>
    <mergeCell ref="N75:O75"/>
    <mergeCell ref="B76:K76"/>
    <mergeCell ref="B77:I77"/>
    <mergeCell ref="A78:A79"/>
    <mergeCell ref="B78:D79"/>
    <mergeCell ref="E78:F79"/>
    <mergeCell ref="G78:H78"/>
    <mergeCell ref="I78:J78"/>
    <mergeCell ref="K78:N78"/>
    <mergeCell ref="O81:P81"/>
    <mergeCell ref="B83:I83"/>
    <mergeCell ref="O78:P79"/>
    <mergeCell ref="K79:L79"/>
    <mergeCell ref="M79:N79"/>
    <mergeCell ref="B80:D80"/>
    <mergeCell ref="E80:F80"/>
    <mergeCell ref="K80:L80"/>
    <mergeCell ref="M80:N80"/>
    <mergeCell ref="O80:P80"/>
    <mergeCell ref="A84:A85"/>
    <mergeCell ref="B84:D85"/>
    <mergeCell ref="E84:F85"/>
    <mergeCell ref="G84:H84"/>
    <mergeCell ref="I84:J84"/>
    <mergeCell ref="K84:N84"/>
    <mergeCell ref="B81:D81"/>
    <mergeCell ref="E81:F81"/>
    <mergeCell ref="K81:L81"/>
    <mergeCell ref="M81:N81"/>
    <mergeCell ref="B87:D87"/>
    <mergeCell ref="E87:F87"/>
    <mergeCell ref="K87:L87"/>
    <mergeCell ref="M87:N87"/>
    <mergeCell ref="O87:P87"/>
    <mergeCell ref="B89:I89"/>
    <mergeCell ref="O84:P85"/>
    <mergeCell ref="K85:L85"/>
    <mergeCell ref="M85:N85"/>
    <mergeCell ref="B86:D86"/>
    <mergeCell ref="E86:F86"/>
    <mergeCell ref="K86:L86"/>
    <mergeCell ref="M86:N86"/>
    <mergeCell ref="O86:P86"/>
    <mergeCell ref="B90:C90"/>
    <mergeCell ref="E90:F90"/>
    <mergeCell ref="G90:J90"/>
    <mergeCell ref="K90:N90"/>
    <mergeCell ref="O90:P90"/>
    <mergeCell ref="B91:C91"/>
    <mergeCell ref="E91:F91"/>
    <mergeCell ref="G91:J91"/>
    <mergeCell ref="K91:N91"/>
    <mergeCell ref="O91:P91"/>
    <mergeCell ref="B94:C94"/>
    <mergeCell ref="E94:F94"/>
    <mergeCell ref="G94:J94"/>
    <mergeCell ref="K94:N94"/>
    <mergeCell ref="O94:P94"/>
    <mergeCell ref="K96:L96"/>
    <mergeCell ref="N96:O96"/>
    <mergeCell ref="B92:C92"/>
    <mergeCell ref="E92:F92"/>
    <mergeCell ref="G92:J92"/>
    <mergeCell ref="O92:P92"/>
    <mergeCell ref="B93:C93"/>
    <mergeCell ref="E93:F93"/>
    <mergeCell ref="G93:J93"/>
    <mergeCell ref="K93:N93"/>
    <mergeCell ref="O93:P93"/>
    <mergeCell ref="K107:L107"/>
    <mergeCell ref="N107:O107"/>
    <mergeCell ref="B108:O108"/>
    <mergeCell ref="B109:O109"/>
    <mergeCell ref="G110:J110"/>
    <mergeCell ref="B111:O111"/>
    <mergeCell ref="K97:L97"/>
    <mergeCell ref="N97:O97"/>
    <mergeCell ref="K98:L98"/>
    <mergeCell ref="N98:O98"/>
    <mergeCell ref="K99:L99"/>
    <mergeCell ref="N99:O99"/>
    <mergeCell ref="L123:O123"/>
    <mergeCell ref="D124:E124"/>
    <mergeCell ref="F124:G124"/>
    <mergeCell ref="H124:I124"/>
    <mergeCell ref="J124:K124"/>
    <mergeCell ref="L124:M124"/>
    <mergeCell ref="N124:O124"/>
    <mergeCell ref="B112:O112"/>
    <mergeCell ref="G113:H113"/>
    <mergeCell ref="G114:I114"/>
    <mergeCell ref="D121:E121"/>
    <mergeCell ref="J121:K121"/>
    <mergeCell ref="A122:B125"/>
    <mergeCell ref="C122:C125"/>
    <mergeCell ref="D122:O122"/>
    <mergeCell ref="D123:G123"/>
    <mergeCell ref="H123:K123"/>
    <mergeCell ref="K139:L139"/>
    <mergeCell ref="N139:O139"/>
    <mergeCell ref="K140:L140"/>
    <mergeCell ref="N140:O140"/>
    <mergeCell ref="K147:L147"/>
    <mergeCell ref="N147:O147"/>
    <mergeCell ref="A135:B135"/>
    <mergeCell ref="A136:I136"/>
    <mergeCell ref="A137:I137"/>
    <mergeCell ref="K137:L137"/>
    <mergeCell ref="N137:O137"/>
    <mergeCell ref="K138:L138"/>
    <mergeCell ref="N138:O138"/>
    <mergeCell ref="O152:P153"/>
    <mergeCell ref="E153:F153"/>
    <mergeCell ref="G153:H153"/>
    <mergeCell ref="I153:J153"/>
    <mergeCell ref="K153:L153"/>
    <mergeCell ref="M153:N153"/>
    <mergeCell ref="B150:I150"/>
    <mergeCell ref="A151:I151"/>
    <mergeCell ref="A152:A154"/>
    <mergeCell ref="B152:C154"/>
    <mergeCell ref="D152:D154"/>
    <mergeCell ref="E152:N152"/>
    <mergeCell ref="O167:P168"/>
    <mergeCell ref="E168:F168"/>
    <mergeCell ref="G168:H168"/>
    <mergeCell ref="I168:J168"/>
    <mergeCell ref="K168:L168"/>
    <mergeCell ref="M168:N168"/>
    <mergeCell ref="B164:C164"/>
    <mergeCell ref="A166:I166"/>
    <mergeCell ref="A167:A169"/>
    <mergeCell ref="B167:C169"/>
    <mergeCell ref="D167:D169"/>
    <mergeCell ref="E167:N167"/>
    <mergeCell ref="N176:O176"/>
    <mergeCell ref="K177:L177"/>
    <mergeCell ref="N177:O177"/>
    <mergeCell ref="K178:L178"/>
    <mergeCell ref="N178:O178"/>
    <mergeCell ref="K179:L179"/>
    <mergeCell ref="N179:O179"/>
    <mergeCell ref="B170:C170"/>
    <mergeCell ref="B171:C171"/>
    <mergeCell ref="B172:C172"/>
    <mergeCell ref="B173:C173"/>
    <mergeCell ref="B174:C174"/>
    <mergeCell ref="K176:L176"/>
    <mergeCell ref="K190:L190"/>
    <mergeCell ref="N190:O190"/>
    <mergeCell ref="B193:K193"/>
    <mergeCell ref="B194:I194"/>
    <mergeCell ref="A195:A196"/>
    <mergeCell ref="B195:D196"/>
    <mergeCell ref="E195:F196"/>
    <mergeCell ref="G195:H195"/>
    <mergeCell ref="I195:J195"/>
    <mergeCell ref="K195:N195"/>
    <mergeCell ref="O198:P198"/>
    <mergeCell ref="B200:I200"/>
    <mergeCell ref="O195:P196"/>
    <mergeCell ref="K196:L196"/>
    <mergeCell ref="M196:N196"/>
    <mergeCell ref="B197:D197"/>
    <mergeCell ref="E197:F197"/>
    <mergeCell ref="K197:L197"/>
    <mergeCell ref="M197:N197"/>
    <mergeCell ref="O197:P197"/>
    <mergeCell ref="A201:A202"/>
    <mergeCell ref="B201:D202"/>
    <mergeCell ref="E201:F202"/>
    <mergeCell ref="G201:H201"/>
    <mergeCell ref="I201:J201"/>
    <mergeCell ref="K201:N201"/>
    <mergeCell ref="B198:D198"/>
    <mergeCell ref="E198:F198"/>
    <mergeCell ref="K198:L198"/>
    <mergeCell ref="M198:N198"/>
    <mergeCell ref="B204:D204"/>
    <mergeCell ref="E204:F204"/>
    <mergeCell ref="K204:L204"/>
    <mergeCell ref="M204:N204"/>
    <mergeCell ref="O204:P204"/>
    <mergeCell ref="B206:I206"/>
    <mergeCell ref="O201:P202"/>
    <mergeCell ref="K202:L202"/>
    <mergeCell ref="M202:N202"/>
    <mergeCell ref="B203:D203"/>
    <mergeCell ref="E203:F203"/>
    <mergeCell ref="K203:L203"/>
    <mergeCell ref="M203:N203"/>
    <mergeCell ref="O203:P203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B209:C209"/>
    <mergeCell ref="E209:F209"/>
    <mergeCell ref="G209:J209"/>
    <mergeCell ref="K209:N209"/>
    <mergeCell ref="O209:P209"/>
    <mergeCell ref="B210:C210"/>
    <mergeCell ref="E210:F210"/>
    <mergeCell ref="G210:J210"/>
    <mergeCell ref="K210:N210"/>
    <mergeCell ref="O210:P210"/>
    <mergeCell ref="K216:L216"/>
    <mergeCell ref="N216:O216"/>
    <mergeCell ref="K230:L230"/>
    <mergeCell ref="N230:O230"/>
    <mergeCell ref="K213:L213"/>
    <mergeCell ref="N213:O213"/>
    <mergeCell ref="K214:L214"/>
    <mergeCell ref="N214:O214"/>
    <mergeCell ref="K215:L215"/>
    <mergeCell ref="N215:O215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1" max="16383" man="1"/>
    <brk id="75" max="16383" man="1"/>
    <brk id="107" max="16383" man="1"/>
    <brk id="147" max="16383" man="1"/>
    <brk id="19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9"/>
  <sheetViews>
    <sheetView tabSelected="1" view="pageBreakPreview" zoomScale="85" zoomScaleNormal="100" zoomScaleSheetLayoutView="85" workbookViewId="0">
      <selection activeCell="F63" sqref="F63"/>
    </sheetView>
  </sheetViews>
  <sheetFormatPr defaultColWidth="9.140625" defaultRowHeight="15"/>
  <cols>
    <col min="1" max="2" width="15.85546875" style="1" customWidth="1"/>
    <col min="3" max="3" width="17.7109375" style="1" customWidth="1"/>
    <col min="4" max="4" width="13" style="1" customWidth="1"/>
    <col min="5" max="5" width="15.85546875" style="1" customWidth="1"/>
    <col min="6" max="6" width="14.5703125" style="1" customWidth="1"/>
    <col min="7" max="7" width="20.28515625" style="1" customWidth="1"/>
    <col min="8" max="8" width="18.85546875" style="1" customWidth="1"/>
    <col min="9" max="9" width="19.5703125" style="1" customWidth="1"/>
    <col min="10" max="10" width="18" style="1" customWidth="1"/>
    <col min="11" max="11" width="19.85546875" style="1" customWidth="1"/>
    <col min="12" max="12" width="12.28515625" style="1" customWidth="1"/>
    <col min="13" max="13" width="17.42578125" style="1" customWidth="1"/>
    <col min="14" max="14" width="14.85546875" style="1" bestFit="1" customWidth="1"/>
    <col min="15" max="15" width="21.5703125" style="1" customWidth="1"/>
    <col min="16" max="16" width="20" style="1" bestFit="1" customWidth="1"/>
    <col min="17" max="17" width="13.28515625" style="1" bestFit="1" customWidth="1"/>
    <col min="18" max="18" width="16.7109375" style="1" customWidth="1"/>
    <col min="19" max="19" width="13.28515625" style="1" bestFit="1" customWidth="1"/>
    <col min="20" max="20" width="15" style="1" bestFit="1" customWidth="1"/>
    <col min="21" max="16384" width="9.140625" style="1"/>
  </cols>
  <sheetData>
    <row r="1" spans="1:16" ht="35.25"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pans="1:16" ht="35.25">
      <c r="B2" s="366" t="s">
        <v>1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6">
      <c r="B3" s="2"/>
      <c r="C3" s="2"/>
      <c r="D3" s="2"/>
      <c r="E3" s="2"/>
      <c r="F3" s="2"/>
      <c r="G3" s="367" t="s">
        <v>2</v>
      </c>
      <c r="H3" s="368"/>
      <c r="I3" s="368"/>
      <c r="J3" s="368"/>
      <c r="K3" s="2"/>
      <c r="L3" s="2"/>
      <c r="M3" s="2"/>
      <c r="N3" s="2"/>
      <c r="O3" s="2"/>
    </row>
    <row r="4" spans="1:16" ht="36.75">
      <c r="A4" s="49"/>
      <c r="B4" s="369" t="s">
        <v>56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51"/>
    </row>
    <row r="5" spans="1:16" s="82" customFormat="1" ht="29.25">
      <c r="B5" s="370" t="s">
        <v>57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</row>
    <row r="6" spans="1:16" ht="33.6" customHeight="1">
      <c r="A6" s="49"/>
      <c r="B6" s="3"/>
      <c r="C6" s="3"/>
      <c r="D6" s="3"/>
      <c r="E6" s="3"/>
      <c r="F6" s="3"/>
      <c r="G6" s="378" t="s">
        <v>58</v>
      </c>
      <c r="H6" s="378"/>
      <c r="I6" s="4" t="s">
        <v>131</v>
      </c>
      <c r="J6" s="356" t="s">
        <v>91</v>
      </c>
      <c r="K6" s="5"/>
      <c r="L6" s="6"/>
      <c r="M6" s="3"/>
      <c r="N6" s="3"/>
      <c r="O6" s="3"/>
      <c r="P6" s="51"/>
    </row>
    <row r="7" spans="1:16" ht="18.75" customHeight="1">
      <c r="A7" s="7"/>
      <c r="B7" s="8"/>
      <c r="C7" s="9"/>
      <c r="D7" s="9"/>
      <c r="E7" s="9"/>
      <c r="F7" s="9"/>
      <c r="G7" s="509" t="s">
        <v>132</v>
      </c>
      <c r="H7" s="509"/>
      <c r="I7" s="509"/>
      <c r="J7" s="509"/>
      <c r="K7" s="9"/>
      <c r="L7" s="9"/>
      <c r="M7" s="9"/>
      <c r="N7" s="9"/>
      <c r="O7" s="9"/>
      <c r="P7" s="10"/>
    </row>
    <row r="8" spans="1:16">
      <c r="A8" s="7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10"/>
    </row>
    <row r="9" spans="1:16" s="71" customFormat="1" ht="29.25">
      <c r="A9" s="69" t="s">
        <v>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s="71" customFormat="1" ht="18.75">
      <c r="A10" s="83" t="s">
        <v>94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5"/>
      <c r="O10" s="85"/>
      <c r="P10" s="72"/>
    </row>
    <row r="11" spans="1:16" s="71" customFormat="1" ht="29.25">
      <c r="A11" s="69" t="s">
        <v>92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2"/>
    </row>
    <row r="12" spans="1:16" s="71" customFormat="1" ht="18.75">
      <c r="A12" s="83" t="s">
        <v>93</v>
      </c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72"/>
    </row>
    <row r="13" spans="1:16" s="71" customFormat="1" ht="29.25">
      <c r="A13" s="128" t="s">
        <v>3</v>
      </c>
      <c r="B13" s="128"/>
      <c r="C13" s="147">
        <v>148</v>
      </c>
      <c r="D13" s="513" t="s">
        <v>4</v>
      </c>
      <c r="E13" s="513"/>
      <c r="F13" s="512">
        <v>101</v>
      </c>
      <c r="G13" s="512"/>
      <c r="H13" s="128" t="s">
        <v>5</v>
      </c>
      <c r="J13" s="382">
        <v>50419.75</v>
      </c>
      <c r="K13" s="382"/>
      <c r="L13" s="71" t="s">
        <v>53</v>
      </c>
      <c r="M13" s="128"/>
      <c r="N13" s="128"/>
      <c r="O13" s="128"/>
      <c r="P13" s="129"/>
    </row>
    <row r="14" spans="1:16" s="71" customFormat="1" ht="18.75">
      <c r="A14" s="83" t="s">
        <v>6</v>
      </c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72"/>
    </row>
    <row r="15" spans="1:16" s="71" customFormat="1" ht="29.25">
      <c r="A15" s="86" t="s">
        <v>87</v>
      </c>
      <c r="B15" s="86"/>
      <c r="C15" s="86"/>
      <c r="D15" s="380">
        <v>1000000</v>
      </c>
      <c r="E15" s="380"/>
      <c r="F15" s="86" t="s">
        <v>7</v>
      </c>
      <c r="G15" s="86"/>
      <c r="H15" s="86"/>
      <c r="I15" s="86"/>
      <c r="J15" s="379">
        <v>1000000</v>
      </c>
      <c r="K15" s="379"/>
      <c r="L15" s="86"/>
      <c r="M15" s="86"/>
      <c r="N15" s="86"/>
      <c r="O15" s="86"/>
      <c r="P15" s="72"/>
    </row>
    <row r="16" spans="1:16" ht="29.25">
      <c r="A16" s="371" t="s">
        <v>71</v>
      </c>
      <c r="B16" s="371"/>
      <c r="C16" s="371" t="s">
        <v>72</v>
      </c>
      <c r="D16" s="372" t="s">
        <v>73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51"/>
    </row>
    <row r="17" spans="1:19" ht="29.25">
      <c r="A17" s="371"/>
      <c r="B17" s="371"/>
      <c r="C17" s="371"/>
      <c r="D17" s="373" t="s">
        <v>74</v>
      </c>
      <c r="E17" s="374"/>
      <c r="F17" s="374"/>
      <c r="G17" s="375"/>
      <c r="H17" s="373" t="s">
        <v>75</v>
      </c>
      <c r="I17" s="374"/>
      <c r="J17" s="374"/>
      <c r="K17" s="375"/>
      <c r="L17" s="372" t="s">
        <v>76</v>
      </c>
      <c r="M17" s="372"/>
      <c r="N17" s="372"/>
      <c r="O17" s="372"/>
      <c r="P17" s="13"/>
    </row>
    <row r="18" spans="1:19" ht="29.25">
      <c r="A18" s="371"/>
      <c r="B18" s="371"/>
      <c r="C18" s="371"/>
      <c r="D18" s="376" t="s">
        <v>77</v>
      </c>
      <c r="E18" s="377"/>
      <c r="F18" s="376" t="s">
        <v>78</v>
      </c>
      <c r="G18" s="377"/>
      <c r="H18" s="376" t="s">
        <v>79</v>
      </c>
      <c r="I18" s="377"/>
      <c r="J18" s="371" t="s">
        <v>80</v>
      </c>
      <c r="K18" s="371"/>
      <c r="L18" s="371" t="s">
        <v>81</v>
      </c>
      <c r="M18" s="371"/>
      <c r="N18" s="371" t="s">
        <v>82</v>
      </c>
      <c r="O18" s="371"/>
      <c r="P18" s="13"/>
    </row>
    <row r="19" spans="1:19" ht="58.5">
      <c r="A19" s="371"/>
      <c r="B19" s="371"/>
      <c r="C19" s="371"/>
      <c r="D19" s="352" t="s">
        <v>83</v>
      </c>
      <c r="E19" s="352" t="s">
        <v>84</v>
      </c>
      <c r="F19" s="352" t="s">
        <v>83</v>
      </c>
      <c r="G19" s="352" t="s">
        <v>85</v>
      </c>
      <c r="H19" s="352" t="s">
        <v>83</v>
      </c>
      <c r="I19" s="352" t="s">
        <v>84</v>
      </c>
      <c r="J19" s="352" t="s">
        <v>83</v>
      </c>
      <c r="K19" s="352" t="s">
        <v>85</v>
      </c>
      <c r="L19" s="352" t="s">
        <v>83</v>
      </c>
      <c r="M19" s="352" t="s">
        <v>85</v>
      </c>
      <c r="N19" s="352" t="s">
        <v>83</v>
      </c>
      <c r="O19" s="352" t="s">
        <v>86</v>
      </c>
      <c r="P19" s="13"/>
    </row>
    <row r="20" spans="1:19" ht="22.15" customHeight="1">
      <c r="A20" s="14" t="s">
        <v>98</v>
      </c>
      <c r="B20" s="15" t="s">
        <v>100</v>
      </c>
      <c r="C20" s="16" t="s">
        <v>8</v>
      </c>
      <c r="D20" s="17"/>
      <c r="E20" s="17"/>
      <c r="F20" s="17"/>
      <c r="G20" s="17"/>
      <c r="H20" s="16"/>
      <c r="I20" s="143">
        <v>147962</v>
      </c>
      <c r="J20" s="16"/>
      <c r="K20" s="17">
        <f>ROUND(I20*2.02726659547722,2)</f>
        <v>299958.42</v>
      </c>
      <c r="L20" s="16"/>
      <c r="M20" s="142">
        <f>I20+'8-AUG'!M20</f>
        <v>563295</v>
      </c>
      <c r="N20" s="16"/>
      <c r="O20" s="142">
        <f>K20+'8-AUG'!O20</f>
        <v>1099025.7</v>
      </c>
      <c r="Q20" s="138">
        <f>M20+I20</f>
        <v>711257</v>
      </c>
      <c r="R20" s="57"/>
      <c r="S20" s="58">
        <f t="shared" ref="S20:S26" si="0">O20+K20</f>
        <v>1398984.1199999999</v>
      </c>
    </row>
    <row r="21" spans="1:19" ht="22.15" customHeight="1">
      <c r="A21" s="14" t="s">
        <v>98</v>
      </c>
      <c r="B21" s="21" t="s">
        <v>99</v>
      </c>
      <c r="C21" s="16" t="s">
        <v>8</v>
      </c>
      <c r="D21" s="17"/>
      <c r="E21" s="17"/>
      <c r="F21" s="17"/>
      <c r="G21" s="17"/>
      <c r="H21" s="16"/>
      <c r="I21" s="143"/>
      <c r="J21" s="16"/>
      <c r="K21" s="17"/>
      <c r="L21" s="16"/>
      <c r="M21" s="142">
        <f>I21+'8-AUG'!M21</f>
        <v>23698</v>
      </c>
      <c r="N21" s="16"/>
      <c r="O21" s="142">
        <f>K21+'8-AUG'!O21</f>
        <v>344904.25999999995</v>
      </c>
      <c r="Q21" s="139"/>
      <c r="S21" s="59"/>
    </row>
    <row r="22" spans="1:19" ht="21.75" customHeight="1">
      <c r="A22" s="14" t="s">
        <v>98</v>
      </c>
      <c r="B22" s="21" t="s">
        <v>105</v>
      </c>
      <c r="C22" s="16" t="s">
        <v>8</v>
      </c>
      <c r="D22" s="17"/>
      <c r="E22" s="17"/>
      <c r="F22" s="17"/>
      <c r="G22" s="17"/>
      <c r="H22" s="16"/>
      <c r="I22" s="18"/>
      <c r="J22" s="16"/>
      <c r="K22" s="17"/>
      <c r="L22" s="16"/>
      <c r="M22" s="142">
        <f>I22+'8-AUG'!M22</f>
        <v>81280</v>
      </c>
      <c r="N22" s="16"/>
      <c r="O22" s="142">
        <f>K22+'8-AUG'!O22</f>
        <v>2855</v>
      </c>
      <c r="Q22" s="139"/>
      <c r="S22" s="59"/>
    </row>
    <row r="23" spans="1:19" ht="22.15" customHeight="1">
      <c r="A23" s="14" t="s">
        <v>98</v>
      </c>
      <c r="B23" s="21" t="s">
        <v>108</v>
      </c>
      <c r="C23" s="16" t="s">
        <v>8</v>
      </c>
      <c r="D23" s="17"/>
      <c r="E23" s="17"/>
      <c r="F23" s="17"/>
      <c r="G23" s="17"/>
      <c r="H23" s="16"/>
      <c r="I23" s="18"/>
      <c r="J23" s="16"/>
      <c r="K23" s="17"/>
      <c r="L23" s="16"/>
      <c r="M23" s="142">
        <f>I23+'8-AUG'!M23</f>
        <v>576</v>
      </c>
      <c r="N23" s="16"/>
      <c r="O23" s="142">
        <f>K23+'8-AUG'!O23</f>
        <v>267740.36</v>
      </c>
      <c r="Q23" s="139">
        <f t="shared" ref="Q23:Q26" si="1">M23+I23</f>
        <v>576</v>
      </c>
      <c r="S23" s="59">
        <f t="shared" si="0"/>
        <v>267740.36</v>
      </c>
    </row>
    <row r="24" spans="1:19" ht="22.15" customHeight="1">
      <c r="A24" s="14" t="s">
        <v>98</v>
      </c>
      <c r="B24" s="21" t="s">
        <v>101</v>
      </c>
      <c r="C24" s="16" t="s">
        <v>8</v>
      </c>
      <c r="D24" s="17"/>
      <c r="E24" s="17"/>
      <c r="F24" s="17"/>
      <c r="G24" s="17"/>
      <c r="H24" s="16"/>
      <c r="I24" s="18"/>
      <c r="J24" s="16"/>
      <c r="K24" s="17"/>
      <c r="L24" s="16"/>
      <c r="M24" s="142">
        <f>I24+'8-AUG'!M24</f>
        <v>3396</v>
      </c>
      <c r="N24" s="16"/>
      <c r="O24" s="142">
        <f>K24+'8-AUG'!O24</f>
        <v>1532.16</v>
      </c>
      <c r="Q24" s="139">
        <f t="shared" si="1"/>
        <v>3396</v>
      </c>
      <c r="S24" s="59">
        <f t="shared" si="0"/>
        <v>1532.16</v>
      </c>
    </row>
    <row r="25" spans="1:19" ht="22.15" customHeight="1">
      <c r="A25" s="14" t="s">
        <v>98</v>
      </c>
      <c r="B25" s="15" t="s">
        <v>103</v>
      </c>
      <c r="C25" s="16" t="s">
        <v>8</v>
      </c>
      <c r="D25" s="17"/>
      <c r="E25" s="17"/>
      <c r="F25" s="17"/>
      <c r="G25" s="17"/>
      <c r="H25" s="16"/>
      <c r="I25" s="18"/>
      <c r="J25" s="16"/>
      <c r="K25" s="17"/>
      <c r="L25" s="16"/>
      <c r="M25" s="142">
        <f>I25+'8-AUG'!M25</f>
        <v>1848</v>
      </c>
      <c r="N25" s="16"/>
      <c r="O25" s="142">
        <f>K25+'8-AUG'!O25</f>
        <v>2272.8000000000002</v>
      </c>
      <c r="Q25" s="139">
        <f t="shared" si="1"/>
        <v>1848</v>
      </c>
      <c r="S25" s="59">
        <f t="shared" si="0"/>
        <v>2272.8000000000002</v>
      </c>
    </row>
    <row r="26" spans="1:19" ht="22.15" customHeight="1">
      <c r="A26" s="14" t="s">
        <v>98</v>
      </c>
      <c r="B26" s="21" t="s">
        <v>104</v>
      </c>
      <c r="C26" s="16" t="s">
        <v>8</v>
      </c>
      <c r="D26" s="17"/>
      <c r="E26" s="17"/>
      <c r="F26" s="17"/>
      <c r="G26" s="17"/>
      <c r="H26" s="16"/>
      <c r="I26" s="18"/>
      <c r="J26" s="16"/>
      <c r="K26" s="17"/>
      <c r="L26" s="16"/>
      <c r="M26" s="142">
        <f>I26+'8-AUG'!M26</f>
        <v>565651</v>
      </c>
      <c r="N26" s="16"/>
      <c r="O26" s="142">
        <f>K26+'8-AUG'!O26</f>
        <v>2605.6799999999998</v>
      </c>
      <c r="Q26" s="140">
        <f t="shared" si="1"/>
        <v>565651</v>
      </c>
      <c r="R26" s="60"/>
      <c r="S26" s="61">
        <f t="shared" si="0"/>
        <v>2605.6799999999998</v>
      </c>
    </row>
    <row r="27" spans="1:19" ht="22.15" customHeight="1" thickBot="1">
      <c r="A27" s="14" t="s">
        <v>98</v>
      </c>
      <c r="B27" s="21" t="s">
        <v>123</v>
      </c>
      <c r="C27" s="16" t="s">
        <v>8</v>
      </c>
      <c r="D27" s="17"/>
      <c r="E27" s="17"/>
      <c r="F27" s="17"/>
      <c r="G27" s="17"/>
      <c r="H27" s="16"/>
      <c r="I27" s="18"/>
      <c r="J27" s="16"/>
      <c r="K27" s="17"/>
      <c r="L27" s="16"/>
      <c r="M27" s="142">
        <f>I27+'8-AUG'!M27</f>
        <v>1000</v>
      </c>
      <c r="N27" s="16"/>
      <c r="O27" s="142">
        <f>K27+'8-AUG'!O27</f>
        <v>1950</v>
      </c>
      <c r="Q27" s="205"/>
      <c r="R27" s="164"/>
      <c r="S27" s="206"/>
    </row>
    <row r="28" spans="1:19" s="96" customFormat="1" ht="22.15" customHeight="1" thickBot="1">
      <c r="A28" s="390" t="s">
        <v>9</v>
      </c>
      <c r="B28" s="391"/>
      <c r="C28" s="107"/>
      <c r="D28" s="322"/>
      <c r="E28" s="323">
        <f>SUM(E20:E26)</f>
        <v>0</v>
      </c>
      <c r="F28" s="322"/>
      <c r="G28" s="323">
        <f>SUM(G20:G26)</f>
        <v>0</v>
      </c>
      <c r="H28" s="324"/>
      <c r="I28" s="322">
        <f>SUM(I20:I27)</f>
        <v>147962</v>
      </c>
      <c r="J28" s="324"/>
      <c r="K28" s="323">
        <f>SUM(K20:K27)</f>
        <v>299958.42</v>
      </c>
      <c r="L28" s="324"/>
      <c r="M28" s="323">
        <f>SUM(M20:M27)</f>
        <v>1240744</v>
      </c>
      <c r="N28" s="324"/>
      <c r="O28" s="325">
        <f>SUM(O20:O27)</f>
        <v>1722885.9599999997</v>
      </c>
      <c r="Q28" s="97"/>
    </row>
    <row r="29" spans="1:19" ht="23.25">
      <c r="A29" s="392" t="s">
        <v>60</v>
      </c>
      <c r="B29" s="387"/>
      <c r="C29" s="387"/>
      <c r="D29" s="387"/>
      <c r="E29" s="387"/>
      <c r="F29" s="387"/>
      <c r="G29" s="387"/>
      <c r="H29" s="387"/>
      <c r="I29" s="387"/>
      <c r="J29" s="25"/>
      <c r="K29" s="25"/>
      <c r="L29" s="25"/>
      <c r="M29" s="25"/>
      <c r="N29" s="25"/>
      <c r="O29" s="25"/>
      <c r="P29" s="13"/>
    </row>
    <row r="30" spans="1:19" ht="29.25">
      <c r="A30" s="387" t="s">
        <v>61</v>
      </c>
      <c r="B30" s="387"/>
      <c r="C30" s="387"/>
      <c r="D30" s="387"/>
      <c r="E30" s="387"/>
      <c r="F30" s="387"/>
      <c r="G30" s="387"/>
      <c r="H30" s="387"/>
      <c r="I30" s="387"/>
      <c r="J30" s="23"/>
      <c r="K30" s="385" t="s">
        <v>130</v>
      </c>
      <c r="L30" s="385"/>
      <c r="M30" s="74"/>
      <c r="N30" s="385" t="str">
        <f>K30</f>
        <v>ថ្ងៃទី 15 ខែ កញ្ញា ឆ្នាំ2026</v>
      </c>
      <c r="O30" s="385"/>
      <c r="P30" s="13"/>
      <c r="Q30" s="1" t="s">
        <v>130</v>
      </c>
    </row>
    <row r="31" spans="1:19" ht="18.75">
      <c r="A31" s="45" t="s">
        <v>62</v>
      </c>
      <c r="B31" s="9"/>
      <c r="C31" s="12"/>
      <c r="D31" s="12"/>
      <c r="E31" s="12"/>
      <c r="F31" s="12"/>
      <c r="G31" s="12"/>
      <c r="H31" s="12"/>
      <c r="I31" s="12"/>
      <c r="J31" s="25" t="s">
        <v>54</v>
      </c>
      <c r="K31" s="383" t="s">
        <v>128</v>
      </c>
      <c r="L31" s="383"/>
      <c r="M31" s="351"/>
      <c r="N31" s="383" t="s">
        <v>128</v>
      </c>
      <c r="O31" s="383"/>
      <c r="P31" s="13"/>
    </row>
    <row r="32" spans="1:19" ht="29.25">
      <c r="A32" s="11" t="s">
        <v>10</v>
      </c>
      <c r="B32" s="11"/>
      <c r="C32" s="12"/>
      <c r="D32" s="12"/>
      <c r="E32" s="12"/>
      <c r="F32" s="12"/>
      <c r="G32" s="12"/>
      <c r="H32" s="12"/>
      <c r="I32" s="12"/>
      <c r="J32" s="25"/>
      <c r="K32" s="384" t="s">
        <v>11</v>
      </c>
      <c r="L32" s="384"/>
      <c r="M32" s="351"/>
      <c r="N32" s="385" t="s">
        <v>12</v>
      </c>
      <c r="O32" s="386"/>
      <c r="P32" s="13"/>
    </row>
    <row r="33" spans="1:16" ht="24.75">
      <c r="A33" s="11" t="s">
        <v>63</v>
      </c>
      <c r="B33" s="11"/>
      <c r="C33" s="12"/>
      <c r="D33" s="12"/>
      <c r="E33" s="12"/>
      <c r="F33" s="12"/>
      <c r="G33" s="12"/>
      <c r="H33" s="12"/>
      <c r="I33" s="12"/>
      <c r="J33" s="25"/>
      <c r="K33" s="87"/>
      <c r="L33" s="87"/>
      <c r="M33" s="351"/>
      <c r="N33" s="350"/>
      <c r="O33" s="351"/>
      <c r="P33" s="13"/>
    </row>
    <row r="34" spans="1:16" ht="23.25">
      <c r="A34" s="387" t="s">
        <v>64</v>
      </c>
      <c r="B34" s="387"/>
      <c r="C34" s="387"/>
      <c r="D34" s="387"/>
      <c r="E34" s="387"/>
      <c r="F34" s="387"/>
      <c r="G34" s="387"/>
      <c r="H34" s="387"/>
      <c r="I34" s="387"/>
      <c r="J34" s="25"/>
      <c r="K34" s="388" t="s">
        <v>13</v>
      </c>
      <c r="L34" s="389"/>
      <c r="M34" s="351"/>
      <c r="N34" s="389" t="s">
        <v>14</v>
      </c>
      <c r="O34" s="389"/>
      <c r="P34" s="13"/>
    </row>
    <row r="35" spans="1:16" ht="23.25">
      <c r="A35" s="24" t="s">
        <v>65</v>
      </c>
      <c r="B35" s="24"/>
      <c r="C35" s="7"/>
      <c r="D35" s="7"/>
      <c r="E35" s="349"/>
      <c r="F35" s="349"/>
      <c r="G35" s="349"/>
      <c r="H35" s="349"/>
      <c r="I35" s="349"/>
      <c r="J35" s="25"/>
      <c r="K35" s="351"/>
      <c r="L35" s="351"/>
      <c r="M35" s="351"/>
      <c r="N35" s="351"/>
      <c r="O35" s="351"/>
      <c r="P35" s="13"/>
    </row>
    <row r="36" spans="1:16" s="46" customFormat="1" ht="20.100000000000001" customHeight="1">
      <c r="A36" s="46" t="s">
        <v>66</v>
      </c>
      <c r="H36" s="12"/>
      <c r="I36" s="12"/>
      <c r="J36" s="25"/>
      <c r="K36" s="351"/>
      <c r="L36" s="351"/>
      <c r="M36" s="351"/>
      <c r="N36" s="351"/>
      <c r="O36" s="351"/>
      <c r="P36" s="24"/>
    </row>
    <row r="37" spans="1:16" ht="23.25">
      <c r="A37" s="393" t="s">
        <v>67</v>
      </c>
      <c r="B37" s="393"/>
      <c r="C37" s="393"/>
      <c r="D37" s="393"/>
      <c r="E37" s="393"/>
      <c r="F37" s="393"/>
      <c r="G37" s="393"/>
      <c r="H37" s="12"/>
      <c r="I37" s="12"/>
      <c r="J37" s="25"/>
      <c r="K37" s="351"/>
      <c r="L37" s="351"/>
      <c r="M37" s="351"/>
      <c r="N37" s="351"/>
      <c r="O37" s="351"/>
      <c r="P37" s="13"/>
    </row>
    <row r="38" spans="1:16" ht="23.25">
      <c r="A38" s="348"/>
      <c r="B38" s="348"/>
      <c r="C38" s="348"/>
      <c r="D38" s="348"/>
      <c r="E38" s="348"/>
      <c r="F38" s="348"/>
      <c r="G38" s="348"/>
      <c r="H38" s="12"/>
      <c r="I38" s="12"/>
      <c r="J38" s="25"/>
      <c r="K38" s="351"/>
      <c r="L38" s="351"/>
      <c r="M38" s="351"/>
      <c r="N38" s="351"/>
      <c r="O38" s="351"/>
      <c r="P38" s="13"/>
    </row>
    <row r="39" spans="1:16" ht="23.25">
      <c r="A39" s="348"/>
      <c r="B39" s="348"/>
      <c r="C39" s="348"/>
      <c r="D39" s="348"/>
      <c r="E39" s="348"/>
      <c r="F39" s="348"/>
      <c r="G39" s="348"/>
      <c r="H39" s="12"/>
      <c r="I39" s="12"/>
      <c r="J39" s="25"/>
      <c r="K39" s="351"/>
      <c r="L39" s="351"/>
      <c r="M39" s="351"/>
      <c r="N39" s="351"/>
      <c r="O39" s="351"/>
      <c r="P39" s="13"/>
    </row>
    <row r="40" spans="1:16" ht="23.25">
      <c r="A40" s="13"/>
      <c r="B40" s="348"/>
      <c r="C40" s="25"/>
      <c r="D40" s="25"/>
      <c r="E40" s="25"/>
      <c r="F40" s="25"/>
      <c r="G40" s="25"/>
      <c r="H40" s="25"/>
      <c r="I40" s="25"/>
      <c r="J40" s="25"/>
      <c r="K40" s="351"/>
      <c r="L40" s="351"/>
      <c r="M40" s="351"/>
      <c r="N40" s="351"/>
      <c r="O40" s="351"/>
      <c r="P40" s="13"/>
    </row>
    <row r="41" spans="1:16" ht="18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394" t="s">
        <v>113</v>
      </c>
      <c r="L41" s="394"/>
      <c r="M41" s="77"/>
      <c r="N41" s="395" t="s">
        <v>127</v>
      </c>
      <c r="O41" s="395"/>
      <c r="P41" s="13"/>
    </row>
    <row r="42" spans="1:16" ht="36.75">
      <c r="A42" s="13"/>
      <c r="B42" s="396" t="s">
        <v>96</v>
      </c>
      <c r="C42" s="396"/>
      <c r="D42" s="396"/>
      <c r="E42" s="396"/>
      <c r="F42" s="396"/>
      <c r="G42" s="396"/>
      <c r="H42" s="396"/>
      <c r="I42" s="396"/>
      <c r="J42" s="13"/>
      <c r="K42" s="13"/>
      <c r="L42" s="13"/>
      <c r="M42" s="13"/>
      <c r="N42" s="13"/>
      <c r="O42" s="13"/>
      <c r="P42" s="13"/>
    </row>
    <row r="43" spans="1:16" ht="33">
      <c r="A43" s="397" t="s">
        <v>68</v>
      </c>
      <c r="B43" s="397"/>
      <c r="C43" s="397"/>
      <c r="D43" s="397"/>
      <c r="E43" s="397"/>
      <c r="F43" s="397"/>
      <c r="G43" s="397"/>
      <c r="H43" s="397"/>
      <c r="I43" s="397"/>
      <c r="J43" s="62" t="str">
        <f>I6</f>
        <v>កញ្ញា</v>
      </c>
      <c r="K43" s="88" t="s">
        <v>97</v>
      </c>
      <c r="L43" s="26"/>
      <c r="M43" s="26"/>
      <c r="N43" s="26"/>
      <c r="O43" s="26"/>
      <c r="P43" s="26"/>
    </row>
    <row r="44" spans="1:16" ht="33">
      <c r="A44" s="399" t="s">
        <v>15</v>
      </c>
      <c r="B44" s="399" t="s">
        <v>16</v>
      </c>
      <c r="C44" s="399"/>
      <c r="D44" s="400" t="s">
        <v>17</v>
      </c>
      <c r="E44" s="401" t="s">
        <v>70</v>
      </c>
      <c r="F44" s="402"/>
      <c r="G44" s="402"/>
      <c r="H44" s="402"/>
      <c r="I44" s="402"/>
      <c r="J44" s="402"/>
      <c r="K44" s="402"/>
      <c r="L44" s="402"/>
      <c r="M44" s="402"/>
      <c r="N44" s="402"/>
      <c r="O44" s="403" t="s">
        <v>23</v>
      </c>
      <c r="P44" s="404"/>
    </row>
    <row r="45" spans="1:16" ht="28.15" customHeight="1">
      <c r="A45" s="399"/>
      <c r="B45" s="399"/>
      <c r="C45" s="399"/>
      <c r="D45" s="400"/>
      <c r="E45" s="398" t="s">
        <v>18</v>
      </c>
      <c r="F45" s="399"/>
      <c r="G45" s="399" t="s">
        <v>19</v>
      </c>
      <c r="H45" s="399"/>
      <c r="I45" s="399" t="s">
        <v>20</v>
      </c>
      <c r="J45" s="399"/>
      <c r="K45" s="399" t="s">
        <v>21</v>
      </c>
      <c r="L45" s="399"/>
      <c r="M45" s="399" t="s">
        <v>22</v>
      </c>
      <c r="N45" s="407"/>
      <c r="O45" s="405"/>
      <c r="P45" s="406"/>
    </row>
    <row r="46" spans="1:16" ht="29.25">
      <c r="A46" s="399"/>
      <c r="B46" s="399"/>
      <c r="C46" s="399"/>
      <c r="D46" s="400"/>
      <c r="E46" s="345" t="s">
        <v>24</v>
      </c>
      <c r="F46" s="344" t="s">
        <v>25</v>
      </c>
      <c r="G46" s="344" t="s">
        <v>24</v>
      </c>
      <c r="H46" s="344" t="s">
        <v>25</v>
      </c>
      <c r="I46" s="344" t="s">
        <v>24</v>
      </c>
      <c r="J46" s="344" t="s">
        <v>25</v>
      </c>
      <c r="K46" s="344" t="s">
        <v>24</v>
      </c>
      <c r="L46" s="344" t="s">
        <v>25</v>
      </c>
      <c r="M46" s="344" t="s">
        <v>24</v>
      </c>
      <c r="N46" s="344" t="s">
        <v>25</v>
      </c>
      <c r="O46" s="344" t="s">
        <v>24</v>
      </c>
      <c r="P46" s="344" t="s">
        <v>25</v>
      </c>
    </row>
    <row r="47" spans="1:16" ht="25.15" customHeight="1">
      <c r="A47" s="27">
        <v>1</v>
      </c>
      <c r="B47" s="145" t="str">
        <f t="shared" ref="B47:C54" si="2">A20</f>
        <v>LADIES</v>
      </c>
      <c r="C47" s="146" t="str">
        <f t="shared" si="2"/>
        <v>PANTS</v>
      </c>
      <c r="D47" s="42" t="s">
        <v>8</v>
      </c>
      <c r="E47" s="148">
        <v>141738</v>
      </c>
      <c r="F47" s="148">
        <f>ROUND(E47*2.02761729388026,2)</f>
        <v>287390.42</v>
      </c>
      <c r="G47" s="144">
        <v>6224</v>
      </c>
      <c r="H47" s="17">
        <f>ROUND(G47*2.01928020565553,2)</f>
        <v>12568</v>
      </c>
      <c r="I47" s="31"/>
      <c r="J47" s="31"/>
      <c r="K47" s="31"/>
      <c r="L47" s="17"/>
      <c r="M47" s="31"/>
      <c r="N47" s="17"/>
      <c r="O47" s="44">
        <f>M20</f>
        <v>563295</v>
      </c>
      <c r="P47" s="44">
        <f t="shared" ref="P47:P53" si="3">O20</f>
        <v>1099025.7</v>
      </c>
    </row>
    <row r="48" spans="1:16" ht="25.15" customHeight="1">
      <c r="A48" s="27">
        <v>2</v>
      </c>
      <c r="B48" s="145" t="str">
        <f t="shared" si="2"/>
        <v>LADIES</v>
      </c>
      <c r="C48" s="146" t="str">
        <f t="shared" si="2"/>
        <v>PAJAMAS</v>
      </c>
      <c r="D48" s="42" t="s">
        <v>8</v>
      </c>
      <c r="E48" s="144"/>
      <c r="F48" s="17"/>
      <c r="G48" s="144"/>
      <c r="H48" s="17"/>
      <c r="I48" s="34"/>
      <c r="J48" s="34"/>
      <c r="K48" s="31"/>
      <c r="L48" s="17"/>
      <c r="M48" s="31"/>
      <c r="N48" s="17"/>
      <c r="O48" s="44">
        <f t="shared" ref="O48:O53" si="4">M21</f>
        <v>23698</v>
      </c>
      <c r="P48" s="44">
        <f t="shared" si="3"/>
        <v>344904.25999999995</v>
      </c>
    </row>
    <row r="49" spans="1:20" ht="25.15" customHeight="1">
      <c r="A49" s="27">
        <v>3</v>
      </c>
      <c r="B49" s="145" t="str">
        <f t="shared" si="2"/>
        <v>LADIES</v>
      </c>
      <c r="C49" s="146" t="str">
        <f t="shared" si="2"/>
        <v>SKIRT</v>
      </c>
      <c r="D49" s="42" t="s">
        <v>8</v>
      </c>
      <c r="E49" s="31"/>
      <c r="F49" s="17"/>
      <c r="G49" s="38"/>
      <c r="H49" s="34"/>
      <c r="I49" s="31"/>
      <c r="J49" s="31"/>
      <c r="K49" s="31"/>
      <c r="L49" s="17"/>
      <c r="M49" s="31"/>
      <c r="N49" s="17"/>
      <c r="O49" s="44">
        <f t="shared" si="4"/>
        <v>81280</v>
      </c>
      <c r="P49" s="44">
        <f t="shared" si="3"/>
        <v>2855</v>
      </c>
    </row>
    <row r="50" spans="1:20" ht="25.15" customHeight="1">
      <c r="A50" s="27">
        <v>4</v>
      </c>
      <c r="B50" s="145" t="str">
        <f t="shared" si="2"/>
        <v>LADIES</v>
      </c>
      <c r="C50" s="146" t="str">
        <f t="shared" si="2"/>
        <v>DRESS</v>
      </c>
      <c r="D50" s="42" t="s">
        <v>8</v>
      </c>
      <c r="E50" s="31"/>
      <c r="F50" s="17"/>
      <c r="G50" s="38"/>
      <c r="H50" s="34"/>
      <c r="I50" s="31"/>
      <c r="J50" s="31"/>
      <c r="K50" s="31"/>
      <c r="L50" s="17"/>
      <c r="M50" s="31"/>
      <c r="N50" s="17"/>
      <c r="O50" s="44">
        <f t="shared" si="4"/>
        <v>576</v>
      </c>
      <c r="P50" s="44">
        <f t="shared" si="3"/>
        <v>267740.36</v>
      </c>
    </row>
    <row r="51" spans="1:20" ht="25.15" customHeight="1">
      <c r="A51" s="27">
        <v>5</v>
      </c>
      <c r="B51" s="145" t="str">
        <f t="shared" si="2"/>
        <v>LADIES</v>
      </c>
      <c r="C51" s="146" t="str">
        <f t="shared" si="2"/>
        <v>NIGHT GOWN</v>
      </c>
      <c r="D51" s="42" t="s">
        <v>8</v>
      </c>
      <c r="E51" s="31"/>
      <c r="F51" s="17"/>
      <c r="G51" s="38"/>
      <c r="H51" s="34"/>
      <c r="I51" s="31"/>
      <c r="J51" s="31"/>
      <c r="K51" s="31"/>
      <c r="L51" s="17"/>
      <c r="M51" s="31"/>
      <c r="N51" s="17"/>
      <c r="O51" s="44">
        <f t="shared" si="4"/>
        <v>3396</v>
      </c>
      <c r="P51" s="44">
        <f t="shared" si="3"/>
        <v>1532.16</v>
      </c>
    </row>
    <row r="52" spans="1:20" ht="25.15" customHeight="1">
      <c r="A52" s="27">
        <v>6</v>
      </c>
      <c r="B52" s="145" t="str">
        <f t="shared" si="2"/>
        <v>LADIES</v>
      </c>
      <c r="C52" s="146" t="str">
        <f t="shared" si="2"/>
        <v>TANK</v>
      </c>
      <c r="D52" s="42" t="s">
        <v>8</v>
      </c>
      <c r="E52" s="31"/>
      <c r="F52" s="17"/>
      <c r="G52" s="38"/>
      <c r="H52" s="34"/>
      <c r="I52" s="31"/>
      <c r="J52" s="31"/>
      <c r="K52" s="31"/>
      <c r="L52" s="17"/>
      <c r="M52" s="31"/>
      <c r="N52" s="17"/>
      <c r="O52" s="44">
        <f t="shared" si="4"/>
        <v>1848</v>
      </c>
      <c r="P52" s="44">
        <f t="shared" si="3"/>
        <v>2272.8000000000002</v>
      </c>
    </row>
    <row r="53" spans="1:20" ht="25.15" customHeight="1">
      <c r="A53" s="27">
        <v>7</v>
      </c>
      <c r="B53" s="145" t="str">
        <f t="shared" si="2"/>
        <v>LADIES</v>
      </c>
      <c r="C53" s="146" t="str">
        <f t="shared" si="2"/>
        <v>SHORT</v>
      </c>
      <c r="D53" s="42" t="s">
        <v>8</v>
      </c>
      <c r="E53" s="31"/>
      <c r="F53" s="17"/>
      <c r="G53" s="38"/>
      <c r="H53" s="34"/>
      <c r="I53" s="31"/>
      <c r="J53" s="31"/>
      <c r="K53" s="31"/>
      <c r="L53" s="17"/>
      <c r="M53" s="31"/>
      <c r="N53" s="17"/>
      <c r="O53" s="44">
        <f t="shared" si="4"/>
        <v>565651</v>
      </c>
      <c r="P53" s="44">
        <f t="shared" si="3"/>
        <v>2605.6799999999998</v>
      </c>
    </row>
    <row r="54" spans="1:20" ht="25.15" customHeight="1" thickBot="1">
      <c r="A54" s="27">
        <v>8</v>
      </c>
      <c r="B54" s="145" t="str">
        <f t="shared" si="2"/>
        <v>LADIES</v>
      </c>
      <c r="C54" s="146" t="str">
        <f t="shared" si="2"/>
        <v>SKORT</v>
      </c>
      <c r="D54" s="42" t="s">
        <v>8</v>
      </c>
      <c r="E54" s="31"/>
      <c r="F54" s="17"/>
      <c r="G54" s="38"/>
      <c r="H54" s="34"/>
      <c r="I54" s="31"/>
      <c r="J54" s="31"/>
      <c r="K54" s="31"/>
      <c r="L54" s="17"/>
      <c r="M54" s="31"/>
      <c r="N54" s="17"/>
      <c r="O54" s="326">
        <v>1000</v>
      </c>
      <c r="P54" s="327">
        <v>1950</v>
      </c>
    </row>
    <row r="55" spans="1:20" s="96" customFormat="1" ht="26.25" thickBot="1">
      <c r="A55" s="111"/>
      <c r="B55" s="408" t="s">
        <v>26</v>
      </c>
      <c r="C55" s="408"/>
      <c r="D55" s="343"/>
      <c r="E55" s="328">
        <f t="shared" ref="E55:N55" si="5">SUM(E47:E53)</f>
        <v>141738</v>
      </c>
      <c r="F55" s="328">
        <f t="shared" si="5"/>
        <v>287390.42</v>
      </c>
      <c r="G55" s="328">
        <f t="shared" si="5"/>
        <v>6224</v>
      </c>
      <c r="H55" s="328">
        <f t="shared" si="5"/>
        <v>12568</v>
      </c>
      <c r="I55" s="328">
        <f t="shared" si="5"/>
        <v>0</v>
      </c>
      <c r="J55" s="328">
        <f t="shared" si="5"/>
        <v>0</v>
      </c>
      <c r="K55" s="328">
        <f t="shared" si="5"/>
        <v>0</v>
      </c>
      <c r="L55" s="328">
        <f t="shared" si="5"/>
        <v>0</v>
      </c>
      <c r="M55" s="328">
        <f t="shared" si="5"/>
        <v>0</v>
      </c>
      <c r="N55" s="328">
        <f t="shared" si="5"/>
        <v>0</v>
      </c>
      <c r="O55" s="114">
        <f>SUM(O47:O54)</f>
        <v>1240744</v>
      </c>
      <c r="P55" s="114">
        <f>SUM(P47:P54)</f>
        <v>1722885.9599999997</v>
      </c>
      <c r="Q55" s="514">
        <f>E55+G55</f>
        <v>147962</v>
      </c>
      <c r="R55" s="514">
        <f>F55+H55</f>
        <v>299958.42</v>
      </c>
    </row>
    <row r="56" spans="1:20" ht="23.25">
      <c r="A56" s="94"/>
      <c r="B56" s="43"/>
      <c r="C56" s="43"/>
      <c r="D56" s="43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100"/>
      <c r="P56" s="101"/>
    </row>
    <row r="57" spans="1:20" ht="33">
      <c r="A57" s="397" t="s">
        <v>27</v>
      </c>
      <c r="B57" s="397"/>
      <c r="C57" s="397"/>
      <c r="D57" s="397"/>
      <c r="E57" s="397"/>
      <c r="F57" s="397"/>
      <c r="G57" s="397"/>
      <c r="H57" s="397"/>
      <c r="I57" s="397"/>
      <c r="J57" s="62" t="str">
        <f>$I$6</f>
        <v>កញ្ញា</v>
      </c>
      <c r="K57" s="63" t="str">
        <f>$K$43</f>
        <v>ឆ្នាំ២០២៦ (USD)</v>
      </c>
      <c r="L57" s="26"/>
      <c r="M57" s="26"/>
      <c r="N57" s="26"/>
      <c r="O57" s="26"/>
      <c r="P57" s="26"/>
    </row>
    <row r="58" spans="1:20" ht="33">
      <c r="A58" s="399" t="s">
        <v>15</v>
      </c>
      <c r="B58" s="399" t="s">
        <v>28</v>
      </c>
      <c r="C58" s="399"/>
      <c r="D58" s="400" t="s">
        <v>17</v>
      </c>
      <c r="E58" s="402" t="s">
        <v>88</v>
      </c>
      <c r="F58" s="402"/>
      <c r="G58" s="402"/>
      <c r="H58" s="402"/>
      <c r="I58" s="402"/>
      <c r="J58" s="402"/>
      <c r="K58" s="402"/>
      <c r="L58" s="402"/>
      <c r="M58" s="402"/>
      <c r="N58" s="402"/>
      <c r="O58" s="403" t="s">
        <v>23</v>
      </c>
      <c r="P58" s="404"/>
    </row>
    <row r="59" spans="1:20" s="71" customFormat="1" ht="28.15" customHeight="1">
      <c r="A59" s="399"/>
      <c r="B59" s="399"/>
      <c r="C59" s="399"/>
      <c r="D59" s="400"/>
      <c r="E59" s="398" t="s">
        <v>29</v>
      </c>
      <c r="F59" s="399"/>
      <c r="G59" s="399" t="s">
        <v>30</v>
      </c>
      <c r="H59" s="399"/>
      <c r="I59" s="399" t="s">
        <v>31</v>
      </c>
      <c r="J59" s="399"/>
      <c r="K59" s="399" t="s">
        <v>32</v>
      </c>
      <c r="L59" s="399"/>
      <c r="M59" s="399" t="s">
        <v>22</v>
      </c>
      <c r="N59" s="407"/>
      <c r="O59" s="405"/>
      <c r="P59" s="406"/>
    </row>
    <row r="60" spans="1:20" s="71" customFormat="1" ht="29.25">
      <c r="A60" s="399"/>
      <c r="B60" s="399"/>
      <c r="C60" s="399"/>
      <c r="D60" s="400"/>
      <c r="E60" s="345" t="s">
        <v>24</v>
      </c>
      <c r="F60" s="344" t="s">
        <v>25</v>
      </c>
      <c r="G60" s="66" t="s">
        <v>24</v>
      </c>
      <c r="H60" s="344" t="s">
        <v>25</v>
      </c>
      <c r="I60" s="344" t="s">
        <v>24</v>
      </c>
      <c r="J60" s="344" t="s">
        <v>25</v>
      </c>
      <c r="K60" s="344" t="s">
        <v>24</v>
      </c>
      <c r="L60" s="344" t="s">
        <v>25</v>
      </c>
      <c r="M60" s="344" t="s">
        <v>24</v>
      </c>
      <c r="N60" s="344" t="s">
        <v>25</v>
      </c>
      <c r="O60" s="344" t="s">
        <v>24</v>
      </c>
      <c r="P60" s="344" t="s">
        <v>25</v>
      </c>
    </row>
    <row r="61" spans="1:20" ht="44.45" customHeight="1">
      <c r="A61" s="32">
        <v>1</v>
      </c>
      <c r="B61" s="410" t="s">
        <v>55</v>
      </c>
      <c r="C61" s="411"/>
      <c r="D61" s="42" t="s">
        <v>124</v>
      </c>
      <c r="E61" s="33"/>
      <c r="F61" s="33"/>
      <c r="G61" s="33"/>
      <c r="H61" s="33"/>
      <c r="I61" s="126"/>
      <c r="J61" s="34"/>
      <c r="K61" s="34"/>
      <c r="L61" s="34"/>
      <c r="M61" s="33"/>
      <c r="N61" s="33"/>
      <c r="O61" s="34">
        <f>'8-AUG'!O61+E61</f>
        <v>1</v>
      </c>
      <c r="P61" s="34">
        <f>'8-AUG'!P61+F61</f>
        <v>11000</v>
      </c>
      <c r="Q61" s="19">
        <f t="shared" ref="Q61:R63" si="6">E61+G61+I61+K61+M61</f>
        <v>0</v>
      </c>
      <c r="R61" s="19">
        <f t="shared" si="6"/>
        <v>0</v>
      </c>
      <c r="S61" s="130">
        <f>Q61+O61</f>
        <v>1</v>
      </c>
      <c r="T61" s="131">
        <f>R61+P61</f>
        <v>11000</v>
      </c>
    </row>
    <row r="62" spans="1:20" ht="31.15" customHeight="1">
      <c r="A62" s="32">
        <v>3</v>
      </c>
      <c r="B62" s="412" t="s">
        <v>33</v>
      </c>
      <c r="C62" s="413"/>
      <c r="D62" s="42" t="s">
        <v>111</v>
      </c>
      <c r="E62" s="34">
        <v>176986.90000000002</v>
      </c>
      <c r="F62" s="34">
        <v>257603.46000000002</v>
      </c>
      <c r="G62" s="33"/>
      <c r="H62" s="33"/>
      <c r="I62" s="126"/>
      <c r="J62" s="34"/>
      <c r="K62" s="34"/>
      <c r="L62" s="34"/>
      <c r="M62" s="33"/>
      <c r="N62" s="33"/>
      <c r="O62" s="34">
        <f>E62+'8-AUG'!O62</f>
        <v>836020.90000000014</v>
      </c>
      <c r="P62" s="34">
        <f>F62+'8-AUG'!P62</f>
        <v>909451.66000000015</v>
      </c>
      <c r="Q62" s="19">
        <f t="shared" si="6"/>
        <v>176986.90000000002</v>
      </c>
      <c r="R62" s="19">
        <f t="shared" si="6"/>
        <v>257603.46000000002</v>
      </c>
      <c r="S62" s="132">
        <f t="shared" ref="S62:T63" si="7">Q62+O62</f>
        <v>1013007.8000000002</v>
      </c>
      <c r="T62" s="133">
        <f t="shared" si="7"/>
        <v>1167055.1200000001</v>
      </c>
    </row>
    <row r="63" spans="1:20" ht="31.15" customHeight="1" thickBot="1">
      <c r="A63" s="104">
        <v>4</v>
      </c>
      <c r="B63" s="414" t="s">
        <v>34</v>
      </c>
      <c r="C63" s="414"/>
      <c r="D63" s="53" t="s">
        <v>112</v>
      </c>
      <c r="E63" s="127">
        <v>4968.8</v>
      </c>
      <c r="F63" s="116">
        <v>993.76</v>
      </c>
      <c r="G63" s="116"/>
      <c r="H63" s="116"/>
      <c r="I63" s="116"/>
      <c r="J63" s="116"/>
      <c r="K63" s="117"/>
      <c r="L63" s="117"/>
      <c r="M63" s="116"/>
      <c r="N63" s="116"/>
      <c r="O63" s="34">
        <f>E63+'8-AUG'!O63</f>
        <v>32605.8</v>
      </c>
      <c r="P63" s="34">
        <f>F63+'8-AUG'!P63</f>
        <v>7582.21</v>
      </c>
      <c r="Q63" s="19">
        <f t="shared" si="6"/>
        <v>4968.8</v>
      </c>
      <c r="R63" s="19">
        <f t="shared" si="6"/>
        <v>993.76</v>
      </c>
      <c r="S63" s="134">
        <f t="shared" si="7"/>
        <v>37574.6</v>
      </c>
      <c r="T63" s="135">
        <f t="shared" si="7"/>
        <v>8575.9699999999993</v>
      </c>
    </row>
    <row r="64" spans="1:20" s="95" customFormat="1" ht="26.25" thickBot="1">
      <c r="A64" s="136"/>
      <c r="B64" s="408" t="s">
        <v>26</v>
      </c>
      <c r="C64" s="408"/>
      <c r="D64" s="137"/>
      <c r="E64" s="103">
        <f t="shared" ref="E64:O64" si="8">SUM(E61:E63)</f>
        <v>181955.7</v>
      </c>
      <c r="F64" s="103">
        <f t="shared" si="8"/>
        <v>258597.22000000003</v>
      </c>
      <c r="G64" s="103">
        <f t="shared" si="8"/>
        <v>0</v>
      </c>
      <c r="H64" s="103">
        <f t="shared" si="8"/>
        <v>0</v>
      </c>
      <c r="I64" s="103">
        <f t="shared" si="8"/>
        <v>0</v>
      </c>
      <c r="J64" s="103">
        <f t="shared" si="8"/>
        <v>0</v>
      </c>
      <c r="K64" s="103">
        <f t="shared" si="8"/>
        <v>0</v>
      </c>
      <c r="L64" s="103">
        <f t="shared" si="8"/>
        <v>0</v>
      </c>
      <c r="M64" s="103">
        <f t="shared" si="8"/>
        <v>0</v>
      </c>
      <c r="N64" s="103">
        <f t="shared" si="8"/>
        <v>0</v>
      </c>
      <c r="O64" s="103">
        <f t="shared" si="8"/>
        <v>868627.70000000019</v>
      </c>
      <c r="P64" s="103">
        <f>SUM(P61:P63)</f>
        <v>928033.87000000011</v>
      </c>
    </row>
    <row r="65" spans="1:18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9.25">
      <c r="A66" s="13"/>
      <c r="B66" s="348" t="str">
        <f>A37</f>
        <v>ទំនាក់ទំនង : Tel 077 330 279/090 922 237  E-mail : industryaffair.mih@gmail.com : TELEGRAM :077 330 279</v>
      </c>
      <c r="C66" s="35"/>
      <c r="D66" s="35"/>
      <c r="E66" s="35"/>
      <c r="F66" s="35"/>
      <c r="G66" s="35"/>
      <c r="H66" s="35"/>
      <c r="I66" s="35"/>
      <c r="J66" s="35"/>
      <c r="K66" s="386" t="str">
        <f>K30</f>
        <v>ថ្ងៃទី 15 ខែ កញ្ញា ឆ្នាំ2026</v>
      </c>
      <c r="L66" s="386"/>
      <c r="M66" s="69"/>
      <c r="N66" s="386" t="str">
        <f>N30</f>
        <v>ថ្ងៃទី 15 ខែ កញ្ញា ឆ្នាំ2026</v>
      </c>
      <c r="O66" s="386"/>
      <c r="P66" s="35"/>
    </row>
    <row r="67" spans="1:18" ht="29.25">
      <c r="A67" s="13"/>
      <c r="B67" s="36"/>
      <c r="C67" s="13"/>
      <c r="D67" s="13"/>
      <c r="E67" s="13"/>
      <c r="F67" s="13"/>
      <c r="G67" s="13"/>
      <c r="H67" s="13"/>
      <c r="I67" s="13"/>
      <c r="J67" s="13"/>
      <c r="K67" s="409" t="str">
        <f>K31</f>
        <v>Date:……./……../……</v>
      </c>
      <c r="L67" s="409"/>
      <c r="M67" s="80"/>
      <c r="N67" s="409" t="str">
        <f>N31</f>
        <v>Date:……./……../……</v>
      </c>
      <c r="O67" s="409"/>
      <c r="P67" s="13"/>
    </row>
    <row r="68" spans="1:18" ht="29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409" t="str">
        <f>K32</f>
        <v>នាយក</v>
      </c>
      <c r="L68" s="409"/>
      <c r="M68" s="80"/>
      <c r="N68" s="409" t="str">
        <f>N32</f>
        <v>អ្នកធ្វើរបាយការណ៍</v>
      </c>
      <c r="O68" s="409"/>
      <c r="P68" s="13"/>
    </row>
    <row r="69" spans="1:18" ht="29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409" t="str">
        <f>K34</f>
        <v>Director</v>
      </c>
      <c r="L69" s="409"/>
      <c r="M69" s="80"/>
      <c r="N69" s="409" t="str">
        <f>N34</f>
        <v>Reportor</v>
      </c>
      <c r="O69" s="409"/>
      <c r="P69" s="13"/>
    </row>
    <row r="70" spans="1:18" ht="29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80"/>
      <c r="L70" s="80"/>
      <c r="M70" s="80"/>
      <c r="N70" s="80"/>
      <c r="O70" s="80"/>
      <c r="P70" s="13"/>
    </row>
    <row r="71" spans="1:18" ht="29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80"/>
      <c r="L71" s="80"/>
      <c r="M71" s="80"/>
      <c r="N71" s="80"/>
      <c r="O71" s="80"/>
      <c r="P71" s="13"/>
    </row>
    <row r="72" spans="1:18" ht="29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80"/>
      <c r="L72" s="80"/>
      <c r="M72" s="80"/>
      <c r="N72" s="80"/>
      <c r="O72" s="80"/>
      <c r="P72" s="13"/>
    </row>
    <row r="73" spans="1:18" ht="29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80"/>
      <c r="L73" s="80"/>
      <c r="M73" s="80"/>
      <c r="N73" s="80"/>
      <c r="O73" s="80"/>
      <c r="P73" s="13"/>
    </row>
    <row r="74" spans="1:18" ht="29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80"/>
      <c r="L74" s="80"/>
      <c r="M74" s="80"/>
      <c r="N74" s="80"/>
      <c r="O74" s="80"/>
      <c r="P74" s="13"/>
    </row>
    <row r="75" spans="1:18" ht="29.25">
      <c r="A75" s="37"/>
      <c r="B75" s="13"/>
      <c r="C75" s="13"/>
      <c r="D75" s="13"/>
      <c r="E75" s="13"/>
      <c r="F75" s="13"/>
      <c r="G75" s="13"/>
      <c r="H75" s="13"/>
      <c r="I75" s="13"/>
      <c r="J75" s="13"/>
      <c r="K75" s="420" t="str">
        <f>K41</f>
        <v>NI, CUNLAN</v>
      </c>
      <c r="L75" s="420"/>
      <c r="M75" s="80"/>
      <c r="N75" s="420" t="str">
        <f>N41</f>
        <v>THNIN</v>
      </c>
      <c r="O75" s="420"/>
      <c r="P75" s="13"/>
    </row>
    <row r="76" spans="1:18" ht="36.75">
      <c r="A76" s="13"/>
      <c r="B76" s="396" t="s">
        <v>96</v>
      </c>
      <c r="C76" s="396"/>
      <c r="D76" s="396"/>
      <c r="E76" s="396"/>
      <c r="F76" s="396"/>
      <c r="G76" s="396"/>
      <c r="H76" s="396"/>
      <c r="I76" s="396"/>
      <c r="J76" s="396"/>
      <c r="K76" s="396"/>
      <c r="L76" s="13"/>
      <c r="M76" s="13"/>
      <c r="N76" s="13"/>
      <c r="O76" s="13"/>
      <c r="P76" s="13"/>
    </row>
    <row r="77" spans="1:18" ht="33">
      <c r="A77" s="13"/>
      <c r="B77" s="421" t="s">
        <v>35</v>
      </c>
      <c r="C77" s="421"/>
      <c r="D77" s="421"/>
      <c r="E77" s="421"/>
      <c r="F77" s="421"/>
      <c r="G77" s="421"/>
      <c r="H77" s="421"/>
      <c r="I77" s="421"/>
      <c r="J77" s="89" t="str">
        <f>$I$6</f>
        <v>កញ្ញា</v>
      </c>
      <c r="K77" s="90" t="str">
        <f>$K$43</f>
        <v>ឆ្នាំ២០២៦ (USD)</v>
      </c>
      <c r="L77" s="13"/>
      <c r="M77" s="13"/>
      <c r="N77" s="13"/>
      <c r="O77" s="13"/>
      <c r="P77" s="13"/>
    </row>
    <row r="78" spans="1:18" s="71" customFormat="1" ht="29.25">
      <c r="A78" s="415" t="s">
        <v>15</v>
      </c>
      <c r="B78" s="415" t="s">
        <v>36</v>
      </c>
      <c r="C78" s="415"/>
      <c r="D78" s="415"/>
      <c r="E78" s="416" t="s">
        <v>17</v>
      </c>
      <c r="F78" s="416"/>
      <c r="G78" s="415" t="s">
        <v>37</v>
      </c>
      <c r="H78" s="415"/>
      <c r="I78" s="415" t="s">
        <v>38</v>
      </c>
      <c r="J78" s="415"/>
      <c r="K78" s="418" t="s">
        <v>23</v>
      </c>
      <c r="L78" s="418"/>
      <c r="M78" s="418"/>
      <c r="N78" s="419"/>
      <c r="O78" s="424" t="s">
        <v>22</v>
      </c>
      <c r="P78" s="425"/>
    </row>
    <row r="79" spans="1:18" s="71" customFormat="1" ht="29.25">
      <c r="A79" s="415"/>
      <c r="B79" s="415"/>
      <c r="C79" s="415"/>
      <c r="D79" s="415"/>
      <c r="E79" s="417"/>
      <c r="F79" s="417"/>
      <c r="G79" s="344" t="s">
        <v>24</v>
      </c>
      <c r="H79" s="344" t="s">
        <v>89</v>
      </c>
      <c r="I79" s="344" t="s">
        <v>24</v>
      </c>
      <c r="J79" s="344" t="s">
        <v>89</v>
      </c>
      <c r="K79" s="428" t="s">
        <v>24</v>
      </c>
      <c r="L79" s="419"/>
      <c r="M79" s="429" t="s">
        <v>90</v>
      </c>
      <c r="N79" s="430"/>
      <c r="O79" s="426"/>
      <c r="P79" s="427"/>
    </row>
    <row r="80" spans="1:18" s="70" customFormat="1" ht="26.25" thickBot="1">
      <c r="A80" s="346">
        <v>1</v>
      </c>
      <c r="B80" s="431" t="s">
        <v>39</v>
      </c>
      <c r="C80" s="432"/>
      <c r="D80" s="433"/>
      <c r="E80" s="434" t="s">
        <v>40</v>
      </c>
      <c r="F80" s="434"/>
      <c r="G80" s="119"/>
      <c r="H80" s="119"/>
      <c r="I80" s="120">
        <v>11368</v>
      </c>
      <c r="J80" s="120">
        <f>0.137*I80</f>
        <v>1557.4160000000002</v>
      </c>
      <c r="K80" s="435">
        <f>I80+'8-AUG'!K81:L81</f>
        <v>102312</v>
      </c>
      <c r="L80" s="436"/>
      <c r="M80" s="435">
        <f>J80+'8-AUG'!M81:N81</f>
        <v>14016.744000000002</v>
      </c>
      <c r="N80" s="436"/>
      <c r="O80" s="437"/>
      <c r="P80" s="438"/>
      <c r="Q80" s="92">
        <f>K80+I80</f>
        <v>113680</v>
      </c>
      <c r="R80" s="93">
        <f>M80+J80</f>
        <v>15574.160000000003</v>
      </c>
    </row>
    <row r="81" spans="1:18" s="70" customFormat="1" ht="31.5" customHeight="1" thickBot="1">
      <c r="A81" s="121"/>
      <c r="B81" s="439" t="s">
        <v>26</v>
      </c>
      <c r="C81" s="440"/>
      <c r="D81" s="441"/>
      <c r="E81" s="442"/>
      <c r="F81" s="442"/>
      <c r="G81" s="122">
        <f>SUM(G80)</f>
        <v>0</v>
      </c>
      <c r="H81" s="122">
        <f>SUM(H80)</f>
        <v>0</v>
      </c>
      <c r="I81" s="122">
        <f>SUM(I80)</f>
        <v>11368</v>
      </c>
      <c r="J81" s="122">
        <f>SUM(J80)</f>
        <v>1557.4160000000002</v>
      </c>
      <c r="K81" s="443">
        <f>SUM(K80)</f>
        <v>102312</v>
      </c>
      <c r="L81" s="444"/>
      <c r="M81" s="445">
        <f>SUM(M80)</f>
        <v>14016.744000000002</v>
      </c>
      <c r="N81" s="446"/>
      <c r="O81" s="422"/>
      <c r="P81" s="423"/>
      <c r="Q81" s="92"/>
      <c r="R81" s="93"/>
    </row>
    <row r="82" spans="1:18">
      <c r="A82" s="13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13"/>
      <c r="M82" s="13"/>
      <c r="N82" s="13"/>
      <c r="O82" s="13"/>
      <c r="P82" s="13"/>
    </row>
    <row r="83" spans="1:18" s="79" customFormat="1" ht="33">
      <c r="A83" s="78"/>
      <c r="B83" s="421" t="s">
        <v>41</v>
      </c>
      <c r="C83" s="421"/>
      <c r="D83" s="421"/>
      <c r="E83" s="421"/>
      <c r="F83" s="421"/>
      <c r="G83" s="421"/>
      <c r="H83" s="421"/>
      <c r="I83" s="421"/>
      <c r="J83" s="91" t="str">
        <f>J77</f>
        <v>កញ្ញា</v>
      </c>
      <c r="K83" s="91"/>
      <c r="L83" s="78"/>
      <c r="M83" s="78"/>
      <c r="N83" s="78"/>
      <c r="O83" s="78"/>
      <c r="P83" s="78"/>
    </row>
    <row r="84" spans="1:18" s="71" customFormat="1" ht="29.25">
      <c r="A84" s="415" t="s">
        <v>15</v>
      </c>
      <c r="B84" s="415" t="s">
        <v>42</v>
      </c>
      <c r="C84" s="415"/>
      <c r="D84" s="415"/>
      <c r="E84" s="447" t="s">
        <v>17</v>
      </c>
      <c r="F84" s="447"/>
      <c r="G84" s="415" t="s">
        <v>37</v>
      </c>
      <c r="H84" s="415"/>
      <c r="I84" s="415" t="s">
        <v>38</v>
      </c>
      <c r="J84" s="415"/>
      <c r="K84" s="415" t="s">
        <v>23</v>
      </c>
      <c r="L84" s="415"/>
      <c r="M84" s="415"/>
      <c r="N84" s="415"/>
      <c r="O84" s="424" t="s">
        <v>22</v>
      </c>
      <c r="P84" s="425"/>
    </row>
    <row r="85" spans="1:18" s="71" customFormat="1" ht="29.25">
      <c r="A85" s="415"/>
      <c r="B85" s="415"/>
      <c r="C85" s="415"/>
      <c r="D85" s="415"/>
      <c r="E85" s="447"/>
      <c r="F85" s="447"/>
      <c r="G85" s="344" t="s">
        <v>24</v>
      </c>
      <c r="H85" s="344" t="s">
        <v>89</v>
      </c>
      <c r="I85" s="344" t="s">
        <v>24</v>
      </c>
      <c r="J85" s="344" t="s">
        <v>89</v>
      </c>
      <c r="K85" s="428" t="s">
        <v>24</v>
      </c>
      <c r="L85" s="419"/>
      <c r="M85" s="429" t="s">
        <v>90</v>
      </c>
      <c r="N85" s="430"/>
      <c r="O85" s="426"/>
      <c r="P85" s="427"/>
    </row>
    <row r="86" spans="1:18" s="70" customFormat="1" ht="19.899999999999999" customHeight="1" thickBot="1">
      <c r="A86" s="123">
        <v>1</v>
      </c>
      <c r="B86" s="431" t="s">
        <v>43</v>
      </c>
      <c r="C86" s="432"/>
      <c r="D86" s="433"/>
      <c r="E86" s="448" t="s">
        <v>44</v>
      </c>
      <c r="F86" s="449"/>
      <c r="G86" s="120"/>
      <c r="H86" s="120"/>
      <c r="I86" s="120">
        <v>83</v>
      </c>
      <c r="J86" s="120">
        <f>0.55*I86</f>
        <v>45.650000000000006</v>
      </c>
      <c r="K86" s="435">
        <f>I86+'8-AUG'!K87:L87</f>
        <v>747</v>
      </c>
      <c r="L86" s="436"/>
      <c r="M86" s="435">
        <f>J86+'8-AUG'!M87:N87</f>
        <v>410.85</v>
      </c>
      <c r="N86" s="436"/>
      <c r="O86" s="437"/>
      <c r="P86" s="438"/>
      <c r="Q86" s="92">
        <f>K86+I86</f>
        <v>830</v>
      </c>
      <c r="R86" s="93">
        <f>M86+J86</f>
        <v>456.5</v>
      </c>
    </row>
    <row r="87" spans="1:18" s="70" customFormat="1" ht="19.899999999999999" customHeight="1" thickBot="1">
      <c r="A87" s="121"/>
      <c r="B87" s="439" t="s">
        <v>26</v>
      </c>
      <c r="C87" s="440"/>
      <c r="D87" s="441"/>
      <c r="E87" s="450"/>
      <c r="F87" s="451"/>
      <c r="G87" s="122">
        <f>SUM(G86)</f>
        <v>0</v>
      </c>
      <c r="H87" s="122">
        <f>SUM(H86)</f>
        <v>0</v>
      </c>
      <c r="I87" s="122">
        <f>SUM(I86)</f>
        <v>83</v>
      </c>
      <c r="J87" s="122">
        <f>SUM(J86)</f>
        <v>45.650000000000006</v>
      </c>
      <c r="K87" s="443">
        <f>SUM(K86)</f>
        <v>747</v>
      </c>
      <c r="L87" s="444"/>
      <c r="M87" s="445">
        <f>SUM(M86)</f>
        <v>410.85</v>
      </c>
      <c r="N87" s="446"/>
      <c r="O87" s="422"/>
      <c r="P87" s="423"/>
      <c r="Q87" s="92"/>
      <c r="R87" s="93"/>
    </row>
    <row r="88" spans="1:18" ht="23.25">
      <c r="A88" s="13"/>
      <c r="B88" s="40"/>
      <c r="C88" s="43"/>
      <c r="D88" s="43"/>
      <c r="E88" s="43"/>
      <c r="F88" s="43"/>
      <c r="G88" s="41"/>
      <c r="H88" s="41"/>
      <c r="I88" s="41"/>
      <c r="J88" s="41"/>
      <c r="K88" s="41"/>
      <c r="L88" s="13"/>
      <c r="M88" s="13"/>
      <c r="N88" s="13"/>
      <c r="O88" s="13"/>
      <c r="P88" s="13"/>
    </row>
    <row r="89" spans="1:18" s="79" customFormat="1" ht="33">
      <c r="A89" s="78"/>
      <c r="B89" s="421" t="s">
        <v>45</v>
      </c>
      <c r="C89" s="421"/>
      <c r="D89" s="421"/>
      <c r="E89" s="421"/>
      <c r="F89" s="421"/>
      <c r="G89" s="421"/>
      <c r="H89" s="421"/>
      <c r="I89" s="421"/>
      <c r="J89" s="89" t="str">
        <f>$I$6</f>
        <v>កញ្ញា</v>
      </c>
      <c r="K89" s="90" t="str">
        <f>$K$43</f>
        <v>ឆ្នាំ២០២៦ (USD)</v>
      </c>
      <c r="L89" s="78"/>
      <c r="M89" s="78"/>
      <c r="N89" s="78"/>
      <c r="O89" s="78"/>
      <c r="P89" s="78"/>
    </row>
    <row r="90" spans="1:18" s="71" customFormat="1" ht="58.5">
      <c r="A90" s="344" t="s">
        <v>15</v>
      </c>
      <c r="B90" s="415" t="s">
        <v>46</v>
      </c>
      <c r="C90" s="415"/>
      <c r="D90" s="347" t="s">
        <v>17</v>
      </c>
      <c r="E90" s="452" t="s">
        <v>47</v>
      </c>
      <c r="F90" s="419"/>
      <c r="G90" s="428" t="s">
        <v>48</v>
      </c>
      <c r="H90" s="418"/>
      <c r="I90" s="418"/>
      <c r="J90" s="419"/>
      <c r="K90" s="415" t="s">
        <v>49</v>
      </c>
      <c r="L90" s="415"/>
      <c r="M90" s="415"/>
      <c r="N90" s="415"/>
      <c r="O90" s="415" t="s">
        <v>22</v>
      </c>
      <c r="P90" s="415"/>
    </row>
    <row r="91" spans="1:18" ht="23.25">
      <c r="A91" s="32">
        <v>1</v>
      </c>
      <c r="B91" s="453" t="s">
        <v>50</v>
      </c>
      <c r="C91" s="454"/>
      <c r="D91" s="39"/>
      <c r="E91" s="455"/>
      <c r="F91" s="456"/>
      <c r="G91" s="455"/>
      <c r="H91" s="457"/>
      <c r="I91" s="457"/>
      <c r="J91" s="456"/>
      <c r="K91" s="455"/>
      <c r="L91" s="457"/>
      <c r="M91" s="457"/>
      <c r="N91" s="456"/>
      <c r="O91" s="458"/>
      <c r="P91" s="459"/>
    </row>
    <row r="92" spans="1:18" ht="23.25">
      <c r="A92" s="42">
        <v>2</v>
      </c>
      <c r="B92" s="461" t="s">
        <v>51</v>
      </c>
      <c r="C92" s="461"/>
      <c r="D92" s="39"/>
      <c r="E92" s="455"/>
      <c r="F92" s="456"/>
      <c r="G92" s="455"/>
      <c r="H92" s="457"/>
      <c r="I92" s="457"/>
      <c r="J92" s="456"/>
      <c r="O92" s="458"/>
      <c r="P92" s="459"/>
    </row>
    <row r="93" spans="1:18" ht="24" thickBot="1">
      <c r="A93" s="53">
        <v>3</v>
      </c>
      <c r="B93" s="462" t="s">
        <v>52</v>
      </c>
      <c r="C93" s="462"/>
      <c r="D93" s="124"/>
      <c r="E93" s="463"/>
      <c r="F93" s="464"/>
      <c r="G93" s="463"/>
      <c r="H93" s="465"/>
      <c r="I93" s="465"/>
      <c r="J93" s="464"/>
      <c r="K93" s="463"/>
      <c r="L93" s="465"/>
      <c r="M93" s="465"/>
      <c r="N93" s="464"/>
      <c r="O93" s="466"/>
      <c r="P93" s="467"/>
    </row>
    <row r="94" spans="1:18" ht="26.25" thickBot="1">
      <c r="A94" s="102">
        <v>4</v>
      </c>
      <c r="B94" s="408" t="s">
        <v>26</v>
      </c>
      <c r="C94" s="408"/>
      <c r="D94" s="125"/>
      <c r="E94" s="468"/>
      <c r="F94" s="469"/>
      <c r="G94" s="468"/>
      <c r="H94" s="470"/>
      <c r="I94" s="470"/>
      <c r="J94" s="469"/>
      <c r="K94" s="468"/>
      <c r="L94" s="470"/>
      <c r="M94" s="470"/>
      <c r="N94" s="469"/>
      <c r="O94" s="471"/>
      <c r="P94" s="472"/>
    </row>
    <row r="95" spans="1:18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8" ht="29.25">
      <c r="A96" s="11" t="str">
        <f>A37</f>
        <v>ទំនាក់ទំនង : Tel 077 330 279/090 922 237  E-mail : industryaffair.mih@gmail.com : TELEGRAM :077 330 279</v>
      </c>
      <c r="B96" s="11"/>
      <c r="C96" s="35"/>
      <c r="D96" s="35"/>
      <c r="E96" s="35"/>
      <c r="F96" s="35"/>
      <c r="G96" s="35"/>
      <c r="H96" s="35"/>
      <c r="I96" s="35"/>
      <c r="J96" s="35"/>
      <c r="K96" s="386" t="str">
        <f>K30</f>
        <v>ថ្ងៃទី 15 ខែ កញ្ញា ឆ្នាំ2026</v>
      </c>
      <c r="L96" s="386"/>
      <c r="M96" s="80"/>
      <c r="N96" s="460" t="str">
        <f>N30</f>
        <v>ថ្ងៃទី 15 ខែ កញ្ញា ឆ្នាំ2026</v>
      </c>
      <c r="O96" s="460"/>
      <c r="P96" s="13"/>
    </row>
    <row r="97" spans="1:16" ht="29.25">
      <c r="A97" s="13"/>
      <c r="B97" s="36"/>
      <c r="C97" s="35"/>
      <c r="D97" s="35"/>
      <c r="E97" s="35"/>
      <c r="F97" s="35"/>
      <c r="G97" s="35"/>
      <c r="H97" s="35"/>
      <c r="I97" s="35"/>
      <c r="J97" s="35"/>
      <c r="K97" s="386" t="str">
        <f>K31</f>
        <v>Date:……./……../……</v>
      </c>
      <c r="L97" s="386"/>
      <c r="M97" s="80"/>
      <c r="N97" s="409" t="str">
        <f>N31</f>
        <v>Date:……./……../……</v>
      </c>
      <c r="O97" s="409"/>
      <c r="P97" s="13"/>
    </row>
    <row r="98" spans="1:16" ht="29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386" t="str">
        <f>K32</f>
        <v>នាយក</v>
      </c>
      <c r="L98" s="386"/>
      <c r="M98" s="80"/>
      <c r="N98" s="409" t="str">
        <f>N32</f>
        <v>អ្នកធ្វើរបាយការណ៍</v>
      </c>
      <c r="O98" s="409"/>
      <c r="P98" s="13"/>
    </row>
    <row r="99" spans="1:16" ht="29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409" t="str">
        <f>K34</f>
        <v>Director</v>
      </c>
      <c r="L99" s="409"/>
      <c r="M99" s="80"/>
      <c r="N99" s="409" t="str">
        <f>N69</f>
        <v>Reportor</v>
      </c>
      <c r="O99" s="409"/>
      <c r="P99" s="13"/>
    </row>
    <row r="100" spans="1:16" ht="29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342"/>
      <c r="L100" s="342"/>
      <c r="M100" s="80"/>
      <c r="N100" s="342"/>
      <c r="O100" s="342"/>
      <c r="P100" s="13"/>
    </row>
    <row r="101" spans="1:16" ht="29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342"/>
      <c r="L101" s="342"/>
      <c r="M101" s="80"/>
      <c r="N101" s="342"/>
      <c r="O101" s="342"/>
      <c r="P101" s="13"/>
    </row>
    <row r="102" spans="1:16" ht="29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342"/>
      <c r="L102" s="342"/>
      <c r="M102" s="80"/>
      <c r="N102" s="342"/>
      <c r="O102" s="342"/>
      <c r="P102" s="13"/>
    </row>
    <row r="103" spans="1:16" ht="29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80"/>
      <c r="L103" s="80"/>
      <c r="M103" s="80"/>
      <c r="N103" s="80"/>
      <c r="O103" s="80"/>
      <c r="P103" s="13"/>
    </row>
    <row r="104" spans="1:16" ht="29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80"/>
      <c r="L104" s="80"/>
      <c r="M104" s="80"/>
      <c r="N104" s="80"/>
      <c r="O104" s="80"/>
      <c r="P104" s="13"/>
    </row>
    <row r="105" spans="1:16" ht="29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80"/>
      <c r="L105" s="80"/>
      <c r="M105" s="80"/>
      <c r="N105" s="80"/>
      <c r="O105" s="80"/>
      <c r="P105" s="13"/>
    </row>
    <row r="106" spans="1:16" ht="29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80"/>
      <c r="L106" s="80"/>
      <c r="M106" s="80"/>
      <c r="N106" s="80"/>
      <c r="O106" s="80"/>
      <c r="P106" s="13"/>
    </row>
    <row r="107" spans="1:16" ht="29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420" t="str">
        <f>K41</f>
        <v>NI, CUNLAN</v>
      </c>
      <c r="L107" s="420"/>
      <c r="M107" s="80"/>
      <c r="N107" s="420" t="str">
        <f>N75</f>
        <v>THNIN</v>
      </c>
      <c r="O107" s="420"/>
      <c r="P107" s="13"/>
    </row>
    <row r="108" spans="1:16" s="164" customFormat="1" ht="35.25">
      <c r="B108" s="473"/>
      <c r="C108" s="473"/>
      <c r="D108" s="473"/>
      <c r="E108" s="473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</row>
    <row r="109" spans="1:16" s="164" customFormat="1" ht="35.25">
      <c r="B109" s="474"/>
      <c r="C109" s="473"/>
      <c r="D109" s="473"/>
      <c r="E109" s="473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</row>
    <row r="110" spans="1:16" s="164" customFormat="1">
      <c r="B110" s="165"/>
      <c r="C110" s="165"/>
      <c r="D110" s="165"/>
      <c r="E110" s="165"/>
      <c r="F110" s="165"/>
      <c r="G110" s="475"/>
      <c r="H110" s="476"/>
      <c r="I110" s="476"/>
      <c r="J110" s="476"/>
      <c r="K110" s="165"/>
      <c r="L110" s="165"/>
      <c r="M110" s="165"/>
      <c r="N110" s="165"/>
      <c r="O110" s="165"/>
    </row>
    <row r="111" spans="1:16" s="164" customFormat="1" ht="33">
      <c r="A111" s="336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340"/>
    </row>
    <row r="112" spans="1:16" s="164" customFormat="1" ht="29.25">
      <c r="A112" s="336"/>
      <c r="B112" s="478"/>
      <c r="C112" s="478"/>
      <c r="D112" s="478"/>
      <c r="E112" s="478"/>
      <c r="F112" s="478"/>
      <c r="G112" s="478"/>
      <c r="H112" s="478"/>
      <c r="I112" s="478"/>
      <c r="J112" s="478"/>
      <c r="K112" s="478"/>
      <c r="L112" s="478"/>
      <c r="M112" s="478"/>
      <c r="N112" s="478"/>
      <c r="O112" s="478"/>
      <c r="P112" s="340"/>
    </row>
    <row r="113" spans="1:19" s="164" customFormat="1" ht="33">
      <c r="A113" s="168"/>
      <c r="B113" s="169"/>
      <c r="C113" s="169"/>
      <c r="D113" s="169"/>
      <c r="E113" s="169"/>
      <c r="F113" s="169"/>
      <c r="G113" s="477"/>
      <c r="H113" s="477"/>
      <c r="I113" s="170"/>
      <c r="J113" s="171"/>
      <c r="K113" s="172"/>
      <c r="L113" s="173"/>
      <c r="M113" s="169"/>
      <c r="N113" s="169"/>
      <c r="O113" s="169"/>
      <c r="P113" s="174"/>
    </row>
    <row r="114" spans="1:19" s="164" customFormat="1">
      <c r="A114" s="168"/>
      <c r="B114" s="175"/>
      <c r="C114" s="176"/>
      <c r="D114" s="176"/>
      <c r="E114" s="176"/>
      <c r="F114" s="176"/>
      <c r="G114" s="357"/>
      <c r="H114" s="357"/>
      <c r="I114" s="357"/>
      <c r="J114" s="176"/>
      <c r="K114" s="176"/>
      <c r="L114" s="176"/>
      <c r="M114" s="176"/>
      <c r="N114" s="176"/>
      <c r="O114" s="176"/>
      <c r="P114" s="174"/>
    </row>
    <row r="115" spans="1:19" s="164" customFormat="1" ht="29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9" s="164" customFormat="1" ht="20.100000000000001" customHeight="1">
      <c r="A116" s="179"/>
      <c r="B116" s="180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81"/>
      <c r="N116" s="181"/>
      <c r="O116" s="181"/>
      <c r="P116" s="181"/>
    </row>
    <row r="117" spans="1:19" s="185" customFormat="1" ht="20.100000000000001" customHeight="1">
      <c r="A117" s="182"/>
      <c r="B117" s="183"/>
      <c r="C117" s="183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</row>
    <row r="118" spans="1:19" s="190" customFormat="1" ht="20.100000000000001" customHeight="1">
      <c r="A118" s="186"/>
      <c r="B118" s="187"/>
      <c r="C118" s="187"/>
      <c r="D118" s="187"/>
      <c r="E118" s="187"/>
      <c r="F118" s="187"/>
      <c r="G118" s="187"/>
      <c r="H118" s="187"/>
      <c r="I118" s="187"/>
      <c r="J118" s="188"/>
      <c r="K118" s="188"/>
      <c r="L118" s="188"/>
      <c r="M118" s="188"/>
      <c r="N118" s="179"/>
      <c r="O118" s="189"/>
      <c r="P118" s="179"/>
    </row>
    <row r="119" spans="1:19" s="185" customFormat="1" ht="20.100000000000001" customHeight="1">
      <c r="A119" s="177"/>
      <c r="B119" s="177"/>
      <c r="C119" s="191"/>
      <c r="D119" s="177"/>
      <c r="F119" s="192"/>
      <c r="G119" s="177"/>
      <c r="I119" s="193"/>
      <c r="J119" s="194"/>
      <c r="K119" s="195"/>
      <c r="L119" s="195"/>
      <c r="M119" s="177"/>
      <c r="N119" s="177"/>
      <c r="O119" s="177"/>
      <c r="P119" s="196"/>
    </row>
    <row r="120" spans="1:19" s="164" customFormat="1" ht="20.100000000000001" customHeight="1">
      <c r="A120" s="186"/>
      <c r="B120" s="176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74"/>
    </row>
    <row r="121" spans="1:19" s="190" customFormat="1" ht="20.100000000000001" customHeight="1">
      <c r="A121" s="198"/>
      <c r="B121" s="198"/>
      <c r="C121" s="198"/>
      <c r="D121" s="480"/>
      <c r="E121" s="480"/>
      <c r="F121" s="198"/>
      <c r="G121" s="198"/>
      <c r="H121" s="198"/>
      <c r="I121" s="198"/>
      <c r="J121" s="479"/>
      <c r="K121" s="479"/>
      <c r="L121" s="198"/>
      <c r="M121" s="198"/>
      <c r="N121" s="198"/>
      <c r="O121" s="198"/>
      <c r="P121" s="199"/>
    </row>
    <row r="122" spans="1:19" s="164" customFormat="1" ht="29.25">
      <c r="A122" s="358"/>
      <c r="B122" s="358"/>
      <c r="C122" s="358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40"/>
    </row>
    <row r="123" spans="1:19" s="164" customFormat="1" ht="29.25">
      <c r="A123" s="358"/>
      <c r="B123" s="358"/>
      <c r="C123" s="358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200"/>
    </row>
    <row r="124" spans="1:19" s="164" customFormat="1" ht="29.25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200"/>
    </row>
    <row r="125" spans="1:19" s="164" customFormat="1" ht="29.25">
      <c r="A125" s="358"/>
      <c r="B125" s="358"/>
      <c r="C125" s="358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200"/>
    </row>
    <row r="126" spans="1:19" s="164" customFormat="1" ht="19.899999999999999" customHeight="1">
      <c r="A126" s="202"/>
      <c r="B126" s="203"/>
      <c r="C126" s="202"/>
      <c r="D126" s="204"/>
      <c r="E126" s="204"/>
      <c r="F126" s="99"/>
      <c r="G126" s="99"/>
      <c r="H126" s="202"/>
      <c r="I126" s="204"/>
      <c r="J126" s="202"/>
      <c r="K126" s="99"/>
      <c r="L126" s="202"/>
      <c r="M126" s="99"/>
      <c r="N126" s="202"/>
      <c r="O126" s="99"/>
      <c r="P126" s="205"/>
      <c r="Q126" s="206"/>
      <c r="S126" s="206"/>
    </row>
    <row r="127" spans="1:19" s="164" customFormat="1" ht="19.899999999999999" customHeight="1">
      <c r="A127" s="202"/>
      <c r="B127" s="203"/>
      <c r="C127" s="202"/>
      <c r="D127" s="204"/>
      <c r="E127" s="204"/>
      <c r="F127" s="99"/>
      <c r="G127" s="99"/>
      <c r="H127" s="202"/>
      <c r="I127" s="204"/>
      <c r="J127" s="202"/>
      <c r="K127" s="99"/>
      <c r="L127" s="202"/>
      <c r="M127" s="99"/>
      <c r="N127" s="202"/>
      <c r="O127" s="99"/>
      <c r="P127" s="205"/>
      <c r="Q127" s="206"/>
      <c r="S127" s="206"/>
    </row>
    <row r="128" spans="1:19" s="164" customFormat="1" ht="19.899999999999999" customHeight="1">
      <c r="A128" s="335"/>
      <c r="B128" s="208"/>
      <c r="C128" s="335"/>
      <c r="D128" s="204"/>
      <c r="E128" s="204"/>
      <c r="F128" s="99"/>
      <c r="G128" s="99"/>
      <c r="H128" s="202"/>
      <c r="I128" s="204"/>
      <c r="J128" s="202"/>
      <c r="K128" s="99"/>
      <c r="L128" s="202"/>
      <c r="M128" s="99"/>
      <c r="N128" s="202"/>
      <c r="O128" s="99"/>
      <c r="P128" s="205"/>
      <c r="Q128" s="206"/>
      <c r="S128" s="206"/>
    </row>
    <row r="129" spans="1:19" s="164" customFormat="1" ht="19.899999999999999" customHeight="1">
      <c r="A129" s="335"/>
      <c r="B129" s="209"/>
      <c r="C129" s="335"/>
      <c r="D129" s="204"/>
      <c r="E129" s="204"/>
      <c r="F129" s="99"/>
      <c r="G129" s="99"/>
      <c r="H129" s="202"/>
      <c r="I129" s="204"/>
      <c r="J129" s="202"/>
      <c r="K129" s="99"/>
      <c r="L129" s="202"/>
      <c r="M129" s="99"/>
      <c r="N129" s="202"/>
      <c r="O129" s="99"/>
      <c r="P129" s="205"/>
      <c r="Q129" s="206"/>
      <c r="S129" s="206"/>
    </row>
    <row r="130" spans="1:19" s="164" customFormat="1" ht="19.899999999999999" customHeight="1">
      <c r="A130" s="202"/>
      <c r="B130" s="203"/>
      <c r="C130" s="202"/>
      <c r="D130" s="204"/>
      <c r="E130" s="204"/>
      <c r="F130" s="99"/>
      <c r="G130" s="99"/>
      <c r="H130" s="202"/>
      <c r="I130" s="204"/>
      <c r="J130" s="202"/>
      <c r="K130" s="99"/>
      <c r="L130" s="202"/>
      <c r="M130" s="99"/>
      <c r="N130" s="202"/>
      <c r="O130" s="99"/>
      <c r="P130" s="205"/>
      <c r="Q130" s="206"/>
      <c r="S130" s="206"/>
    </row>
    <row r="131" spans="1:19" s="164" customFormat="1" ht="19.899999999999999" customHeight="1">
      <c r="A131" s="202"/>
      <c r="B131" s="203"/>
      <c r="C131" s="202"/>
      <c r="D131" s="204"/>
      <c r="E131" s="204"/>
      <c r="F131" s="99"/>
      <c r="G131" s="99"/>
      <c r="H131" s="202"/>
      <c r="I131" s="204"/>
      <c r="J131" s="202"/>
      <c r="K131" s="99"/>
      <c r="L131" s="202"/>
      <c r="M131" s="99"/>
      <c r="N131" s="202"/>
      <c r="O131" s="99"/>
      <c r="P131" s="205"/>
      <c r="Q131" s="206"/>
      <c r="S131" s="206"/>
    </row>
    <row r="132" spans="1:19" s="164" customFormat="1" ht="19.899999999999999" customHeight="1">
      <c r="A132" s="335"/>
      <c r="B132" s="209"/>
      <c r="C132" s="335"/>
      <c r="D132" s="204"/>
      <c r="E132" s="204"/>
      <c r="F132" s="99"/>
      <c r="G132" s="99"/>
      <c r="H132" s="202"/>
      <c r="I132" s="204"/>
      <c r="J132" s="202"/>
      <c r="K132" s="99"/>
      <c r="L132" s="202"/>
      <c r="M132" s="99"/>
      <c r="N132" s="202"/>
      <c r="O132" s="99"/>
      <c r="P132" s="205"/>
      <c r="Q132" s="206"/>
      <c r="S132" s="206"/>
    </row>
    <row r="133" spans="1:19" s="164" customFormat="1" ht="19.899999999999999" customHeight="1">
      <c r="A133" s="335"/>
      <c r="B133" s="209"/>
      <c r="C133" s="335"/>
      <c r="D133" s="204"/>
      <c r="E133" s="204"/>
      <c r="F133" s="99"/>
      <c r="G133" s="99"/>
      <c r="H133" s="202"/>
      <c r="I133" s="204"/>
      <c r="J133" s="202"/>
      <c r="K133" s="99"/>
      <c r="L133" s="202"/>
      <c r="M133" s="99"/>
      <c r="N133" s="202"/>
      <c r="O133" s="99"/>
      <c r="P133" s="205"/>
      <c r="Q133" s="206"/>
      <c r="S133" s="206"/>
    </row>
    <row r="134" spans="1:19" s="164" customFormat="1" ht="19.899999999999999" customHeight="1">
      <c r="A134" s="335"/>
      <c r="B134" s="209"/>
      <c r="C134" s="335"/>
      <c r="D134" s="204"/>
      <c r="E134" s="204"/>
      <c r="F134" s="99"/>
      <c r="G134" s="99"/>
      <c r="H134" s="202"/>
      <c r="I134" s="204"/>
      <c r="J134" s="202"/>
      <c r="K134" s="99"/>
      <c r="L134" s="202"/>
      <c r="M134" s="99"/>
      <c r="N134" s="202"/>
      <c r="O134" s="99"/>
      <c r="P134" s="205"/>
      <c r="Q134" s="206"/>
      <c r="S134" s="206"/>
    </row>
    <row r="135" spans="1:19" s="164" customFormat="1">
      <c r="A135" s="357"/>
      <c r="B135" s="357"/>
      <c r="C135" s="202"/>
      <c r="D135" s="210"/>
      <c r="E135" s="210"/>
      <c r="F135" s="210"/>
      <c r="G135" s="210"/>
      <c r="H135" s="202"/>
      <c r="I135" s="210"/>
      <c r="J135" s="202"/>
      <c r="K135" s="211"/>
      <c r="L135" s="202"/>
      <c r="M135" s="211"/>
      <c r="N135" s="99"/>
      <c r="O135" s="211"/>
      <c r="P135" s="200"/>
    </row>
    <row r="136" spans="1:19" s="164" customFormat="1" ht="23.25">
      <c r="A136" s="364"/>
      <c r="B136" s="364"/>
      <c r="C136" s="364"/>
      <c r="D136" s="364"/>
      <c r="E136" s="364"/>
      <c r="F136" s="364"/>
      <c r="G136" s="364"/>
      <c r="H136" s="364"/>
      <c r="I136" s="364"/>
      <c r="J136" s="202"/>
      <c r="K136" s="202"/>
      <c r="L136" s="202"/>
      <c r="M136" s="202"/>
      <c r="N136" s="202"/>
      <c r="O136" s="202"/>
      <c r="P136" s="200"/>
    </row>
    <row r="137" spans="1:19" s="164" customFormat="1" ht="29.25">
      <c r="A137" s="364"/>
      <c r="B137" s="364"/>
      <c r="C137" s="364"/>
      <c r="D137" s="364"/>
      <c r="E137" s="364"/>
      <c r="F137" s="364"/>
      <c r="G137" s="364"/>
      <c r="H137" s="364"/>
      <c r="I137" s="364"/>
      <c r="J137" s="212"/>
      <c r="K137" s="358"/>
      <c r="L137" s="358"/>
      <c r="M137" s="213"/>
      <c r="N137" s="358"/>
      <c r="O137" s="358"/>
      <c r="P137" s="200"/>
    </row>
    <row r="138" spans="1:19" s="164" customFormat="1" ht="23.25">
      <c r="A138" s="214"/>
      <c r="B138" s="176"/>
      <c r="C138" s="197"/>
      <c r="D138" s="197"/>
      <c r="E138" s="197"/>
      <c r="F138" s="197"/>
      <c r="G138" s="197"/>
      <c r="H138" s="197"/>
      <c r="I138" s="197"/>
      <c r="J138" s="202"/>
      <c r="K138" s="481"/>
      <c r="L138" s="481"/>
      <c r="M138" s="353"/>
      <c r="N138" s="481"/>
      <c r="O138" s="481"/>
      <c r="P138" s="200"/>
    </row>
    <row r="139" spans="1:19" s="164" customFormat="1" ht="29.25">
      <c r="A139" s="214"/>
      <c r="B139" s="178"/>
      <c r="C139" s="197"/>
      <c r="D139" s="197"/>
      <c r="E139" s="197"/>
      <c r="F139" s="197"/>
      <c r="G139" s="197"/>
      <c r="H139" s="197"/>
      <c r="I139" s="197"/>
      <c r="J139" s="202"/>
      <c r="K139" s="485"/>
      <c r="L139" s="485"/>
      <c r="M139" s="353"/>
      <c r="N139" s="358"/>
      <c r="O139" s="359"/>
      <c r="P139" s="200"/>
    </row>
    <row r="140" spans="1:19" s="164" customFormat="1" ht="23.25" customHeight="1">
      <c r="A140" s="214"/>
      <c r="B140" s="178"/>
      <c r="C140" s="197"/>
      <c r="D140" s="197"/>
      <c r="E140" s="197"/>
      <c r="F140" s="197"/>
      <c r="G140" s="197"/>
      <c r="H140" s="197"/>
      <c r="I140" s="197"/>
      <c r="J140" s="202"/>
      <c r="K140" s="360"/>
      <c r="L140" s="361"/>
      <c r="M140" s="353"/>
      <c r="N140" s="361"/>
      <c r="O140" s="361"/>
      <c r="P140" s="200"/>
    </row>
    <row r="141" spans="1:19" s="164" customFormat="1" ht="23.25">
      <c r="A141" s="214"/>
      <c r="B141" s="217"/>
      <c r="C141" s="168"/>
      <c r="D141" s="168"/>
      <c r="E141" s="355"/>
      <c r="F141" s="355"/>
      <c r="G141" s="355"/>
      <c r="H141" s="355"/>
      <c r="I141" s="355"/>
      <c r="J141" s="202"/>
      <c r="K141" s="202"/>
      <c r="L141" s="202"/>
      <c r="M141" s="202"/>
      <c r="N141" s="202"/>
      <c r="O141" s="202"/>
      <c r="P141" s="200"/>
    </row>
    <row r="142" spans="1:19" s="164" customFormat="1" ht="23.25">
      <c r="A142" s="214"/>
      <c r="B142" s="217"/>
      <c r="C142" s="168"/>
      <c r="D142" s="168"/>
      <c r="E142" s="355"/>
      <c r="F142" s="355"/>
      <c r="G142" s="355"/>
      <c r="H142" s="197"/>
      <c r="I142" s="197"/>
      <c r="J142" s="202"/>
      <c r="K142" s="202"/>
      <c r="L142" s="202"/>
      <c r="M142" s="202"/>
      <c r="N142" s="202"/>
      <c r="O142" s="202"/>
      <c r="P142" s="200"/>
    </row>
    <row r="143" spans="1:19" s="164" customFormat="1" ht="23.25">
      <c r="A143" s="214"/>
      <c r="B143" s="217"/>
      <c r="C143" s="168"/>
      <c r="D143" s="168"/>
      <c r="E143" s="355"/>
      <c r="F143" s="355"/>
      <c r="G143" s="355"/>
      <c r="H143" s="197"/>
      <c r="I143" s="197"/>
      <c r="J143" s="202"/>
      <c r="K143" s="202"/>
      <c r="L143" s="202"/>
      <c r="M143" s="202"/>
      <c r="N143" s="202"/>
      <c r="O143" s="202"/>
      <c r="P143" s="200"/>
    </row>
    <row r="144" spans="1:19" s="164" customFormat="1" ht="23.25">
      <c r="A144" s="214"/>
      <c r="B144" s="217"/>
      <c r="C144" s="168"/>
      <c r="D144" s="168"/>
      <c r="E144" s="355"/>
      <c r="F144" s="355"/>
      <c r="G144" s="355"/>
      <c r="H144" s="197"/>
      <c r="I144" s="197"/>
      <c r="J144" s="202"/>
      <c r="K144" s="202"/>
      <c r="L144" s="202"/>
      <c r="M144" s="202"/>
      <c r="N144" s="202"/>
      <c r="O144" s="202"/>
      <c r="P144" s="200"/>
    </row>
    <row r="145" spans="1:16" s="164" customFormat="1" ht="23.25">
      <c r="A145" s="214"/>
      <c r="B145" s="217"/>
      <c r="C145" s="168"/>
      <c r="D145" s="168"/>
      <c r="E145" s="355"/>
      <c r="F145" s="355"/>
      <c r="G145" s="355"/>
      <c r="H145" s="197"/>
      <c r="I145" s="197"/>
      <c r="J145" s="202"/>
      <c r="K145" s="202"/>
      <c r="L145" s="202"/>
      <c r="M145" s="202"/>
      <c r="N145" s="202"/>
      <c r="O145" s="202"/>
      <c r="P145" s="200"/>
    </row>
    <row r="146" spans="1:16" s="164" customFormat="1" ht="23.25">
      <c r="A146" s="217"/>
      <c r="B146" s="217"/>
      <c r="C146" s="168"/>
      <c r="D146" s="168"/>
      <c r="E146" s="355"/>
      <c r="F146" s="355"/>
      <c r="G146" s="355"/>
      <c r="H146" s="197"/>
      <c r="I146" s="197"/>
      <c r="J146" s="202"/>
      <c r="K146" s="202"/>
      <c r="L146" s="202"/>
      <c r="M146" s="202"/>
      <c r="N146" s="202"/>
      <c r="O146" s="202"/>
      <c r="P146" s="200"/>
    </row>
    <row r="147" spans="1:16" s="164" customForma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362"/>
      <c r="L147" s="362"/>
      <c r="M147" s="200"/>
      <c r="N147" s="363"/>
      <c r="O147" s="363"/>
      <c r="P147" s="200"/>
    </row>
    <row r="148" spans="1:16" s="164" customFormat="1">
      <c r="A148" s="219"/>
      <c r="B148" s="200"/>
      <c r="C148" s="200"/>
      <c r="D148" s="200"/>
      <c r="E148" s="200"/>
      <c r="F148" s="200"/>
      <c r="G148" s="200"/>
      <c r="H148" s="200"/>
      <c r="I148" s="200"/>
      <c r="J148" s="200"/>
      <c r="K148" s="354"/>
      <c r="L148" s="354"/>
      <c r="M148" s="200"/>
      <c r="N148" s="339"/>
      <c r="O148" s="339"/>
      <c r="P148" s="200"/>
    </row>
    <row r="149" spans="1:16" s="164" customFormat="1">
      <c r="A149" s="219"/>
      <c r="B149" s="200"/>
      <c r="C149" s="200"/>
      <c r="D149" s="200"/>
      <c r="E149" s="200"/>
      <c r="F149" s="200"/>
      <c r="G149" s="200"/>
      <c r="H149" s="200"/>
      <c r="I149" s="200"/>
      <c r="J149" s="200"/>
      <c r="K149" s="354"/>
      <c r="L149" s="354"/>
      <c r="M149" s="200"/>
      <c r="N149" s="339"/>
      <c r="O149" s="339"/>
      <c r="P149" s="200"/>
    </row>
    <row r="150" spans="1:16" s="164" customFormat="1" ht="42">
      <c r="A150" s="222"/>
      <c r="B150" s="482"/>
      <c r="C150" s="482"/>
      <c r="D150" s="482"/>
      <c r="E150" s="482"/>
      <c r="F150" s="482"/>
      <c r="G150" s="482"/>
      <c r="H150" s="482"/>
      <c r="I150" s="482"/>
      <c r="J150" s="200"/>
      <c r="K150" s="200"/>
      <c r="L150" s="200"/>
      <c r="M150" s="200"/>
      <c r="N150" s="200"/>
      <c r="O150" s="200"/>
      <c r="P150" s="200"/>
    </row>
    <row r="151" spans="1:16" s="164" customFormat="1" ht="33">
      <c r="A151" s="483"/>
      <c r="B151" s="483"/>
      <c r="C151" s="483"/>
      <c r="D151" s="483"/>
      <c r="E151" s="483"/>
      <c r="F151" s="483"/>
      <c r="G151" s="483"/>
      <c r="H151" s="483"/>
      <c r="I151" s="483"/>
      <c r="J151" s="223"/>
      <c r="K151" s="224"/>
      <c r="L151" s="224"/>
      <c r="M151" s="225"/>
      <c r="N151" s="225"/>
      <c r="O151" s="225"/>
      <c r="P151" s="225"/>
    </row>
    <row r="152" spans="1:16" s="164" customFormat="1" ht="31.15" customHeight="1">
      <c r="A152" s="484"/>
      <c r="B152" s="484"/>
      <c r="C152" s="484"/>
      <c r="D152" s="486"/>
      <c r="E152" s="484"/>
      <c r="F152" s="484"/>
      <c r="G152" s="484"/>
      <c r="H152" s="484"/>
      <c r="I152" s="484"/>
      <c r="J152" s="484"/>
      <c r="K152" s="484"/>
      <c r="L152" s="484"/>
      <c r="M152" s="484"/>
      <c r="N152" s="484"/>
      <c r="O152" s="484"/>
      <c r="P152" s="484"/>
    </row>
    <row r="153" spans="1:16" s="164" customFormat="1" ht="30" customHeight="1">
      <c r="A153" s="484"/>
      <c r="B153" s="484"/>
      <c r="C153" s="484"/>
      <c r="D153" s="486"/>
      <c r="E153" s="484"/>
      <c r="F153" s="484"/>
      <c r="G153" s="484"/>
      <c r="H153" s="484"/>
      <c r="I153" s="484"/>
      <c r="J153" s="484"/>
      <c r="K153" s="484"/>
      <c r="L153" s="484"/>
      <c r="M153" s="484"/>
      <c r="N153" s="484"/>
      <c r="O153" s="484"/>
      <c r="P153" s="484"/>
    </row>
    <row r="154" spans="1:16" s="164" customFormat="1" ht="29.25">
      <c r="A154" s="484"/>
      <c r="B154" s="484"/>
      <c r="C154" s="484"/>
      <c r="D154" s="486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</row>
    <row r="155" spans="1:16" s="164" customFormat="1" ht="19.899999999999999" customHeight="1">
      <c r="A155" s="227"/>
      <c r="B155" s="228"/>
      <c r="C155" s="228"/>
      <c r="D155" s="335"/>
      <c r="E155" s="229"/>
      <c r="F155" s="230"/>
      <c r="G155" s="231"/>
      <c r="H155" s="232"/>
      <c r="I155" s="229"/>
      <c r="J155" s="229"/>
      <c r="K155" s="229"/>
      <c r="L155" s="230"/>
      <c r="M155" s="229"/>
      <c r="N155" s="230"/>
      <c r="O155" s="205"/>
      <c r="P155" s="233"/>
    </row>
    <row r="156" spans="1:16" s="164" customFormat="1" ht="19.899999999999999" customHeight="1">
      <c r="A156" s="227"/>
      <c r="B156" s="228"/>
      <c r="C156" s="228"/>
      <c r="D156" s="335"/>
      <c r="E156" s="229"/>
      <c r="F156" s="230"/>
      <c r="G156" s="231"/>
      <c r="H156" s="232"/>
      <c r="I156" s="232"/>
      <c r="J156" s="232"/>
      <c r="K156" s="229"/>
      <c r="L156" s="230"/>
      <c r="M156" s="229"/>
      <c r="N156" s="230"/>
      <c r="O156" s="205"/>
      <c r="P156" s="233"/>
    </row>
    <row r="157" spans="1:16" s="164" customFormat="1" ht="19.899999999999999" customHeight="1">
      <c r="A157" s="227"/>
      <c r="B157" s="228"/>
      <c r="C157" s="228"/>
      <c r="D157" s="335"/>
      <c r="E157" s="229"/>
      <c r="F157" s="230"/>
      <c r="G157" s="229"/>
      <c r="H157" s="230"/>
      <c r="I157" s="229"/>
      <c r="J157" s="229"/>
      <c r="K157" s="229"/>
      <c r="L157" s="230"/>
      <c r="M157" s="229"/>
      <c r="N157" s="230"/>
      <c r="O157" s="205"/>
      <c r="P157" s="233"/>
    </row>
    <row r="158" spans="1:16" s="164" customFormat="1" ht="19.899999999999999" customHeight="1">
      <c r="A158" s="227"/>
      <c r="B158" s="228"/>
      <c r="C158" s="228"/>
      <c r="D158" s="335"/>
      <c r="E158" s="229"/>
      <c r="F158" s="230"/>
      <c r="G158" s="98"/>
      <c r="H158" s="230"/>
      <c r="I158" s="232"/>
      <c r="J158" s="232"/>
      <c r="K158" s="229"/>
      <c r="L158" s="230"/>
      <c r="M158" s="229"/>
      <c r="N158" s="230"/>
      <c r="O158" s="205"/>
      <c r="P158" s="233"/>
    </row>
    <row r="159" spans="1:16" s="164" customFormat="1" ht="19.899999999999999" customHeight="1">
      <c r="A159" s="227"/>
      <c r="B159" s="228"/>
      <c r="C159" s="228"/>
      <c r="D159" s="335"/>
      <c r="E159" s="98"/>
      <c r="F159" s="99"/>
      <c r="G159" s="231"/>
      <c r="H159" s="232"/>
      <c r="I159" s="229"/>
      <c r="J159" s="229"/>
      <c r="K159" s="229"/>
      <c r="L159" s="230"/>
      <c r="M159" s="229"/>
      <c r="N159" s="230"/>
      <c r="O159" s="205"/>
      <c r="P159" s="233"/>
    </row>
    <row r="160" spans="1:16" s="164" customFormat="1" ht="19.899999999999999" customHeight="1">
      <c r="A160" s="227"/>
      <c r="B160" s="228"/>
      <c r="C160" s="228"/>
      <c r="D160" s="335"/>
      <c r="E160" s="229"/>
      <c r="F160" s="230"/>
      <c r="G160" s="231"/>
      <c r="H160" s="232"/>
      <c r="I160" s="229"/>
      <c r="J160" s="229"/>
      <c r="K160" s="229"/>
      <c r="L160" s="230"/>
      <c r="M160" s="229"/>
      <c r="N160" s="230"/>
      <c r="O160" s="205"/>
      <c r="P160" s="233"/>
    </row>
    <row r="161" spans="1:20" s="164" customFormat="1" ht="19.899999999999999" customHeight="1">
      <c r="A161" s="227"/>
      <c r="B161" s="228"/>
      <c r="C161" s="228"/>
      <c r="D161" s="335"/>
      <c r="E161" s="229"/>
      <c r="F161" s="230"/>
      <c r="G161" s="231"/>
      <c r="H161" s="232"/>
      <c r="I161" s="229"/>
      <c r="J161" s="229"/>
      <c r="K161" s="229"/>
      <c r="L161" s="230"/>
      <c r="M161" s="229"/>
      <c r="N161" s="230"/>
      <c r="O161" s="205"/>
      <c r="P161" s="233"/>
    </row>
    <row r="162" spans="1:20" s="164" customFormat="1" ht="19.899999999999999" customHeight="1">
      <c r="A162" s="227"/>
      <c r="B162" s="228"/>
      <c r="C162" s="228"/>
      <c r="D162" s="335"/>
      <c r="E162" s="229"/>
      <c r="F162" s="230"/>
      <c r="G162" s="231"/>
      <c r="H162" s="232"/>
      <c r="I162" s="229"/>
      <c r="J162" s="229"/>
      <c r="K162" s="229"/>
      <c r="L162" s="230"/>
      <c r="M162" s="229"/>
      <c r="N162" s="230"/>
      <c r="O162" s="205"/>
      <c r="P162" s="233"/>
    </row>
    <row r="163" spans="1:20" s="164" customFormat="1" ht="19.899999999999999" customHeight="1">
      <c r="A163" s="227"/>
      <c r="B163" s="228"/>
      <c r="C163" s="228"/>
      <c r="D163" s="335"/>
      <c r="E163" s="229"/>
      <c r="F163" s="230"/>
      <c r="G163" s="231"/>
      <c r="H163" s="232"/>
      <c r="I163" s="229"/>
      <c r="J163" s="229"/>
      <c r="K163" s="229"/>
      <c r="L163" s="230"/>
      <c r="M163" s="229"/>
      <c r="N163" s="230"/>
      <c r="O163" s="205"/>
      <c r="P163" s="233"/>
    </row>
    <row r="164" spans="1:20" s="164" customFormat="1" ht="25.5">
      <c r="A164" s="335"/>
      <c r="B164" s="487"/>
      <c r="C164" s="487"/>
      <c r="D164" s="234"/>
      <c r="E164" s="235"/>
      <c r="F164" s="211"/>
      <c r="G164" s="98"/>
      <c r="H164" s="99"/>
      <c r="I164" s="99"/>
      <c r="J164" s="99"/>
      <c r="K164" s="235"/>
      <c r="L164" s="211"/>
      <c r="M164" s="235"/>
      <c r="N164" s="211"/>
      <c r="O164" s="236"/>
      <c r="P164" s="237"/>
    </row>
    <row r="165" spans="1:20" s="164" customFormat="1" ht="23.25">
      <c r="A165" s="335"/>
      <c r="B165" s="234"/>
      <c r="C165" s="234"/>
      <c r="D165" s="234"/>
      <c r="E165" s="98"/>
      <c r="F165" s="99"/>
      <c r="G165" s="98"/>
      <c r="H165" s="99"/>
      <c r="I165" s="99"/>
      <c r="J165" s="99"/>
      <c r="K165" s="99"/>
      <c r="L165" s="99"/>
      <c r="M165" s="99"/>
      <c r="N165" s="99"/>
      <c r="O165" s="236"/>
      <c r="P165" s="237"/>
    </row>
    <row r="166" spans="1:20" s="164" customFormat="1" ht="33">
      <c r="A166" s="488"/>
      <c r="B166" s="488"/>
      <c r="C166" s="488"/>
      <c r="D166" s="488"/>
      <c r="E166" s="488"/>
      <c r="F166" s="488"/>
      <c r="G166" s="488"/>
      <c r="H166" s="488"/>
      <c r="I166" s="488"/>
      <c r="J166" s="223"/>
      <c r="K166" s="224"/>
      <c r="L166" s="238"/>
      <c r="M166" s="239"/>
      <c r="N166" s="239"/>
      <c r="O166" s="239"/>
      <c r="P166" s="239"/>
    </row>
    <row r="167" spans="1:20" s="164" customFormat="1" ht="33">
      <c r="A167" s="484"/>
      <c r="B167" s="484"/>
      <c r="C167" s="484"/>
      <c r="D167" s="486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84"/>
      <c r="P167" s="484"/>
    </row>
    <row r="168" spans="1:20" s="164" customFormat="1" ht="29.25">
      <c r="A168" s="484"/>
      <c r="B168" s="484"/>
      <c r="C168" s="484"/>
      <c r="D168" s="486"/>
      <c r="E168" s="484"/>
      <c r="F168" s="484"/>
      <c r="G168" s="484"/>
      <c r="H168" s="484"/>
      <c r="I168" s="484"/>
      <c r="J168" s="484"/>
      <c r="K168" s="484"/>
      <c r="L168" s="484"/>
      <c r="M168" s="484"/>
      <c r="N168" s="484"/>
      <c r="O168" s="484"/>
      <c r="P168" s="484"/>
    </row>
    <row r="169" spans="1:20" s="164" customFormat="1" ht="29.25">
      <c r="A169" s="484"/>
      <c r="B169" s="484"/>
      <c r="C169" s="484"/>
      <c r="D169" s="486"/>
      <c r="E169" s="332"/>
      <c r="F169" s="332"/>
      <c r="G169" s="240"/>
      <c r="H169" s="332"/>
      <c r="I169" s="332"/>
      <c r="J169" s="332"/>
      <c r="K169" s="332"/>
      <c r="L169" s="332"/>
      <c r="M169" s="332"/>
      <c r="N169" s="332"/>
      <c r="O169" s="332"/>
      <c r="P169" s="332"/>
    </row>
    <row r="170" spans="1:20" s="164" customFormat="1" ht="30" customHeight="1">
      <c r="A170" s="241"/>
      <c r="B170" s="491"/>
      <c r="C170" s="491"/>
      <c r="D170" s="242"/>
      <c r="E170" s="243"/>
      <c r="F170" s="244"/>
      <c r="G170" s="243"/>
      <c r="H170" s="244"/>
      <c r="I170" s="245"/>
      <c r="J170" s="246"/>
      <c r="K170" s="247"/>
      <c r="L170" s="248"/>
      <c r="M170" s="243"/>
      <c r="N170" s="244"/>
      <c r="O170" s="249"/>
      <c r="P170" s="249"/>
      <c r="Q170" s="206"/>
      <c r="R170" s="206"/>
      <c r="S170" s="206"/>
      <c r="T170" s="206"/>
    </row>
    <row r="171" spans="1:20" s="164" customFormat="1" ht="30" customHeight="1">
      <c r="A171" s="250"/>
      <c r="B171" s="492"/>
      <c r="C171" s="492"/>
      <c r="D171" s="335"/>
      <c r="E171" s="252"/>
      <c r="F171" s="252"/>
      <c r="G171" s="253"/>
      <c r="H171" s="253"/>
      <c r="I171" s="254"/>
      <c r="J171" s="252"/>
      <c r="K171" s="252"/>
      <c r="L171" s="252"/>
      <c r="M171" s="253"/>
      <c r="N171" s="255"/>
      <c r="O171" s="256"/>
      <c r="P171" s="256"/>
      <c r="Q171" s="206"/>
      <c r="R171" s="206"/>
      <c r="S171" s="206"/>
      <c r="T171" s="206"/>
    </row>
    <row r="172" spans="1:20" s="164" customFormat="1" ht="30" customHeight="1">
      <c r="A172" s="250"/>
      <c r="B172" s="489"/>
      <c r="C172" s="489"/>
      <c r="D172" s="335"/>
      <c r="E172" s="254"/>
      <c r="F172" s="253"/>
      <c r="G172" s="253"/>
      <c r="H172" s="253"/>
      <c r="I172" s="258"/>
      <c r="J172" s="258"/>
      <c r="K172" s="252"/>
      <c r="L172" s="252"/>
      <c r="M172" s="253"/>
      <c r="N172" s="255"/>
      <c r="O172" s="256"/>
      <c r="P172" s="256"/>
      <c r="Q172" s="206"/>
      <c r="R172" s="206"/>
      <c r="S172" s="206"/>
      <c r="T172" s="206"/>
    </row>
    <row r="173" spans="1:20" s="164" customFormat="1" ht="30" customHeight="1">
      <c r="A173" s="250"/>
      <c r="B173" s="489"/>
      <c r="C173" s="489"/>
      <c r="D173" s="335"/>
      <c r="E173" s="254"/>
      <c r="F173" s="253"/>
      <c r="G173" s="253"/>
      <c r="H173" s="253"/>
      <c r="I173" s="258"/>
      <c r="J173" s="258"/>
      <c r="K173" s="252"/>
      <c r="L173" s="252"/>
      <c r="M173" s="253"/>
      <c r="N173" s="255"/>
      <c r="O173" s="256"/>
      <c r="P173" s="256"/>
      <c r="Q173" s="206"/>
      <c r="R173" s="206"/>
      <c r="S173" s="206"/>
      <c r="T173" s="206"/>
    </row>
    <row r="174" spans="1:20" s="164" customFormat="1" ht="25.5">
      <c r="A174" s="335"/>
      <c r="B174" s="487"/>
      <c r="C174" s="487"/>
      <c r="D174" s="234"/>
      <c r="E174" s="235"/>
      <c r="F174" s="259"/>
      <c r="G174" s="235"/>
      <c r="H174" s="260"/>
      <c r="I174" s="235"/>
      <c r="J174" s="259"/>
      <c r="K174" s="235"/>
      <c r="L174" s="259"/>
      <c r="M174" s="235"/>
      <c r="N174" s="259"/>
      <c r="O174" s="261"/>
      <c r="P174" s="261"/>
    </row>
    <row r="175" spans="1:20" s="164" customForma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</row>
    <row r="176" spans="1:20" s="164" customFormat="1" ht="29.25">
      <c r="A176" s="200"/>
      <c r="B176" s="214"/>
      <c r="C176" s="203"/>
      <c r="D176" s="203"/>
      <c r="E176" s="203"/>
      <c r="F176" s="203"/>
      <c r="G176" s="203"/>
      <c r="H176" s="203"/>
      <c r="I176" s="203"/>
      <c r="J176" s="203"/>
      <c r="K176" s="359"/>
      <c r="L176" s="359"/>
      <c r="M176" s="177"/>
      <c r="N176" s="359"/>
      <c r="O176" s="359"/>
      <c r="P176" s="203"/>
    </row>
    <row r="177" spans="1:16" s="164" customFormat="1" ht="29.25">
      <c r="A177" s="200"/>
      <c r="B177" s="262"/>
      <c r="C177" s="200"/>
      <c r="D177" s="200"/>
      <c r="E177" s="200"/>
      <c r="F177" s="200"/>
      <c r="G177" s="200"/>
      <c r="H177" s="200"/>
      <c r="I177" s="200"/>
      <c r="J177" s="200"/>
      <c r="K177" s="490"/>
      <c r="L177" s="490"/>
      <c r="M177" s="263"/>
      <c r="N177" s="490"/>
      <c r="O177" s="490"/>
      <c r="P177" s="200"/>
    </row>
    <row r="178" spans="1:16" s="164" customFormat="1" ht="29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490"/>
      <c r="L178" s="490"/>
      <c r="M178" s="263"/>
      <c r="N178" s="490"/>
      <c r="O178" s="490"/>
      <c r="P178" s="200"/>
    </row>
    <row r="179" spans="1:16" s="164" customFormat="1" ht="29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490"/>
      <c r="L179" s="490"/>
      <c r="M179" s="263"/>
      <c r="N179" s="490"/>
      <c r="O179" s="490"/>
      <c r="P179" s="200"/>
    </row>
    <row r="180" spans="1:16" s="164" customFormat="1" ht="25.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64"/>
      <c r="L180" s="264"/>
      <c r="M180" s="264"/>
      <c r="N180" s="264"/>
      <c r="O180" s="264"/>
      <c r="P180" s="200"/>
    </row>
    <row r="181" spans="1:16" s="164" customForma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r="182" spans="1:16" s="164" customForma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s="164" customForma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r="184" spans="1:16" s="164" customForma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r="185" spans="1:16" s="164" customForma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r="186" spans="1:16" s="164" customForma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r="187" spans="1:16" s="164" customForma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r="188" spans="1:16" s="164" customForma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</row>
    <row r="189" spans="1:16" s="164" customForma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</row>
    <row r="190" spans="1:16" s="164" customForma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363"/>
      <c r="L190" s="363"/>
      <c r="M190" s="200"/>
      <c r="N190" s="363"/>
      <c r="O190" s="363"/>
      <c r="P190" s="200"/>
    </row>
    <row r="191" spans="1:16" s="164" customForma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339"/>
      <c r="L191" s="339"/>
      <c r="M191" s="200"/>
      <c r="N191" s="339"/>
      <c r="O191" s="339"/>
      <c r="P191" s="200"/>
    </row>
    <row r="192" spans="1:16" s="164" customForma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339"/>
      <c r="L192" s="339"/>
      <c r="M192" s="200"/>
      <c r="N192" s="339"/>
      <c r="O192" s="339"/>
      <c r="P192" s="200"/>
    </row>
    <row r="193" spans="1:18" s="164" customFormat="1" ht="36.75">
      <c r="A193" s="200"/>
      <c r="B193" s="494"/>
      <c r="C193" s="494"/>
      <c r="D193" s="494"/>
      <c r="E193" s="494"/>
      <c r="F193" s="494"/>
      <c r="G193" s="494"/>
      <c r="H193" s="494"/>
      <c r="I193" s="494"/>
      <c r="J193" s="494"/>
      <c r="K193" s="494"/>
      <c r="L193" s="200"/>
      <c r="M193" s="200"/>
      <c r="N193" s="200"/>
      <c r="O193" s="200"/>
      <c r="P193" s="200"/>
    </row>
    <row r="194" spans="1:18" s="266" customFormat="1" ht="33">
      <c r="A194" s="265"/>
      <c r="B194" s="488"/>
      <c r="C194" s="488"/>
      <c r="D194" s="488"/>
      <c r="E194" s="488"/>
      <c r="F194" s="488"/>
      <c r="G194" s="488"/>
      <c r="H194" s="488"/>
      <c r="I194" s="488"/>
      <c r="J194" s="223"/>
      <c r="K194" s="224"/>
      <c r="L194" s="265"/>
      <c r="M194" s="265"/>
      <c r="N194" s="265"/>
      <c r="O194" s="265"/>
      <c r="P194" s="265"/>
    </row>
    <row r="195" spans="1:18" s="185" customFormat="1" ht="29.25">
      <c r="A195" s="484"/>
      <c r="B195" s="484"/>
      <c r="C195" s="484"/>
      <c r="D195" s="484"/>
      <c r="E195" s="486"/>
      <c r="F195" s="486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</row>
    <row r="196" spans="1:18" s="185" customFormat="1" ht="29.25">
      <c r="A196" s="484"/>
      <c r="B196" s="484"/>
      <c r="C196" s="484"/>
      <c r="D196" s="484"/>
      <c r="E196" s="486"/>
      <c r="F196" s="486"/>
      <c r="G196" s="332"/>
      <c r="H196" s="332"/>
      <c r="I196" s="332"/>
      <c r="J196" s="332"/>
      <c r="K196" s="484"/>
      <c r="L196" s="484"/>
      <c r="M196" s="498"/>
      <c r="N196" s="498"/>
      <c r="O196" s="484"/>
      <c r="P196" s="484"/>
    </row>
    <row r="197" spans="1:18" s="275" customFormat="1" ht="25.15" customHeight="1">
      <c r="A197" s="333"/>
      <c r="B197" s="499"/>
      <c r="C197" s="499"/>
      <c r="D197" s="499"/>
      <c r="E197" s="500"/>
      <c r="F197" s="500"/>
      <c r="G197" s="269"/>
      <c r="H197" s="270"/>
      <c r="I197" s="271"/>
      <c r="J197" s="272"/>
      <c r="K197" s="501"/>
      <c r="L197" s="501"/>
      <c r="M197" s="502"/>
      <c r="N197" s="502"/>
      <c r="O197" s="499"/>
      <c r="P197" s="499"/>
      <c r="Q197" s="273"/>
      <c r="R197" s="274"/>
    </row>
    <row r="198" spans="1:18" s="284" customFormat="1" ht="25.15" customHeight="1">
      <c r="A198" s="334"/>
      <c r="B198" s="503"/>
      <c r="C198" s="503"/>
      <c r="D198" s="503"/>
      <c r="E198" s="504"/>
      <c r="F198" s="504"/>
      <c r="G198" s="337"/>
      <c r="H198" s="279"/>
      <c r="I198" s="280"/>
      <c r="J198" s="281"/>
      <c r="K198" s="505"/>
      <c r="L198" s="505"/>
      <c r="M198" s="506"/>
      <c r="N198" s="506"/>
      <c r="O198" s="495"/>
      <c r="P198" s="495"/>
      <c r="Q198" s="282"/>
      <c r="R198" s="283"/>
    </row>
    <row r="199" spans="1:18" s="164" customFormat="1">
      <c r="A199" s="200"/>
      <c r="B199" s="285"/>
      <c r="C199" s="208"/>
      <c r="D199" s="208"/>
      <c r="E199" s="208"/>
      <c r="F199" s="208"/>
      <c r="G199" s="208"/>
      <c r="H199" s="208"/>
      <c r="I199" s="208"/>
      <c r="J199" s="208"/>
      <c r="K199" s="208"/>
      <c r="L199" s="200"/>
      <c r="M199" s="200"/>
      <c r="N199" s="200"/>
      <c r="O199" s="200"/>
      <c r="P199" s="200"/>
    </row>
    <row r="200" spans="1:18" s="185" customFormat="1" ht="29.25">
      <c r="A200" s="286"/>
      <c r="B200" s="497"/>
      <c r="C200" s="497"/>
      <c r="D200" s="497"/>
      <c r="E200" s="497"/>
      <c r="F200" s="497"/>
      <c r="G200" s="497"/>
      <c r="H200" s="497"/>
      <c r="I200" s="497"/>
      <c r="J200" s="287"/>
      <c r="K200" s="288"/>
      <c r="L200" s="286"/>
      <c r="M200" s="286"/>
      <c r="N200" s="286"/>
      <c r="O200" s="286"/>
      <c r="P200" s="286"/>
    </row>
    <row r="201" spans="1:18" s="185" customFormat="1" ht="29.25">
      <c r="A201" s="484"/>
      <c r="B201" s="484"/>
      <c r="C201" s="484"/>
      <c r="D201" s="484"/>
      <c r="E201" s="496"/>
      <c r="F201" s="496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</row>
    <row r="202" spans="1:18" s="185" customFormat="1" ht="29.25">
      <c r="A202" s="484"/>
      <c r="B202" s="484"/>
      <c r="C202" s="484"/>
      <c r="D202" s="484"/>
      <c r="E202" s="496"/>
      <c r="F202" s="496"/>
      <c r="G202" s="332"/>
      <c r="H202" s="332"/>
      <c r="I202" s="332"/>
      <c r="J202" s="332"/>
      <c r="K202" s="484"/>
      <c r="L202" s="484"/>
      <c r="M202" s="498"/>
      <c r="N202" s="498"/>
      <c r="O202" s="484"/>
      <c r="P202" s="484"/>
    </row>
    <row r="203" spans="1:18" s="275" customFormat="1" ht="25.15" customHeight="1">
      <c r="A203" s="289"/>
      <c r="B203" s="499"/>
      <c r="C203" s="499"/>
      <c r="D203" s="499"/>
      <c r="E203" s="500"/>
      <c r="F203" s="500"/>
      <c r="G203" s="271"/>
      <c r="H203" s="272"/>
      <c r="I203" s="271"/>
      <c r="J203" s="272"/>
      <c r="K203" s="501"/>
      <c r="L203" s="501"/>
      <c r="M203" s="502"/>
      <c r="N203" s="502"/>
      <c r="O203" s="499"/>
      <c r="P203" s="499"/>
      <c r="Q203" s="273"/>
      <c r="R203" s="274"/>
    </row>
    <row r="204" spans="1:18" s="284" customFormat="1" ht="25.15" customHeight="1">
      <c r="A204" s="334"/>
      <c r="B204" s="503"/>
      <c r="C204" s="503"/>
      <c r="D204" s="503"/>
      <c r="E204" s="504"/>
      <c r="F204" s="504"/>
      <c r="G204" s="337"/>
      <c r="H204" s="279"/>
      <c r="I204" s="280"/>
      <c r="J204" s="281"/>
      <c r="K204" s="505"/>
      <c r="L204" s="505"/>
      <c r="M204" s="506"/>
      <c r="N204" s="506"/>
      <c r="O204" s="495"/>
      <c r="P204" s="495"/>
      <c r="Q204" s="282"/>
      <c r="R204" s="283"/>
    </row>
    <row r="205" spans="1:18" s="164" customFormat="1" ht="23.25">
      <c r="A205" s="200"/>
      <c r="B205" s="285"/>
      <c r="C205" s="234"/>
      <c r="D205" s="234"/>
      <c r="E205" s="234"/>
      <c r="F205" s="234"/>
      <c r="G205" s="208"/>
      <c r="H205" s="208"/>
      <c r="I205" s="208"/>
      <c r="J205" s="208"/>
      <c r="K205" s="208"/>
      <c r="L205" s="200"/>
      <c r="M205" s="200"/>
      <c r="N205" s="200"/>
      <c r="O205" s="200"/>
      <c r="P205" s="200"/>
    </row>
    <row r="206" spans="1:18" s="266" customFormat="1" ht="33">
      <c r="A206" s="265"/>
      <c r="B206" s="488"/>
      <c r="C206" s="488"/>
      <c r="D206" s="488"/>
      <c r="E206" s="488"/>
      <c r="F206" s="488"/>
      <c r="G206" s="488"/>
      <c r="H206" s="488"/>
      <c r="I206" s="488"/>
      <c r="J206" s="223"/>
      <c r="K206" s="224"/>
      <c r="L206" s="265"/>
      <c r="M206" s="265"/>
      <c r="N206" s="265"/>
      <c r="O206" s="265"/>
      <c r="P206" s="265"/>
    </row>
    <row r="207" spans="1:18" s="185" customFormat="1" ht="29.25">
      <c r="A207" s="332"/>
      <c r="B207" s="484"/>
      <c r="C207" s="484"/>
      <c r="D207" s="338"/>
      <c r="E207" s="486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</row>
    <row r="208" spans="1:18" s="164" customFormat="1" ht="28.15" customHeight="1">
      <c r="A208" s="250"/>
      <c r="B208" s="484"/>
      <c r="C208" s="484"/>
      <c r="D208" s="208"/>
      <c r="E208" s="492"/>
      <c r="F208" s="492"/>
      <c r="G208" s="492"/>
      <c r="H208" s="492"/>
      <c r="I208" s="492"/>
      <c r="J208" s="492"/>
      <c r="K208" s="492"/>
      <c r="L208" s="492"/>
      <c r="M208" s="492"/>
      <c r="N208" s="492"/>
      <c r="O208" s="507"/>
      <c r="P208" s="507"/>
    </row>
    <row r="209" spans="1:18" s="164" customFormat="1" ht="29.25">
      <c r="A209" s="335"/>
      <c r="B209" s="484"/>
      <c r="C209" s="484"/>
      <c r="D209" s="208"/>
      <c r="E209" s="492"/>
      <c r="F209" s="492"/>
      <c r="G209" s="492"/>
      <c r="H209" s="492"/>
      <c r="I209" s="492"/>
      <c r="J209" s="492"/>
      <c r="K209" s="492"/>
      <c r="L209" s="492"/>
      <c r="M209" s="492"/>
      <c r="N209" s="492"/>
      <c r="O209" s="507"/>
      <c r="P209" s="507"/>
    </row>
    <row r="210" spans="1:18" s="284" customFormat="1" ht="25.15" customHeight="1">
      <c r="A210" s="334"/>
      <c r="B210" s="503"/>
      <c r="C210" s="503"/>
      <c r="D210" s="292"/>
      <c r="E210" s="504"/>
      <c r="F210" s="504"/>
      <c r="G210" s="508"/>
      <c r="H210" s="508"/>
      <c r="I210" s="508"/>
      <c r="J210" s="508"/>
      <c r="K210" s="505"/>
      <c r="L210" s="505"/>
      <c r="M210" s="505"/>
      <c r="N210" s="505"/>
      <c r="O210" s="495"/>
      <c r="P210" s="495"/>
      <c r="Q210" s="282"/>
      <c r="R210" s="283"/>
    </row>
    <row r="211" spans="1:18" s="164" customFormat="1" ht="29.25">
      <c r="A211" s="335"/>
      <c r="B211" s="332"/>
      <c r="C211" s="332"/>
      <c r="D211" s="208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6"/>
      <c r="P211" s="336"/>
    </row>
    <row r="212" spans="1:18" s="164" customForma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</row>
    <row r="213" spans="1:18" s="164" customFormat="1" ht="29.25">
      <c r="A213" s="178"/>
      <c r="B213" s="178"/>
      <c r="C213" s="203"/>
      <c r="D213" s="203"/>
      <c r="E213" s="203"/>
      <c r="F213" s="203"/>
      <c r="G213" s="203"/>
      <c r="H213" s="203"/>
      <c r="I213" s="203"/>
      <c r="J213" s="203"/>
      <c r="K213" s="359"/>
      <c r="L213" s="359"/>
      <c r="M213" s="263"/>
      <c r="N213" s="496"/>
      <c r="O213" s="496"/>
      <c r="P213" s="200"/>
    </row>
    <row r="214" spans="1:18" s="164" customFormat="1" ht="29.25">
      <c r="A214" s="200"/>
      <c r="B214" s="262"/>
      <c r="C214" s="203"/>
      <c r="D214" s="203"/>
      <c r="E214" s="203"/>
      <c r="F214" s="203"/>
      <c r="G214" s="203"/>
      <c r="H214" s="203"/>
      <c r="I214" s="203"/>
      <c r="J214" s="203"/>
      <c r="K214" s="359"/>
      <c r="L214" s="359"/>
      <c r="M214" s="263"/>
      <c r="N214" s="490"/>
      <c r="O214" s="490"/>
      <c r="P214" s="200"/>
    </row>
    <row r="215" spans="1:18" s="164" customFormat="1" ht="29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359"/>
      <c r="L215" s="359"/>
      <c r="M215" s="263"/>
      <c r="N215" s="490"/>
      <c r="O215" s="490"/>
      <c r="P215" s="200"/>
    </row>
    <row r="216" spans="1:18" s="164" customFormat="1" ht="29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490"/>
      <c r="L216" s="490"/>
      <c r="M216" s="263"/>
      <c r="N216" s="490"/>
      <c r="O216" s="490"/>
      <c r="P216" s="200"/>
    </row>
    <row r="217" spans="1:18" s="164" customFormat="1" ht="29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331"/>
      <c r="L217" s="331"/>
      <c r="M217" s="263"/>
      <c r="N217" s="331"/>
      <c r="O217" s="331"/>
      <c r="P217" s="200"/>
    </row>
    <row r="218" spans="1:18" s="164" customForma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336"/>
      <c r="L218" s="336"/>
      <c r="M218" s="200"/>
      <c r="N218" s="336"/>
      <c r="O218" s="336"/>
      <c r="P218" s="200"/>
    </row>
    <row r="219" spans="1:18" s="164" customForma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336"/>
      <c r="L219" s="336"/>
      <c r="M219" s="200"/>
      <c r="N219" s="336"/>
      <c r="O219" s="336"/>
      <c r="P219" s="200"/>
    </row>
    <row r="220" spans="1:18" s="164" customForma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8" s="164" customForma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</row>
    <row r="222" spans="1:18" s="164" customForma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</row>
    <row r="223" spans="1:18" s="164" customForma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</row>
    <row r="224" spans="1:18" s="164" customForma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</row>
    <row r="225" spans="1:16" s="164" customForma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s="164" customForma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</row>
    <row r="227" spans="1:16" s="164" customForma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</row>
    <row r="228" spans="1:16" s="164" customForma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</row>
    <row r="229" spans="1:16" s="164" customForma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</row>
    <row r="230" spans="1:16" s="164" customForma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363"/>
      <c r="L230" s="363"/>
      <c r="M230" s="200"/>
      <c r="N230" s="363"/>
      <c r="O230" s="363"/>
      <c r="P230" s="200"/>
    </row>
    <row r="231" spans="1:16" s="164" customFormat="1"/>
    <row r="232" spans="1:16" s="164" customFormat="1"/>
    <row r="233" spans="1:16" s="164" customFormat="1"/>
    <row r="234" spans="1:16" s="164" customFormat="1"/>
    <row r="235" spans="1:16" s="164" customFormat="1"/>
    <row r="236" spans="1:16" s="164" customFormat="1"/>
    <row r="237" spans="1:16" s="164" customFormat="1"/>
    <row r="238" spans="1:16" s="164" customFormat="1"/>
    <row r="239" spans="1:16" s="164" customFormat="1"/>
    <row r="240" spans="1:16" s="164" customFormat="1"/>
    <row r="241" s="164" customFormat="1"/>
    <row r="242" s="164" customFormat="1"/>
    <row r="243" s="164" customFormat="1"/>
    <row r="244" s="164" customFormat="1"/>
    <row r="245" s="164" customFormat="1"/>
    <row r="246" s="164" customFormat="1"/>
    <row r="247" s="164" customFormat="1"/>
    <row r="248" s="164" customFormat="1"/>
    <row r="249" s="164" customFormat="1"/>
  </sheetData>
  <mergeCells count="298">
    <mergeCell ref="K216:L216"/>
    <mergeCell ref="N216:O216"/>
    <mergeCell ref="K230:L230"/>
    <mergeCell ref="N230:O230"/>
    <mergeCell ref="K213:L213"/>
    <mergeCell ref="N213:O213"/>
    <mergeCell ref="K214:L214"/>
    <mergeCell ref="N214:O214"/>
    <mergeCell ref="K215:L215"/>
    <mergeCell ref="N215:O215"/>
    <mergeCell ref="B209:C209"/>
    <mergeCell ref="E209:F209"/>
    <mergeCell ref="G209:J209"/>
    <mergeCell ref="K209:N209"/>
    <mergeCell ref="O209:P209"/>
    <mergeCell ref="B210:C210"/>
    <mergeCell ref="E210:F210"/>
    <mergeCell ref="G210:J210"/>
    <mergeCell ref="K210:N210"/>
    <mergeCell ref="O210:P210"/>
    <mergeCell ref="B207:C207"/>
    <mergeCell ref="E207:F207"/>
    <mergeCell ref="G207:J207"/>
    <mergeCell ref="K207:N207"/>
    <mergeCell ref="O207:P207"/>
    <mergeCell ref="B208:C208"/>
    <mergeCell ref="E208:F208"/>
    <mergeCell ref="G208:J208"/>
    <mergeCell ref="K208:N208"/>
    <mergeCell ref="O208:P208"/>
    <mergeCell ref="B204:D204"/>
    <mergeCell ref="E204:F204"/>
    <mergeCell ref="K204:L204"/>
    <mergeCell ref="M204:N204"/>
    <mergeCell ref="O204:P204"/>
    <mergeCell ref="B206:I206"/>
    <mergeCell ref="O201:P202"/>
    <mergeCell ref="K202:L202"/>
    <mergeCell ref="M202:N202"/>
    <mergeCell ref="B203:D203"/>
    <mergeCell ref="E203:F203"/>
    <mergeCell ref="K203:L203"/>
    <mergeCell ref="M203:N203"/>
    <mergeCell ref="O203:P203"/>
    <mergeCell ref="A201:A202"/>
    <mergeCell ref="B201:D202"/>
    <mergeCell ref="E201:F202"/>
    <mergeCell ref="G201:H201"/>
    <mergeCell ref="I201:J201"/>
    <mergeCell ref="K201:N201"/>
    <mergeCell ref="B198:D198"/>
    <mergeCell ref="E198:F198"/>
    <mergeCell ref="K198:L198"/>
    <mergeCell ref="M198:N198"/>
    <mergeCell ref="O198:P198"/>
    <mergeCell ref="B200:I200"/>
    <mergeCell ref="O195:P196"/>
    <mergeCell ref="K196:L196"/>
    <mergeCell ref="M196:N196"/>
    <mergeCell ref="B197:D197"/>
    <mergeCell ref="E197:F197"/>
    <mergeCell ref="K197:L197"/>
    <mergeCell ref="M197:N197"/>
    <mergeCell ref="O197:P197"/>
    <mergeCell ref="K190:L190"/>
    <mergeCell ref="N190:O190"/>
    <mergeCell ref="B193:K193"/>
    <mergeCell ref="B194:I194"/>
    <mergeCell ref="A195:A196"/>
    <mergeCell ref="B195:D196"/>
    <mergeCell ref="E195:F196"/>
    <mergeCell ref="G195:H195"/>
    <mergeCell ref="I195:J195"/>
    <mergeCell ref="K195:N195"/>
    <mergeCell ref="N176:O176"/>
    <mergeCell ref="K177:L177"/>
    <mergeCell ref="N177:O177"/>
    <mergeCell ref="K178:L178"/>
    <mergeCell ref="N178:O178"/>
    <mergeCell ref="K179:L179"/>
    <mergeCell ref="N179:O179"/>
    <mergeCell ref="B170:C170"/>
    <mergeCell ref="B171:C171"/>
    <mergeCell ref="B172:C172"/>
    <mergeCell ref="B173:C173"/>
    <mergeCell ref="B174:C174"/>
    <mergeCell ref="K176:L176"/>
    <mergeCell ref="O167:P168"/>
    <mergeCell ref="E168:F168"/>
    <mergeCell ref="G168:H168"/>
    <mergeCell ref="I168:J168"/>
    <mergeCell ref="K168:L168"/>
    <mergeCell ref="M168:N168"/>
    <mergeCell ref="B164:C164"/>
    <mergeCell ref="A166:I166"/>
    <mergeCell ref="A167:A169"/>
    <mergeCell ref="B167:C169"/>
    <mergeCell ref="D167:D169"/>
    <mergeCell ref="E167:N167"/>
    <mergeCell ref="O152:P153"/>
    <mergeCell ref="E153:F153"/>
    <mergeCell ref="G153:H153"/>
    <mergeCell ref="I153:J153"/>
    <mergeCell ref="K153:L153"/>
    <mergeCell ref="M153:N153"/>
    <mergeCell ref="B150:I150"/>
    <mergeCell ref="A151:I151"/>
    <mergeCell ref="A152:A154"/>
    <mergeCell ref="B152:C154"/>
    <mergeCell ref="D152:D154"/>
    <mergeCell ref="E152:N152"/>
    <mergeCell ref="K139:L139"/>
    <mergeCell ref="N139:O139"/>
    <mergeCell ref="K140:L140"/>
    <mergeCell ref="N140:O140"/>
    <mergeCell ref="K147:L147"/>
    <mergeCell ref="N147:O147"/>
    <mergeCell ref="A135:B135"/>
    <mergeCell ref="A136:I136"/>
    <mergeCell ref="A137:I137"/>
    <mergeCell ref="K137:L137"/>
    <mergeCell ref="N137:O137"/>
    <mergeCell ref="K138:L138"/>
    <mergeCell ref="N138:O138"/>
    <mergeCell ref="L123:O123"/>
    <mergeCell ref="D124:E124"/>
    <mergeCell ref="F124:G124"/>
    <mergeCell ref="H124:I124"/>
    <mergeCell ref="J124:K124"/>
    <mergeCell ref="L124:M124"/>
    <mergeCell ref="N124:O124"/>
    <mergeCell ref="B112:O112"/>
    <mergeCell ref="G113:H113"/>
    <mergeCell ref="G114:I114"/>
    <mergeCell ref="D121:E121"/>
    <mergeCell ref="J121:K121"/>
    <mergeCell ref="A122:B125"/>
    <mergeCell ref="C122:C125"/>
    <mergeCell ref="D122:O122"/>
    <mergeCell ref="D123:G123"/>
    <mergeCell ref="H123:K123"/>
    <mergeCell ref="K107:L107"/>
    <mergeCell ref="N107:O107"/>
    <mergeCell ref="B108:O108"/>
    <mergeCell ref="B109:O109"/>
    <mergeCell ref="G110:J110"/>
    <mergeCell ref="B111:O111"/>
    <mergeCell ref="K97:L97"/>
    <mergeCell ref="N97:O97"/>
    <mergeCell ref="K98:L98"/>
    <mergeCell ref="N98:O98"/>
    <mergeCell ref="K99:L99"/>
    <mergeCell ref="N99:O99"/>
    <mergeCell ref="B94:C94"/>
    <mergeCell ref="E94:F94"/>
    <mergeCell ref="G94:J94"/>
    <mergeCell ref="K94:N94"/>
    <mergeCell ref="O94:P94"/>
    <mergeCell ref="K96:L96"/>
    <mergeCell ref="N96:O96"/>
    <mergeCell ref="B92:C92"/>
    <mergeCell ref="E92:F92"/>
    <mergeCell ref="G92:J92"/>
    <mergeCell ref="O92:P92"/>
    <mergeCell ref="B93:C93"/>
    <mergeCell ref="E93:F93"/>
    <mergeCell ref="G93:J93"/>
    <mergeCell ref="K93:N93"/>
    <mergeCell ref="O93:P93"/>
    <mergeCell ref="B90:C90"/>
    <mergeCell ref="E90:F90"/>
    <mergeCell ref="G90:J90"/>
    <mergeCell ref="K90:N90"/>
    <mergeCell ref="O90:P90"/>
    <mergeCell ref="B91:C91"/>
    <mergeCell ref="E91:F91"/>
    <mergeCell ref="G91:J91"/>
    <mergeCell ref="K91:N91"/>
    <mergeCell ref="O91:P91"/>
    <mergeCell ref="B87:D87"/>
    <mergeCell ref="E87:F87"/>
    <mergeCell ref="K87:L87"/>
    <mergeCell ref="M87:N87"/>
    <mergeCell ref="O87:P87"/>
    <mergeCell ref="B89:I89"/>
    <mergeCell ref="O84:P85"/>
    <mergeCell ref="K85:L85"/>
    <mergeCell ref="M85:N85"/>
    <mergeCell ref="B86:D86"/>
    <mergeCell ref="E86:F86"/>
    <mergeCell ref="K86:L86"/>
    <mergeCell ref="M86:N86"/>
    <mergeCell ref="O86:P86"/>
    <mergeCell ref="A84:A85"/>
    <mergeCell ref="B84:D85"/>
    <mergeCell ref="E84:F85"/>
    <mergeCell ref="G84:H84"/>
    <mergeCell ref="I84:J84"/>
    <mergeCell ref="K84:N84"/>
    <mergeCell ref="B81:D81"/>
    <mergeCell ref="E81:F81"/>
    <mergeCell ref="K81:L81"/>
    <mergeCell ref="M81:N81"/>
    <mergeCell ref="O81:P81"/>
    <mergeCell ref="B83:I83"/>
    <mergeCell ref="O78:P79"/>
    <mergeCell ref="K79:L79"/>
    <mergeCell ref="M79:N79"/>
    <mergeCell ref="B80:D80"/>
    <mergeCell ref="E80:F80"/>
    <mergeCell ref="K80:L80"/>
    <mergeCell ref="M80:N80"/>
    <mergeCell ref="O80:P80"/>
    <mergeCell ref="K75:L75"/>
    <mergeCell ref="N75:O75"/>
    <mergeCell ref="B76:K76"/>
    <mergeCell ref="B77:I77"/>
    <mergeCell ref="A78:A79"/>
    <mergeCell ref="B78:D79"/>
    <mergeCell ref="E78:F79"/>
    <mergeCell ref="G78:H78"/>
    <mergeCell ref="I78:J78"/>
    <mergeCell ref="K78:N78"/>
    <mergeCell ref="K67:L67"/>
    <mergeCell ref="N67:O67"/>
    <mergeCell ref="K68:L68"/>
    <mergeCell ref="N68:O68"/>
    <mergeCell ref="K69:L69"/>
    <mergeCell ref="N69:O69"/>
    <mergeCell ref="M59:N59"/>
    <mergeCell ref="B61:C61"/>
    <mergeCell ref="B62:C62"/>
    <mergeCell ref="B63:C63"/>
    <mergeCell ref="B64:C64"/>
    <mergeCell ref="K66:L66"/>
    <mergeCell ref="N66:O66"/>
    <mergeCell ref="A57:I57"/>
    <mergeCell ref="A58:A60"/>
    <mergeCell ref="B58:C60"/>
    <mergeCell ref="D58:D60"/>
    <mergeCell ref="E58:N58"/>
    <mergeCell ref="O58:P59"/>
    <mergeCell ref="E59:F59"/>
    <mergeCell ref="G59:H59"/>
    <mergeCell ref="I59:J59"/>
    <mergeCell ref="K59:L59"/>
    <mergeCell ref="E45:F45"/>
    <mergeCell ref="G45:H45"/>
    <mergeCell ref="I45:J45"/>
    <mergeCell ref="K45:L45"/>
    <mergeCell ref="M45:N45"/>
    <mergeCell ref="B55:C55"/>
    <mergeCell ref="A37:G37"/>
    <mergeCell ref="K41:L41"/>
    <mergeCell ref="N41:O41"/>
    <mergeCell ref="B42:I42"/>
    <mergeCell ref="A43:I43"/>
    <mergeCell ref="A44:A46"/>
    <mergeCell ref="B44:C46"/>
    <mergeCell ref="D44:D46"/>
    <mergeCell ref="E44:N44"/>
    <mergeCell ref="O44:P45"/>
    <mergeCell ref="K31:L31"/>
    <mergeCell ref="N31:O31"/>
    <mergeCell ref="K32:L32"/>
    <mergeCell ref="N32:O32"/>
    <mergeCell ref="A34:I34"/>
    <mergeCell ref="K34:L34"/>
    <mergeCell ref="N34:O34"/>
    <mergeCell ref="L18:M18"/>
    <mergeCell ref="N18:O18"/>
    <mergeCell ref="A28:B28"/>
    <mergeCell ref="A29:I29"/>
    <mergeCell ref="A30:I30"/>
    <mergeCell ref="K30:L30"/>
    <mergeCell ref="N30:O30"/>
    <mergeCell ref="A16:B19"/>
    <mergeCell ref="C16:C19"/>
    <mergeCell ref="D16:O16"/>
    <mergeCell ref="D17:G17"/>
    <mergeCell ref="H17:K17"/>
    <mergeCell ref="L17:O17"/>
    <mergeCell ref="D18:E18"/>
    <mergeCell ref="F18:G18"/>
    <mergeCell ref="H18:I18"/>
    <mergeCell ref="J18:K18"/>
    <mergeCell ref="G7:J7"/>
    <mergeCell ref="D13:E13"/>
    <mergeCell ref="F13:G13"/>
    <mergeCell ref="J13:K13"/>
    <mergeCell ref="D15:E15"/>
    <mergeCell ref="J15:K15"/>
    <mergeCell ref="B1:O1"/>
    <mergeCell ref="B2:O2"/>
    <mergeCell ref="G3:J3"/>
    <mergeCell ref="B4:O4"/>
    <mergeCell ref="B5:O5"/>
    <mergeCell ref="G6:H6"/>
  </mergeCells>
  <printOptions horizontalCentered="1"/>
  <pageMargins left="0.2" right="0.2" top="0.25" bottom="0.25" header="0.3" footer="0.3"/>
  <pageSetup paperSize="9" scale="52" orientation="landscape" verticalDpi="1200" r:id="rId1"/>
  <headerFooter>
    <oddFooter>&amp;L&amp;A&amp;R&amp;P</oddFooter>
  </headerFooter>
  <rowBreaks count="5" manualBreakCount="5">
    <brk id="41" max="16383" man="1"/>
    <brk id="75" max="16383" man="1"/>
    <brk id="107" max="16383" man="1"/>
    <brk id="147" max="16383" man="1"/>
    <brk id="1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1-JAN</vt:lpstr>
      <vt:lpstr>2-FEB</vt:lpstr>
      <vt:lpstr>3-MAR</vt:lpstr>
      <vt:lpstr>4-APR</vt:lpstr>
      <vt:lpstr>5-MAY</vt:lpstr>
      <vt:lpstr>6-JUN</vt:lpstr>
      <vt:lpstr>7-JUL</vt:lpstr>
      <vt:lpstr>8-AUG</vt:lpstr>
      <vt:lpstr>9-SEP</vt:lpstr>
      <vt:lpstr>'1-JAN'!Print_Area</vt:lpstr>
      <vt:lpstr>'2-FEB'!Print_Area</vt:lpstr>
      <vt:lpstr>'3-MAR'!Print_Area</vt:lpstr>
      <vt:lpstr>'4-APR'!Print_Area</vt:lpstr>
      <vt:lpstr>'5-MAY'!Print_Area</vt:lpstr>
      <vt:lpstr>'6-JUN'!Print_Area</vt:lpstr>
      <vt:lpstr>'7-JUL'!Print_Area</vt:lpstr>
      <vt:lpstr>'8-AUG'!Print_Area</vt:lpstr>
      <vt:lpstr>'9-SEP'!Print_Area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Shipping</dc:creator>
  <cp:lastModifiedBy>User</cp:lastModifiedBy>
  <cp:lastPrinted>2026-09-15T04:31:37Z</cp:lastPrinted>
  <dcterms:created xsi:type="dcterms:W3CDTF">2023-06-21T01:44:28Z</dcterms:created>
  <dcterms:modified xsi:type="dcterms:W3CDTF">2026-10-20T03:02:20Z</dcterms:modified>
</cp:coreProperties>
</file>