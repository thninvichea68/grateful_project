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800" windowHeight="12300"/>
  </bookViews>
  <sheets>
    <sheet name="Sheet1" sheetId="1" r:id="rId1"/>
  </sheets>
  <definedNames>
    <definedName name="_xlnm.Print_Area" localSheetId="0">Sheet1!$A$1:$M$13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6" i="1" l="1"/>
  <c r="N4" i="1"/>
</calcChain>
</file>

<file path=xl/sharedStrings.xml><?xml version="1.0" encoding="utf-8"?>
<sst xmlns="http://schemas.openxmlformats.org/spreadsheetml/2006/main" count="85" uniqueCount="36">
  <si>
    <t>MONTH</t>
  </si>
  <si>
    <t>FORM</t>
  </si>
  <si>
    <t>MODE</t>
  </si>
  <si>
    <t>COUNTRY</t>
  </si>
  <si>
    <t>CO NO</t>
  </si>
  <si>
    <t>DATE CO</t>
  </si>
  <si>
    <t>INV NO</t>
  </si>
  <si>
    <t>DATE INV</t>
  </si>
  <si>
    <t>PCS</t>
  </si>
  <si>
    <t>AMOUNT</t>
  </si>
  <si>
    <t>STATUS</t>
  </si>
  <si>
    <t>ATD DATE</t>
  </si>
  <si>
    <t>CRF</t>
  </si>
  <si>
    <t>SEA</t>
  </si>
  <si>
    <t>USA</t>
  </si>
  <si>
    <t>JRA26042</t>
  </si>
  <si>
    <t>JRA26046A</t>
  </si>
  <si>
    <t>JRA26046B</t>
  </si>
  <si>
    <t>JRA26049A</t>
  </si>
  <si>
    <t>JRA26049B</t>
  </si>
  <si>
    <t>JRA26050</t>
  </si>
  <si>
    <t>JRA26051</t>
  </si>
  <si>
    <t>JRA26053</t>
  </si>
  <si>
    <t>JRA26054</t>
  </si>
  <si>
    <t>JRA26055</t>
  </si>
  <si>
    <t>JRA26057</t>
  </si>
  <si>
    <t>CNTS</t>
  </si>
  <si>
    <t>DRAFT</t>
  </si>
  <si>
    <t>07-2026</t>
  </si>
  <si>
    <t>08-2026</t>
  </si>
  <si>
    <t>09-2026</t>
  </si>
  <si>
    <t>10-2026</t>
  </si>
  <si>
    <t>AB</t>
  </si>
  <si>
    <t>CANADA</t>
  </si>
  <si>
    <t>JRA26056</t>
  </si>
  <si>
    <t>CONFIRM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</si>
</sst>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d\-mmm\-yy;@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2" borderId="1" xfId="0" applyNumberFormat="1" applyFill="1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0" xfId="0" applyNumberFormat="1"/>
    <xf numFmtId="3" fontId="0" fillId="0" borderId="0" xfId="0" applyNumberFormat="1"/>
    <xf numFmtId="4" fontId="0" fillId="0" borderId="0" xfId="0" applyNumberFormat="1"/>
    <xf numFmtId="0" fontId="0" fillId="0" borderId="1" xfId="0" quotePrefix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3"/>
  <sheetViews>
    <sheetView tabSelected="1" view="pageBreakPreview" zoomScale="130" zoomScaleNormal="100" zoomScaleSheetLayoutView="130" workbookViewId="0">
      <selection activeCell="E13" sqref="E13"/>
    </sheetView>
  </sheetViews>
  <sheetFormatPr defaultRowHeight="15" x14ac:dyDescent="0.25"/>
  <cols>
    <col min="1" max="2" width="11.28515625" style="1" customWidth="1"/>
    <col min="3" max="3" width="9.140625" style="1"/>
    <col min="4" max="4" width="13.7109375" style="1" customWidth="1"/>
    <col min="5" max="5" width="19.5703125" style="1" customWidth="1"/>
    <col min="6" max="6" width="13.85546875" style="2" customWidth="1"/>
    <col min="7" max="7" width="13.85546875" style="1" customWidth="1"/>
    <col min="8" max="8" width="14.5703125" style="2" customWidth="1"/>
    <col min="9" max="9" width="13.42578125" style="5" customWidth="1"/>
    <col min="10" max="10" width="11.85546875" style="5" customWidth="1"/>
    <col min="11" max="11" width="13.140625" style="4" customWidth="1"/>
    <col min="12" max="12" width="13.140625" style="2" customWidth="1"/>
    <col min="13" max="13" width="16" style="1" customWidth="1"/>
  </cols>
  <sheetData>
    <row r="1" spans="1:16" s="6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26</v>
      </c>
      <c r="K1" s="3" t="s">
        <v>9</v>
      </c>
      <c r="L1" s="3" t="s">
        <v>11</v>
      </c>
      <c r="M1" s="3" t="s">
        <v>10</v>
      </c>
    </row>
    <row r="2" spans="1:16" x14ac:dyDescent="0.25">
      <c r="A2" s="9" t="s">
        <v>28</v>
      </c>
      <c r="B2" s="1" t="s">
        <v>12</v>
      </c>
      <c r="C2" s="1" t="s">
        <v>13</v>
      </c>
      <c r="D2" s="1" t="s">
        <v>14</v>
      </c>
      <c r="G2" s="1" t="s">
        <v>15</v>
      </c>
      <c r="H2" s="2">
        <v>46217</v>
      </c>
      <c r="I2" s="5">
        <v>9108</v>
      </c>
      <c r="J2" s="5">
        <v>443</v>
      </c>
      <c r="K2" s="4">
        <v>21263.1</v>
      </c>
      <c r="L2" s="2">
        <v>46221</v>
      </c>
      <c r="M2" s="1" t="s">
        <v>27</v>
      </c>
    </row>
    <row r="3" spans="1:16" x14ac:dyDescent="0.25">
      <c r="A3" s="9" t="s">
        <v>28</v>
      </c>
      <c r="B3" s="1" t="s">
        <v>12</v>
      </c>
      <c r="C3" s="1" t="s">
        <v>13</v>
      </c>
      <c r="D3" s="1" t="s">
        <v>14</v>
      </c>
      <c r="G3" s="1" t="s">
        <v>16</v>
      </c>
      <c r="H3" s="2">
        <v>46231</v>
      </c>
      <c r="I3" s="5">
        <v>8484</v>
      </c>
      <c r="J3" s="5">
        <v>707</v>
      </c>
      <c r="K3" s="4">
        <v>10918.8</v>
      </c>
      <c r="L3" s="2">
        <v>46239</v>
      </c>
      <c r="M3" s="1" t="s">
        <v>27</v>
      </c>
      <c r="N3" s="7"/>
      <c r="O3" s="7"/>
      <c r="P3" s="8"/>
    </row>
    <row r="4" spans="1:16" x14ac:dyDescent="0.25">
      <c r="A4" s="9" t="s">
        <v>28</v>
      </c>
      <c r="B4" s="1" t="s">
        <v>12</v>
      </c>
      <c r="C4" s="1" t="s">
        <v>13</v>
      </c>
      <c r="D4" s="1" t="s">
        <v>14</v>
      </c>
      <c r="G4" s="1" t="s">
        <v>17</v>
      </c>
      <c r="H4" s="2">
        <v>46231</v>
      </c>
      <c r="I4" s="5">
        <v>3448</v>
      </c>
      <c r="J4" s="5">
        <v>431</v>
      </c>
      <c r="K4" s="4">
        <v>7068.4</v>
      </c>
      <c r="L4" s="2">
        <v>46239</v>
      </c>
      <c r="M4" s="1" t="s">
        <v>27</v>
      </c>
      <c r="N4" s="7">
        <f>SUM(J3:J4)</f>
        <v>1138</v>
      </c>
      <c r="O4" s="7"/>
      <c r="P4" s="8"/>
    </row>
    <row r="5" spans="1:16" x14ac:dyDescent="0.25">
      <c r="A5" s="9" t="s">
        <v>29</v>
      </c>
      <c r="B5" s="1" t="s">
        <v>12</v>
      </c>
      <c r="C5" s="1" t="s">
        <v>13</v>
      </c>
      <c r="D5" s="1" t="s">
        <v>14</v>
      </c>
      <c r="G5" s="1" t="s">
        <v>18</v>
      </c>
      <c r="H5" s="2">
        <v>46246</v>
      </c>
      <c r="I5" s="5">
        <v>7908</v>
      </c>
      <c r="J5" s="5">
        <v>659</v>
      </c>
      <c r="K5" s="4">
        <v>10478.099999999999</v>
      </c>
      <c r="L5" s="2">
        <v>46250</v>
      </c>
      <c r="M5" s="1" t="s">
        <v>27</v>
      </c>
      <c r="O5" s="7"/>
      <c r="P5" s="8"/>
    </row>
    <row r="6" spans="1:16" x14ac:dyDescent="0.25">
      <c r="A6" s="9" t="s">
        <v>29</v>
      </c>
      <c r="B6" s="1" t="s">
        <v>12</v>
      </c>
      <c r="C6" s="1" t="s">
        <v>13</v>
      </c>
      <c r="D6" s="1" t="s">
        <v>14</v>
      </c>
      <c r="G6" s="1" t="s">
        <v>19</v>
      </c>
      <c r="H6" s="2">
        <v>46246</v>
      </c>
      <c r="I6" s="5">
        <v>1312</v>
      </c>
      <c r="J6" s="5">
        <v>55</v>
      </c>
      <c r="K6" s="4">
        <v>3673.6</v>
      </c>
      <c r="L6" s="2">
        <v>46250</v>
      </c>
      <c r="M6" s="1" t="s">
        <v>27</v>
      </c>
      <c r="N6" s="7">
        <f>SUM(J5:J6)</f>
        <v>714</v>
      </c>
      <c r="O6" s="7"/>
      <c r="P6" s="8"/>
    </row>
    <row r="7" spans="1:16" x14ac:dyDescent="0.25">
      <c r="A7" s="9" t="s">
        <v>29</v>
      </c>
      <c r="B7" s="1" t="s">
        <v>12</v>
      </c>
      <c r="C7" s="1" t="s">
        <v>13</v>
      </c>
      <c r="D7" s="1" t="s">
        <v>14</v>
      </c>
      <c r="G7" s="1" t="s">
        <v>20</v>
      </c>
      <c r="H7" s="2">
        <v>46259</v>
      </c>
      <c r="I7" s="5">
        <v>25115</v>
      </c>
      <c r="J7" s="5">
        <v>786</v>
      </c>
      <c r="K7" s="4">
        <v>51314.219999999994</v>
      </c>
      <c r="L7" s="2">
        <v>46267</v>
      </c>
      <c r="M7" s="1" t="s">
        <v>27</v>
      </c>
    </row>
    <row r="8" spans="1:16" x14ac:dyDescent="0.25">
      <c r="A8" s="9" t="s">
        <v>30</v>
      </c>
      <c r="B8" s="1" t="s">
        <v>12</v>
      </c>
      <c r="C8" s="1" t="s">
        <v>13</v>
      </c>
      <c r="D8" s="1" t="s">
        <v>14</v>
      </c>
      <c r="G8" s="1" t="s">
        <v>21</v>
      </c>
      <c r="H8" s="2">
        <v>46271</v>
      </c>
      <c r="I8" s="5">
        <v>31741</v>
      </c>
      <c r="J8" s="5">
        <v>1150</v>
      </c>
      <c r="K8" s="4">
        <v>64166.55</v>
      </c>
      <c r="L8" s="2">
        <v>46272</v>
      </c>
      <c r="M8" s="1" t="s">
        <v>27</v>
      </c>
    </row>
    <row r="9" spans="1:16" x14ac:dyDescent="0.25">
      <c r="A9" s="9" t="s">
        <v>30</v>
      </c>
      <c r="B9" s="1" t="s">
        <v>12</v>
      </c>
      <c r="C9" s="1" t="s">
        <v>13</v>
      </c>
      <c r="D9" s="1" t="s">
        <v>14</v>
      </c>
      <c r="G9" s="1" t="s">
        <v>22</v>
      </c>
      <c r="H9" s="2">
        <v>46272</v>
      </c>
      <c r="I9" s="5">
        <v>31404</v>
      </c>
      <c r="J9" s="5">
        <v>982</v>
      </c>
      <c r="K9" s="4">
        <v>16194.3</v>
      </c>
      <c r="L9" s="2">
        <v>46281</v>
      </c>
      <c r="M9" s="1" t="s">
        <v>27</v>
      </c>
    </row>
    <row r="10" spans="1:16" x14ac:dyDescent="0.25">
      <c r="A10" s="9" t="s">
        <v>30</v>
      </c>
      <c r="B10" s="1" t="s">
        <v>12</v>
      </c>
      <c r="C10" s="1" t="s">
        <v>13</v>
      </c>
      <c r="D10" s="1" t="s">
        <v>14</v>
      </c>
      <c r="G10" s="1" t="s">
        <v>23</v>
      </c>
      <c r="H10" s="2">
        <v>46274</v>
      </c>
      <c r="I10" s="5">
        <v>23295</v>
      </c>
      <c r="J10" s="5">
        <v>729</v>
      </c>
      <c r="K10" s="4">
        <v>49203.899999999994</v>
      </c>
      <c r="L10" s="2">
        <v>46280</v>
      </c>
      <c r="M10" s="1" t="s">
        <v>27</v>
      </c>
    </row>
    <row r="11" spans="1:16" x14ac:dyDescent="0.25">
      <c r="A11" s="9" t="s">
        <v>30</v>
      </c>
      <c r="B11" s="1" t="s">
        <v>12</v>
      </c>
      <c r="C11" s="1" t="s">
        <v>13</v>
      </c>
      <c r="D11" s="1" t="s">
        <v>14</v>
      </c>
      <c r="G11" s="1" t="s">
        <v>24</v>
      </c>
      <c r="H11" s="2">
        <v>46281</v>
      </c>
      <c r="I11" s="5">
        <v>29841</v>
      </c>
      <c r="J11" s="5">
        <v>977</v>
      </c>
      <c r="K11" s="4">
        <v>59682</v>
      </c>
      <c r="L11" s="2">
        <v>46290</v>
      </c>
      <c r="M11" s="1" t="s">
        <v>27</v>
      </c>
    </row>
    <row r="12" spans="1:16" x14ac:dyDescent="0.25">
      <c r="A12" s="9" t="s">
        <v>30</v>
      </c>
      <c r="B12" s="1" t="s">
        <v>12</v>
      </c>
      <c r="C12" s="1" t="s">
        <v>13</v>
      </c>
      <c r="D12" s="1" t="s">
        <v>14</v>
      </c>
      <c r="G12" s="1" t="s">
        <v>25</v>
      </c>
      <c r="H12" s="2">
        <v>46288</v>
      </c>
      <c r="I12" s="5">
        <v>25457</v>
      </c>
      <c r="J12" s="5">
        <v>814</v>
      </c>
      <c r="K12" s="4">
        <v>52158.05</v>
      </c>
      <c r="L12" s="2">
        <v>46293</v>
      </c>
      <c r="M12" s="1" t="s">
        <v>27</v>
      </c>
    </row>
    <row r="13" spans="1:16" x14ac:dyDescent="0.25">
      <c r="A13" s="9" t="s">
        <v>31</v>
      </c>
      <c r="B13" s="1" t="s">
        <v>32</v>
      </c>
      <c r="C13" s="1" t="s">
        <v>13</v>
      </c>
      <c r="D13" s="1" t="s">
        <v>33</v>
      </c>
      <c r="G13" s="1" t="s">
        <v>34</v>
      </c>
      <c r="H13" s="2">
        <v>46303</v>
      </c>
      <c r="I13" s="5">
        <v>5600</v>
      </c>
      <c r="J13" s="5">
        <v>237</v>
      </c>
      <c r="K13" s="4">
        <v>16912</v>
      </c>
      <c r="L13" s="2">
        <v>46307</v>
      </c>
      <c r="M13" s="1" t="s">
        <v>35</v>
      </c>
    </row>
  </sheetData>
  <pageMargins left="0.7" right="0.7" top="0.75" bottom="0.75" header="0.3" footer="0.3"/>
  <pageSetup paperSize="9" scale="4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2026-10-03T02:54:12Z</dcterms:created>
  <dcterms:modified xsi:type="dcterms:W3CDTF">2026-10-13T08:14:10Z</dcterms:modified>
</cp:coreProperties>
</file>