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B:\"/>
    </mc:Choice>
  </mc:AlternateContent>
  <xr:revisionPtr revIDLastSave="0" documentId="14_{F3A924AE-89F0-4A44-A782-AB94E805D4A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MPORT" sheetId="9" r:id="rId1"/>
    <sheet name="EXPORT" sheetId="10" r:id="rId2"/>
  </sheets>
  <definedNames>
    <definedName name="_xlnm.Print_Area" localSheetId="0">IMPORT!$A$1:$T$29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9" l="1"/>
  <c r="C24" i="9"/>
  <c r="G23" i="9"/>
  <c r="F23" i="9"/>
  <c r="E23" i="9"/>
  <c r="D23" i="9"/>
  <c r="D24" i="9"/>
  <c r="C23" i="9"/>
  <c r="G24" i="9"/>
  <c r="F24" i="9"/>
  <c r="E24" i="9"/>
  <c r="D27" i="9" l="1"/>
  <c r="D25" i="9" l="1"/>
  <c r="G25" i="9"/>
  <c r="E25" i="9"/>
  <c r="F25" i="9"/>
  <c r="C27" i="9"/>
  <c r="E27" i="9"/>
  <c r="G27" i="9"/>
  <c r="F27" i="9"/>
  <c r="E28" i="9"/>
  <c r="D28" i="9"/>
  <c r="G28" i="9"/>
  <c r="C28" i="9"/>
  <c r="F28" i="9"/>
  <c r="G26" i="9"/>
  <c r="E26" i="9"/>
  <c r="D26" i="9"/>
  <c r="C26" i="9"/>
  <c r="F26" i="9"/>
  <c r="H115" i="9"/>
  <c r="B28" i="9"/>
  <c r="B26" i="9"/>
  <c r="B27" i="9"/>
</calcChain>
</file>

<file path=xl/sharedStrings.xml><?xml version="1.0" encoding="utf-8"?>
<sst xmlns="http://schemas.openxmlformats.org/spreadsheetml/2006/main" count="382" uniqueCount="216">
  <si>
    <t>MONTH</t>
  </si>
  <si>
    <t>Consignee</t>
  </si>
  <si>
    <t>Port Clear</t>
  </si>
  <si>
    <t>MARK</t>
  </si>
  <si>
    <t>SEA</t>
  </si>
  <si>
    <t>SHV</t>
  </si>
  <si>
    <t>AIR</t>
  </si>
  <si>
    <t>KTI</t>
  </si>
  <si>
    <t>OLAIR</t>
  </si>
  <si>
    <t>Quantity</t>
  </si>
  <si>
    <t>Received Dox</t>
  </si>
  <si>
    <t>Voyage</t>
  </si>
  <si>
    <t>Vassel Name / Flight No.</t>
  </si>
  <si>
    <t>HAWB / BL</t>
  </si>
  <si>
    <t>Arrive
Factory</t>
  </si>
  <si>
    <t>Clearance
Date</t>
  </si>
  <si>
    <t>Container No.</t>
  </si>
  <si>
    <t>Forwarder</t>
  </si>
  <si>
    <t>Size</t>
  </si>
  <si>
    <t>ETA Port</t>
  </si>
  <si>
    <t>DO Release</t>
  </si>
  <si>
    <t>Ship Mode</t>
  </si>
  <si>
    <t>34 PKGS</t>
  </si>
  <si>
    <t>SITC CHANGDE</t>
  </si>
  <si>
    <t>PREMIUM</t>
  </si>
  <si>
    <t>7-2026</t>
  </si>
  <si>
    <t>MU9609</t>
  </si>
  <si>
    <t>TEC SRUN</t>
  </si>
  <si>
    <t>Month</t>
  </si>
  <si>
    <t xml:space="preserve">  </t>
  </si>
  <si>
    <t>8-2026</t>
  </si>
  <si>
    <t>CLIENT</t>
  </si>
  <si>
    <t>CTNR</t>
  </si>
  <si>
    <t>ETD</t>
  </si>
  <si>
    <t>SEAL</t>
  </si>
  <si>
    <t>PORT</t>
  </si>
  <si>
    <t>COURIER</t>
  </si>
  <si>
    <t>SO/AWB</t>
  </si>
  <si>
    <t>DECLARE NO:</t>
  </si>
  <si>
    <t>GS INV</t>
  </si>
  <si>
    <t>GS DN</t>
  </si>
  <si>
    <t>GS DIS</t>
  </si>
  <si>
    <t>JYX</t>
  </si>
  <si>
    <t>112-03986220</t>
  </si>
  <si>
    <t>DEXTRANS</t>
  </si>
  <si>
    <t>170 PKGS</t>
  </si>
  <si>
    <t>161 PKGS</t>
  </si>
  <si>
    <t>576 CTNS</t>
  </si>
  <si>
    <t>0BA26060585B</t>
  </si>
  <si>
    <t>SITU2794474</t>
  </si>
  <si>
    <t>20HC</t>
  </si>
  <si>
    <t>2614S</t>
  </si>
  <si>
    <t xml:space="preserve">SITC XINGDE </t>
  </si>
  <si>
    <t>GS26-268</t>
  </si>
  <si>
    <t>DIS300</t>
  </si>
  <si>
    <t>JYX2607003</t>
  </si>
  <si>
    <t>GS26-281</t>
  </si>
  <si>
    <t>DIS313</t>
  </si>
  <si>
    <t>JYX2607004</t>
  </si>
  <si>
    <t>JYX2607006</t>
  </si>
  <si>
    <t>GS26-288</t>
  </si>
  <si>
    <t>DIS320</t>
  </si>
  <si>
    <t>JYX2607007</t>
  </si>
  <si>
    <t>JYX2607010</t>
  </si>
  <si>
    <t>GS26-305</t>
  </si>
  <si>
    <t>DIS337</t>
  </si>
  <si>
    <t>JYX2607011</t>
  </si>
  <si>
    <t>JYX2607016</t>
  </si>
  <si>
    <t>0BA2606050B</t>
  </si>
  <si>
    <t>V.2641S</t>
  </si>
  <si>
    <t>IIIU6907837</t>
  </si>
  <si>
    <t>40HC</t>
  </si>
  <si>
    <t>26SG10031815</t>
  </si>
  <si>
    <t>MRSU3504927</t>
  </si>
  <si>
    <t>MAERSK</t>
  </si>
  <si>
    <t>MAERSK VERACRUZ</t>
  </si>
  <si>
    <t>6229N</t>
  </si>
  <si>
    <t>'7-2026</t>
  </si>
  <si>
    <t>PNH0246203</t>
  </si>
  <si>
    <t>PNH0246204</t>
  </si>
  <si>
    <t>E 28011</t>
  </si>
  <si>
    <t>GS26-260</t>
  </si>
  <si>
    <t>DIS292</t>
  </si>
  <si>
    <t>JYX2607001</t>
  </si>
  <si>
    <t>E 28017</t>
  </si>
  <si>
    <t>GS26-261</t>
  </si>
  <si>
    <t>DIS293</t>
  </si>
  <si>
    <t>JYX2607002</t>
  </si>
  <si>
    <t>PNH0246410</t>
  </si>
  <si>
    <t>E 28634</t>
  </si>
  <si>
    <t>GS26-273</t>
  </si>
  <si>
    <t>DIS305</t>
  </si>
  <si>
    <t>E 192693</t>
  </si>
  <si>
    <t>GS26-274</t>
  </si>
  <si>
    <t>DIS306</t>
  </si>
  <si>
    <t>JYX2607005</t>
  </si>
  <si>
    <t>CAAU9809295</t>
  </si>
  <si>
    <t>PNH0246783</t>
  </si>
  <si>
    <t>E 29708</t>
  </si>
  <si>
    <t>GS26-283</t>
  </si>
  <si>
    <t>DIS315</t>
  </si>
  <si>
    <t>MRSU3733292</t>
  </si>
  <si>
    <t>E 200982</t>
  </si>
  <si>
    <t>GS26-284</t>
  </si>
  <si>
    <t>DIS316</t>
  </si>
  <si>
    <t>JYX2607008</t>
  </si>
  <si>
    <t>PHN0246963</t>
  </si>
  <si>
    <t>E 30246</t>
  </si>
  <si>
    <t>GS26-285</t>
  </si>
  <si>
    <t>DIS317</t>
  </si>
  <si>
    <t>JYX2607009</t>
  </si>
  <si>
    <t>PNH0247200</t>
  </si>
  <si>
    <t>E 30999</t>
  </si>
  <si>
    <t>DIS323</t>
  </si>
  <si>
    <t>PHN0246906</t>
  </si>
  <si>
    <t>GS26-292</t>
  </si>
  <si>
    <t>GS26-295</t>
  </si>
  <si>
    <t>DIS327</t>
  </si>
  <si>
    <t>JYX2607012</t>
  </si>
  <si>
    <t>PNH0247653</t>
  </si>
  <si>
    <t>GS26-297</t>
  </si>
  <si>
    <t>DIS329</t>
  </si>
  <si>
    <t>JYX2607013</t>
  </si>
  <si>
    <t>PNH0247524</t>
  </si>
  <si>
    <t>E 31681</t>
  </si>
  <si>
    <t>E 31867</t>
  </si>
  <si>
    <t>E 31871</t>
  </si>
  <si>
    <t>GS26-298</t>
  </si>
  <si>
    <t>DIS330</t>
  </si>
  <si>
    <t>JYX2607014</t>
  </si>
  <si>
    <t>JYX2607015</t>
  </si>
  <si>
    <t>JYX2607017</t>
  </si>
  <si>
    <t>JYX2607018</t>
  </si>
  <si>
    <t>JYX2607019</t>
  </si>
  <si>
    <t>JYX2607020</t>
  </si>
  <si>
    <t>PNH0247696</t>
  </si>
  <si>
    <t>E 32759</t>
  </si>
  <si>
    <t>GS26-304</t>
  </si>
  <si>
    <t>DIS336</t>
  </si>
  <si>
    <t>GS26-308</t>
  </si>
  <si>
    <t>DIS340</t>
  </si>
  <si>
    <t>E 33201</t>
  </si>
  <si>
    <t>PNH0248043</t>
  </si>
  <si>
    <t>PNH0248001</t>
  </si>
  <si>
    <t>E 33594</t>
  </si>
  <si>
    <t>GS26-312</t>
  </si>
  <si>
    <t>DIS344</t>
  </si>
  <si>
    <t>MRSU6549308</t>
  </si>
  <si>
    <t>E 219417</t>
  </si>
  <si>
    <t>GS26-313</t>
  </si>
  <si>
    <t>DIS345</t>
  </si>
  <si>
    <t>272368339</t>
  </si>
  <si>
    <t>MRKU2155303</t>
  </si>
  <si>
    <t>E 227550</t>
  </si>
  <si>
    <t>GS26-319</t>
  </si>
  <si>
    <t>DIS351</t>
  </si>
  <si>
    <t>SPAIN</t>
  </si>
  <si>
    <t>PNH0248712</t>
  </si>
  <si>
    <t>PNH0249119</t>
  </si>
  <si>
    <t>PNH0249556</t>
  </si>
  <si>
    <t>PNH0249596</t>
  </si>
  <si>
    <t>PNH0249703</t>
  </si>
  <si>
    <t>GS26-327</t>
  </si>
  <si>
    <t>DIS366</t>
  </si>
  <si>
    <t>JYX2608001</t>
  </si>
  <si>
    <t>GS26-335</t>
  </si>
  <si>
    <t>DIS374</t>
  </si>
  <si>
    <t>JYX2608002</t>
  </si>
  <si>
    <t>JYX2608003</t>
  </si>
  <si>
    <t>JYX2608004</t>
  </si>
  <si>
    <t>JYX2608005</t>
  </si>
  <si>
    <t>GS26-339</t>
  </si>
  <si>
    <t>DIS378</t>
  </si>
  <si>
    <t>GS26-340</t>
  </si>
  <si>
    <t>DIS379</t>
  </si>
  <si>
    <t>DIS383</t>
  </si>
  <si>
    <t>GS26-344</t>
  </si>
  <si>
    <t>E 35466</t>
  </si>
  <si>
    <t>E 36706</t>
  </si>
  <si>
    <t>E 38185</t>
  </si>
  <si>
    <t>E 38165</t>
  </si>
  <si>
    <t>E 39116</t>
  </si>
  <si>
    <t>PNH0249610</t>
  </si>
  <si>
    <t>JYX2608006</t>
  </si>
  <si>
    <t>E 40020</t>
  </si>
  <si>
    <t>GS26-346</t>
  </si>
  <si>
    <t>DIS385</t>
  </si>
  <si>
    <t>PNH0250785</t>
  </si>
  <si>
    <t>JYX2608007</t>
  </si>
  <si>
    <t>14 PKGS</t>
  </si>
  <si>
    <t>112-09026533</t>
  </si>
  <si>
    <t>MU2579</t>
  </si>
  <si>
    <t>9-2026</t>
  </si>
  <si>
    <t>E 41922</t>
  </si>
  <si>
    <t>GS26-353</t>
  </si>
  <si>
    <t>DIS392</t>
  </si>
  <si>
    <t>JYX2608008</t>
  </si>
  <si>
    <t>GS26-356</t>
  </si>
  <si>
    <t>DIS395</t>
  </si>
  <si>
    <t>22 PKGS</t>
  </si>
  <si>
    <t>112-90063514</t>
  </si>
  <si>
    <t>DIS</t>
  </si>
  <si>
    <t>JYX09001</t>
  </si>
  <si>
    <t>PNH0253157</t>
  </si>
  <si>
    <t>10-2026</t>
  </si>
  <si>
    <t>E 50939</t>
  </si>
  <si>
    <t>GS26-392</t>
  </si>
  <si>
    <t>DIS435</t>
  </si>
  <si>
    <t>JYX2609002</t>
  </si>
  <si>
    <t>GS26-380</t>
  </si>
  <si>
    <t>DIS423</t>
  </si>
  <si>
    <t>E</t>
  </si>
  <si>
    <t>GS</t>
  </si>
  <si>
    <t>JYX2610001</t>
  </si>
  <si>
    <t>PNH0253239</t>
  </si>
  <si>
    <t>PNH0253557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</si>
</sst>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409]d\-mmm\-yyyy;@"/>
    <numFmt numFmtId="166" formatCode="mmm\-yyyy"/>
  </numFmts>
  <fonts count="12">
    <font>
      <sz val="11"/>
      <color theme="1"/>
      <name val="Calibri"/>
      <family val="2"/>
      <scheme val="minor"/>
    </font>
    <font>
      <sz val="12"/>
      <name val="宋体"/>
      <charset val="134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name val="Times New Roman"/>
      <family val="1"/>
    </font>
    <font>
      <sz val="11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165" fontId="0" fillId="0" borderId="0"/>
    <xf numFmtId="165" fontId="1" fillId="0" borderId="0"/>
    <xf numFmtId="164" fontId="2" fillId="0" borderId="0" applyFont="0" applyFill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43" fontId="2" fillId="0" borderId="0" applyFont="0" applyFill="0" applyBorder="0" applyAlignment="0" applyProtection="0"/>
  </cellStyleXfs>
  <cellXfs count="49">
    <xf numFmtId="165" fontId="0" fillId="0" borderId="0" xfId="0"/>
    <xf numFmtId="165" fontId="0" fillId="0" borderId="0" xfId="0" applyAlignment="1">
      <alignment horizontal="center" vertical="center"/>
    </xf>
    <xf numFmtId="166" fontId="0" fillId="0" borderId="4" xfId="0" quotePrefix="1" applyNumberFormat="1" applyBorder="1" applyAlignment="1">
      <alignment horizontal="left"/>
    </xf>
    <xf numFmtId="1" fontId="0" fillId="0" borderId="0" xfId="0" applyNumberFormat="1"/>
    <xf numFmtId="1" fontId="0" fillId="0" borderId="1" xfId="0" applyNumberFormat="1" applyBorder="1"/>
    <xf numFmtId="165" fontId="3" fillId="2" borderId="0" xfId="0" applyFont="1" applyFill="1" applyAlignment="1">
      <alignment horizontal="center" vertical="center"/>
    </xf>
    <xf numFmtId="165" fontId="0" fillId="0" borderId="1" xfId="0" quotePrefix="1" applyBorder="1" applyAlignment="1">
      <alignment horizontal="center" vertical="center"/>
    </xf>
    <xf numFmtId="165" fontId="0" fillId="0" borderId="1" xfId="0" applyBorder="1" applyAlignment="1">
      <alignment horizontal="center" vertical="center"/>
    </xf>
    <xf numFmtId="165" fontId="0" fillId="0" borderId="3" xfId="0" quotePrefix="1" applyBorder="1" applyAlignment="1">
      <alignment horizontal="center" vertical="center"/>
    </xf>
    <xf numFmtId="165" fontId="0" fillId="0" borderId="3" xfId="0" applyBorder="1" applyAlignment="1">
      <alignment horizontal="center" vertical="center"/>
    </xf>
    <xf numFmtId="165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65" fontId="3" fillId="2" borderId="1" xfId="0" applyFont="1" applyFill="1" applyBorder="1" applyAlignment="1">
      <alignment horizontal="center" vertical="center"/>
    </xf>
    <xf numFmtId="165" fontId="3" fillId="2" borderId="5" xfId="0" applyFont="1" applyFill="1" applyBorder="1" applyAlignment="1">
      <alignment horizontal="center"/>
    </xf>
    <xf numFmtId="165" fontId="3" fillId="2" borderId="1" xfId="0" applyFont="1" applyFill="1" applyBorder="1" applyAlignment="1">
      <alignment horizontal="center"/>
    </xf>
    <xf numFmtId="165" fontId="0" fillId="0" borderId="2" xfId="0" applyBorder="1" applyAlignment="1">
      <alignment horizontal="center" vertical="center"/>
    </xf>
    <xf numFmtId="165" fontId="0" fillId="0" borderId="0" xfId="0" quotePrefix="1" applyAlignment="1">
      <alignment horizontal="center" vertical="center"/>
    </xf>
    <xf numFmtId="166" fontId="0" fillId="0" borderId="0" xfId="0" quotePrefix="1" applyNumberFormat="1" applyAlignment="1">
      <alignment horizontal="left"/>
    </xf>
    <xf numFmtId="165" fontId="6" fillId="5" borderId="4" xfId="5" applyNumberFormat="1" applyBorder="1"/>
    <xf numFmtId="1" fontId="6" fillId="5" borderId="1" xfId="5" applyNumberFormat="1" applyBorder="1"/>
    <xf numFmtId="1" fontId="6" fillId="5" borderId="1" xfId="5" applyNumberFormat="1" applyBorder="1" applyAlignment="1">
      <alignment horizontal="center"/>
    </xf>
    <xf numFmtId="1" fontId="4" fillId="3" borderId="1" xfId="3" applyNumberFormat="1" applyBorder="1" applyAlignment="1">
      <alignment horizontal="center"/>
    </xf>
    <xf numFmtId="165" fontId="0" fillId="7" borderId="1" xfId="0" quotePrefix="1" applyFill="1" applyBorder="1"/>
    <xf numFmtId="165" fontId="0" fillId="7" borderId="1" xfId="0" applyFill="1" applyBorder="1"/>
    <xf numFmtId="165" fontId="0" fillId="7" borderId="1" xfId="0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165" fontId="8" fillId="0" borderId="1" xfId="0" applyFont="1" applyBorder="1" applyAlignment="1">
      <alignment horizontal="center"/>
    </xf>
    <xf numFmtId="49" fontId="8" fillId="0" borderId="1" xfId="0" quotePrefix="1" applyNumberFormat="1" applyFont="1" applyBorder="1" applyAlignment="1">
      <alignment horizontal="center"/>
    </xf>
    <xf numFmtId="165" fontId="8" fillId="0" borderId="0" xfId="0" applyFont="1"/>
    <xf numFmtId="165" fontId="8" fillId="0" borderId="1" xfId="0" applyFont="1" applyBorder="1"/>
    <xf numFmtId="165" fontId="0" fillId="6" borderId="1" xfId="0" quotePrefix="1" applyFill="1" applyBorder="1" applyAlignment="1">
      <alignment horizontal="center" vertical="center"/>
    </xf>
    <xf numFmtId="165" fontId="0" fillId="6" borderId="1" xfId="0" applyFill="1" applyBorder="1" applyAlignment="1">
      <alignment horizontal="center" vertical="center"/>
    </xf>
    <xf numFmtId="165" fontId="0" fillId="6" borderId="2" xfId="0" quotePrefix="1" applyFill="1" applyBorder="1" applyAlignment="1">
      <alignment horizontal="center" vertical="center"/>
    </xf>
    <xf numFmtId="165" fontId="0" fillId="6" borderId="2" xfId="0" applyFill="1" applyBorder="1" applyAlignment="1">
      <alignment horizontal="center" vertical="center"/>
    </xf>
    <xf numFmtId="165" fontId="9" fillId="6" borderId="3" xfId="4" quotePrefix="1" applyNumberFormat="1" applyFont="1" applyFill="1" applyBorder="1" applyAlignment="1">
      <alignment horizontal="center" vertical="center"/>
    </xf>
    <xf numFmtId="165" fontId="9" fillId="6" borderId="3" xfId="4" applyNumberFormat="1" applyFont="1" applyFill="1" applyBorder="1" applyAlignment="1">
      <alignment horizontal="center" vertical="center"/>
    </xf>
    <xf numFmtId="165" fontId="9" fillId="6" borderId="1" xfId="4" applyNumberFormat="1" applyFont="1" applyFill="1" applyBorder="1" applyAlignment="1">
      <alignment horizontal="center" vertical="center"/>
    </xf>
    <xf numFmtId="165" fontId="10" fillId="7" borderId="1" xfId="0" applyFont="1" applyFill="1" applyBorder="1"/>
    <xf numFmtId="49" fontId="8" fillId="7" borderId="1" xfId="0" quotePrefix="1" applyNumberFormat="1" applyFont="1" applyFill="1" applyBorder="1" applyAlignment="1">
      <alignment horizontal="center"/>
    </xf>
    <xf numFmtId="165" fontId="8" fillId="7" borderId="1" xfId="0" applyFont="1" applyFill="1" applyBorder="1" applyAlignment="1">
      <alignment horizontal="center"/>
    </xf>
    <xf numFmtId="165" fontId="11" fillId="7" borderId="1" xfId="0" quotePrefix="1" applyFont="1" applyFill="1" applyBorder="1" applyAlignment="1">
      <alignment horizontal="center" vertical="center"/>
    </xf>
    <xf numFmtId="165" fontId="11" fillId="7" borderId="2" xfId="0" quotePrefix="1" applyFont="1" applyFill="1" applyBorder="1" applyAlignment="1">
      <alignment horizontal="center" vertical="center"/>
    </xf>
    <xf numFmtId="165" fontId="11" fillId="7" borderId="2" xfId="0" applyFont="1" applyFill="1" applyBorder="1" applyAlignment="1">
      <alignment horizontal="center" vertical="center"/>
    </xf>
    <xf numFmtId="165" fontId="8" fillId="0" borderId="1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/>
    </xf>
    <xf numFmtId="165" fontId="8" fillId="0" borderId="0" xfId="0" applyFont="1" applyAlignment="1">
      <alignment horizontal="center" vertical="center"/>
    </xf>
    <xf numFmtId="165" fontId="0" fillId="6" borderId="0" xfId="0" applyFill="1"/>
    <xf numFmtId="165" fontId="8" fillId="0" borderId="0" xfId="0" applyFont="1" applyAlignment="1">
      <alignment horizontal="center"/>
    </xf>
  </cellXfs>
  <cellStyles count="7">
    <cellStyle name="Accent1" xfId="5" builtinId="29"/>
    <cellStyle name="Bad" xfId="3" builtinId="27"/>
    <cellStyle name="Comma 2" xfId="2" xr:uid="{00000000-0005-0000-0000-000000000000}"/>
    <cellStyle name="Comma 2 2" xfId="6" xr:uid="{78780392-59F7-4FD4-A15E-02A3F2F524D9}"/>
    <cellStyle name="Neutral" xfId="4" builtinId="28"/>
    <cellStyle name="Normal" xfId="0" builtinId="0"/>
    <cellStyle name="Normal 8" xfId="1" xr:uid="{00000000-0005-0000-0000-000002000000}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8080"/>
      <color rgb="FF006666"/>
      <color rgb="FF522D57"/>
      <color rgb="FFE840EC"/>
      <color rgb="FF6FE2F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T115" totalsRowCount="1" headerRowDxfId="49" dataDxfId="48" headerRowCellStyle="Normal" dataCellStyle="Normal">
  <autoFilter ref="A1:T114" xr:uid="{00000000-0009-0000-0100-000004000000}"/>
  <tableColumns count="20">
    <tableColumn id="1" xr3:uid="{00000000-0010-0000-0000-000001000000}" name="MONTH" dataDxfId="47" totalsRowDxfId="46" dataCellStyle="Normal"/>
    <tableColumn id="2" xr3:uid="{00000000-0010-0000-0000-000002000000}" name="Consignee" dataDxfId="45" totalsRowDxfId="44" dataCellStyle="Normal"/>
    <tableColumn id="3" xr3:uid="{00000000-0010-0000-0000-000003000000}" name="Quantity" dataDxfId="43" totalsRowDxfId="42" dataCellStyle="Normal"/>
    <tableColumn id="5" xr3:uid="{00000000-0010-0000-0000-000005000000}" name="HAWB / BL" dataDxfId="41" totalsRowDxfId="40" dataCellStyle="Normal"/>
    <tableColumn id="6" xr3:uid="{00000000-0010-0000-0000-000006000000}" name="Ship Mode" dataDxfId="39" totalsRowDxfId="38" dataCellStyle="Normal"/>
    <tableColumn id="7" xr3:uid="{00000000-0010-0000-0000-000007000000}" name="Vassel Name / Flight No." dataDxfId="37" totalsRowDxfId="36" dataCellStyle="Normal"/>
    <tableColumn id="8" xr3:uid="{00000000-0010-0000-0000-000008000000}" name="Voyage" dataDxfId="35" totalsRowDxfId="34" dataCellStyle="Normal"/>
    <tableColumn id="9" xr3:uid="{00000000-0010-0000-0000-000009000000}" name="Port Clear" totalsRowFunction="custom" dataDxfId="33" totalsRowDxfId="32" dataCellStyle="Normal">
      <totalsRowFormula>H115</totalsRowFormula>
    </tableColumn>
    <tableColumn id="10" xr3:uid="{00000000-0010-0000-0000-00000A000000}" name="Forwarder" dataDxfId="31" totalsRowDxfId="30" dataCellStyle="Normal"/>
    <tableColumn id="11" xr3:uid="{00000000-0010-0000-0000-00000B000000}" name="Received Dox" dataDxfId="29" totalsRowDxfId="28" dataCellStyle="Normal"/>
    <tableColumn id="12" xr3:uid="{00000000-0010-0000-0000-00000C000000}" name="ETA Port" dataDxfId="27" totalsRowDxfId="26" dataCellStyle="Normal"/>
    <tableColumn id="13" xr3:uid="{00000000-0010-0000-0000-00000D000000}" name="DO Release" dataDxfId="25" totalsRowDxfId="24" dataCellStyle="Normal"/>
    <tableColumn id="14" xr3:uid="{00000000-0010-0000-0000-00000E000000}" name="Clearance_x000a_Date" dataDxfId="23" totalsRowDxfId="22" dataCellStyle="Normal"/>
    <tableColumn id="15" xr3:uid="{00000000-0010-0000-0000-00000F000000}" name="Arrive_x000a_Factory" dataDxfId="21" totalsRowDxfId="20" dataCellStyle="Normal"/>
    <tableColumn id="16" xr3:uid="{00000000-0010-0000-0000-000010000000}" name="Container No." dataDxfId="19" totalsRowDxfId="18" dataCellStyle="Normal"/>
    <tableColumn id="17" xr3:uid="{00000000-0010-0000-0000-000011000000}" name="Size" dataDxfId="17" totalsRowDxfId="16" dataCellStyle="Normal"/>
    <tableColumn id="18" xr3:uid="{00000000-0010-0000-0000-000012000000}" name="MARK" dataDxfId="15" totalsRowDxfId="14" dataCellStyle="Normal"/>
    <tableColumn id="4" xr3:uid="{AF101F82-D618-4D63-87FC-A766664DEC7E}" name="GS INV" dataDxfId="13" totalsRowDxfId="12" dataCellStyle="Normal"/>
    <tableColumn id="19" xr3:uid="{1CF4F80E-B252-479A-927F-920FAE30ADA0}" name="GS DIS" dataDxfId="11" totalsRowDxfId="10" dataCellStyle="Normal"/>
    <tableColumn id="20" xr3:uid="{69104D6C-445C-48C4-81E5-9871C23CC777}" name="GS DN" dataDxfId="9" totalsRowDxfId="8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1"/>
  <sheetViews>
    <sheetView view="pageBreakPreview" zoomScale="85" zoomScaleNormal="40" zoomScaleSheetLayoutView="83" zoomScalePageLayoutView="55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S15" sqref="S15"/>
    </sheetView>
  </sheetViews>
  <sheetFormatPr defaultRowHeight="15"/>
  <cols>
    <col min="1" max="1" width="16.5703125" customWidth="1"/>
    <col min="2" max="2" width="20.5703125" customWidth="1"/>
    <col min="3" max="3" width="18.28515625" customWidth="1"/>
    <col min="4" max="4" width="29.85546875" style="10" customWidth="1"/>
    <col min="5" max="5" width="22.85546875" customWidth="1"/>
    <col min="6" max="6" width="20" customWidth="1"/>
    <col min="7" max="7" width="16.7109375" customWidth="1"/>
    <col min="8" max="8" width="15.42578125" customWidth="1"/>
    <col min="9" max="9" width="21.140625" customWidth="1"/>
    <col min="10" max="10" width="20.5703125" customWidth="1"/>
    <col min="11" max="11" width="24.5703125" customWidth="1"/>
    <col min="12" max="12" width="20" customWidth="1"/>
    <col min="13" max="13" width="21.7109375" customWidth="1"/>
    <col min="14" max="14" width="16.42578125" customWidth="1"/>
    <col min="15" max="15" width="19.42578125" customWidth="1"/>
    <col min="16" max="16" width="27.42578125" customWidth="1"/>
    <col min="17" max="17" width="10.85546875" customWidth="1"/>
    <col min="18" max="19" width="17.28515625" customWidth="1"/>
    <col min="20" max="20" width="13.42578125" customWidth="1"/>
  </cols>
  <sheetData>
    <row r="1" spans="1:20" s="1" customFormat="1" ht="36.75" customHeight="1">
      <c r="A1" s="5" t="s">
        <v>0</v>
      </c>
      <c r="B1" s="5" t="s">
        <v>1</v>
      </c>
      <c r="C1" s="5" t="s">
        <v>9</v>
      </c>
      <c r="D1" s="5" t="s">
        <v>13</v>
      </c>
      <c r="E1" s="5" t="s">
        <v>21</v>
      </c>
      <c r="F1" s="5" t="s">
        <v>12</v>
      </c>
      <c r="G1" s="5" t="s">
        <v>11</v>
      </c>
      <c r="H1" s="5" t="s">
        <v>2</v>
      </c>
      <c r="I1" s="5" t="s">
        <v>17</v>
      </c>
      <c r="J1" s="5" t="s">
        <v>10</v>
      </c>
      <c r="K1" s="5" t="s">
        <v>19</v>
      </c>
      <c r="L1" s="5" t="s">
        <v>20</v>
      </c>
      <c r="M1" s="5" t="s">
        <v>15</v>
      </c>
      <c r="N1" s="5" t="s">
        <v>14</v>
      </c>
      <c r="O1" s="5" t="s">
        <v>16</v>
      </c>
      <c r="P1" s="5" t="s">
        <v>18</v>
      </c>
      <c r="Q1" s="5" t="s">
        <v>3</v>
      </c>
      <c r="R1" s="5" t="s">
        <v>39</v>
      </c>
      <c r="S1" s="5" t="s">
        <v>41</v>
      </c>
      <c r="T1" s="5" t="s">
        <v>40</v>
      </c>
    </row>
    <row r="2" spans="1:20" ht="15" customHeight="1">
      <c r="A2" s="35" t="s">
        <v>25</v>
      </c>
      <c r="B2" s="36" t="s">
        <v>42</v>
      </c>
      <c r="C2" s="36" t="s">
        <v>22</v>
      </c>
      <c r="D2" s="36" t="s">
        <v>43</v>
      </c>
      <c r="E2" s="36" t="s">
        <v>6</v>
      </c>
      <c r="F2" s="36" t="s">
        <v>26</v>
      </c>
      <c r="G2" s="36"/>
      <c r="H2" s="36" t="s">
        <v>7</v>
      </c>
      <c r="I2" s="36" t="s">
        <v>44</v>
      </c>
      <c r="J2" s="37">
        <v>46202</v>
      </c>
      <c r="K2" s="37">
        <v>46204</v>
      </c>
      <c r="L2" s="36">
        <v>46206</v>
      </c>
      <c r="M2" s="36">
        <v>46206</v>
      </c>
      <c r="N2" s="36">
        <v>46207</v>
      </c>
      <c r="O2" s="36"/>
      <c r="P2" s="36"/>
      <c r="Q2" s="36"/>
      <c r="R2" s="37" t="s">
        <v>53</v>
      </c>
      <c r="S2" s="37" t="s">
        <v>54</v>
      </c>
      <c r="T2" s="37" t="s">
        <v>55</v>
      </c>
    </row>
    <row r="3" spans="1:20">
      <c r="A3" s="8" t="s">
        <v>25</v>
      </c>
      <c r="B3" s="9" t="s">
        <v>42</v>
      </c>
      <c r="C3" s="9" t="s">
        <v>45</v>
      </c>
      <c r="D3" s="6" t="s">
        <v>48</v>
      </c>
      <c r="E3" s="6" t="s">
        <v>4</v>
      </c>
      <c r="F3" s="9" t="s">
        <v>52</v>
      </c>
      <c r="G3" s="6" t="s">
        <v>51</v>
      </c>
      <c r="H3" s="6" t="s">
        <v>5</v>
      </c>
      <c r="I3" s="9" t="s">
        <v>44</v>
      </c>
      <c r="J3" s="7">
        <v>46198</v>
      </c>
      <c r="K3" s="9">
        <v>46210</v>
      </c>
      <c r="L3" s="9">
        <v>46210</v>
      </c>
      <c r="M3" s="9">
        <v>46210</v>
      </c>
      <c r="N3" s="9">
        <v>46212</v>
      </c>
      <c r="O3" s="6" t="s">
        <v>49</v>
      </c>
      <c r="P3" s="6" t="s">
        <v>50</v>
      </c>
      <c r="Q3" s="6"/>
      <c r="R3" s="6" t="s">
        <v>56</v>
      </c>
      <c r="S3" s="6" t="s">
        <v>57</v>
      </c>
      <c r="T3" s="7" t="s">
        <v>59</v>
      </c>
    </row>
    <row r="4" spans="1:20">
      <c r="A4" s="8" t="s">
        <v>25</v>
      </c>
      <c r="B4" s="9" t="s">
        <v>42</v>
      </c>
      <c r="C4" s="9" t="s">
        <v>46</v>
      </c>
      <c r="D4" s="6" t="s">
        <v>68</v>
      </c>
      <c r="E4" s="6" t="s">
        <v>4</v>
      </c>
      <c r="F4" s="9" t="s">
        <v>23</v>
      </c>
      <c r="G4" s="6" t="s">
        <v>69</v>
      </c>
      <c r="H4" s="6" t="s">
        <v>5</v>
      </c>
      <c r="I4" s="9" t="s">
        <v>44</v>
      </c>
      <c r="J4" s="7">
        <v>46211</v>
      </c>
      <c r="K4" s="9">
        <v>46217</v>
      </c>
      <c r="L4" s="9">
        <v>46217</v>
      </c>
      <c r="M4" s="9">
        <v>46217</v>
      </c>
      <c r="N4" s="9">
        <v>46218</v>
      </c>
      <c r="O4" s="6" t="s">
        <v>70</v>
      </c>
      <c r="P4" s="6" t="s">
        <v>71</v>
      </c>
      <c r="Q4" s="6"/>
      <c r="R4" s="6" t="s">
        <v>60</v>
      </c>
      <c r="S4" s="6" t="s">
        <v>61</v>
      </c>
      <c r="T4" s="7" t="s">
        <v>63</v>
      </c>
    </row>
    <row r="5" spans="1:20">
      <c r="A5" s="6" t="s">
        <v>25</v>
      </c>
      <c r="B5" s="7" t="s">
        <v>42</v>
      </c>
      <c r="C5" s="7" t="s">
        <v>47</v>
      </c>
      <c r="D5" s="6" t="s">
        <v>72</v>
      </c>
      <c r="E5" s="6" t="s">
        <v>4</v>
      </c>
      <c r="F5" s="6" t="s">
        <v>75</v>
      </c>
      <c r="G5" s="6" t="s">
        <v>76</v>
      </c>
      <c r="H5" s="6" t="s">
        <v>5</v>
      </c>
      <c r="I5" s="6" t="s">
        <v>74</v>
      </c>
      <c r="J5" s="7">
        <v>46214</v>
      </c>
      <c r="K5" s="7">
        <v>46224</v>
      </c>
      <c r="L5" s="7">
        <v>46224</v>
      </c>
      <c r="M5" s="7">
        <v>46224</v>
      </c>
      <c r="N5" s="7">
        <v>46226</v>
      </c>
      <c r="O5" s="6" t="s">
        <v>73</v>
      </c>
      <c r="P5" s="6" t="s">
        <v>71</v>
      </c>
      <c r="Q5" s="6"/>
      <c r="R5" s="6" t="s">
        <v>64</v>
      </c>
      <c r="S5" s="6" t="s">
        <v>65</v>
      </c>
      <c r="T5" s="7" t="s">
        <v>67</v>
      </c>
    </row>
    <row r="6" spans="1:20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4"/>
    </row>
    <row r="7" spans="1:20">
      <c r="A7" s="31" t="s">
        <v>30</v>
      </c>
      <c r="B7" s="32" t="s">
        <v>42</v>
      </c>
      <c r="C7" s="33" t="s">
        <v>189</v>
      </c>
      <c r="D7" s="33" t="s">
        <v>190</v>
      </c>
      <c r="E7" s="33" t="s">
        <v>6</v>
      </c>
      <c r="F7" s="33" t="s">
        <v>191</v>
      </c>
      <c r="G7" s="33"/>
      <c r="H7" s="33" t="s">
        <v>7</v>
      </c>
      <c r="I7" s="33"/>
      <c r="J7" s="33">
        <v>46260</v>
      </c>
      <c r="K7" s="33">
        <v>46261</v>
      </c>
      <c r="L7" s="33">
        <v>46262</v>
      </c>
      <c r="M7" s="33">
        <v>46262</v>
      </c>
      <c r="N7" s="33">
        <v>46262</v>
      </c>
      <c r="O7" s="33"/>
      <c r="P7" s="33" t="s">
        <v>50</v>
      </c>
      <c r="Q7" s="33"/>
      <c r="R7" s="33" t="s">
        <v>197</v>
      </c>
      <c r="S7" s="33" t="s">
        <v>198</v>
      </c>
      <c r="T7" s="34" t="s">
        <v>196</v>
      </c>
    </row>
    <row r="8" spans="1:20">
      <c r="A8" s="41"/>
      <c r="B8" s="41"/>
      <c r="C8" s="41"/>
      <c r="D8" s="41"/>
      <c r="E8" s="41"/>
      <c r="F8" s="41"/>
      <c r="G8" s="41"/>
      <c r="H8" s="42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3"/>
    </row>
    <row r="9" spans="1:20" s="47" customFormat="1">
      <c r="A9" s="31" t="s">
        <v>192</v>
      </c>
      <c r="B9" s="31" t="s">
        <v>42</v>
      </c>
      <c r="C9" s="31" t="s">
        <v>199</v>
      </c>
      <c r="D9" s="31" t="s">
        <v>200</v>
      </c>
      <c r="E9" s="31" t="s">
        <v>6</v>
      </c>
      <c r="F9" s="31" t="s">
        <v>26</v>
      </c>
      <c r="G9" s="31"/>
      <c r="H9" s="31" t="s">
        <v>7</v>
      </c>
      <c r="I9" s="31"/>
      <c r="J9" s="31">
        <v>46283</v>
      </c>
      <c r="K9" s="31">
        <v>46284</v>
      </c>
      <c r="L9" s="31">
        <v>46286</v>
      </c>
      <c r="M9" s="31">
        <v>46286</v>
      </c>
      <c r="N9" s="31">
        <v>46286</v>
      </c>
      <c r="O9" s="31"/>
      <c r="P9" s="31" t="s">
        <v>50</v>
      </c>
      <c r="Q9" s="31"/>
      <c r="R9" s="31" t="s">
        <v>209</v>
      </c>
      <c r="S9" s="31" t="s">
        <v>210</v>
      </c>
      <c r="T9" s="34" t="s">
        <v>202</v>
      </c>
    </row>
    <row r="10" spans="1:20">
      <c r="A10" s="41"/>
      <c r="B10" s="41"/>
      <c r="C10" s="41"/>
      <c r="D10" s="41"/>
      <c r="E10" s="41"/>
      <c r="F10" s="41"/>
      <c r="G10" s="41"/>
      <c r="H10" s="42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3"/>
    </row>
    <row r="11" spans="1:20">
      <c r="A11" s="6" t="s">
        <v>204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16"/>
    </row>
    <row r="12" spans="1:20">
      <c r="A12" s="6" t="s">
        <v>204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16"/>
    </row>
    <row r="13" spans="1:20">
      <c r="A13" s="6" t="s">
        <v>204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16"/>
    </row>
    <row r="14" spans="1:20">
      <c r="A14" s="6"/>
      <c r="B14" s="6"/>
      <c r="C14" s="6"/>
      <c r="D14" s="6"/>
      <c r="E14" s="6"/>
      <c r="F14" s="7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16"/>
    </row>
    <row r="15" spans="1:20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16"/>
    </row>
    <row r="16" spans="1:20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16"/>
    </row>
    <row r="17" spans="1:20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16"/>
    </row>
    <row r="18" spans="1:20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16"/>
    </row>
    <row r="19" spans="1:20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16"/>
    </row>
    <row r="20" spans="1: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>
      <c r="A22" s="19" t="s">
        <v>28</v>
      </c>
      <c r="B22" s="21" t="s">
        <v>42</v>
      </c>
      <c r="C22" s="21" t="s">
        <v>7</v>
      </c>
      <c r="D22" s="21" t="s">
        <v>5</v>
      </c>
      <c r="E22" s="21" t="s">
        <v>8</v>
      </c>
      <c r="F22" s="20" t="s">
        <v>27</v>
      </c>
      <c r="G22" s="20" t="s">
        <v>24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"/>
    </row>
    <row r="23" spans="1:20">
      <c r="A23" s="2">
        <v>46204</v>
      </c>
      <c r="B23" s="4">
        <v>4</v>
      </c>
      <c r="C23" s="4">
        <f>COUNTIFS(Table4[MONTH],"7-2026",Table4[Port Clear],"KTI")</f>
        <v>1</v>
      </c>
      <c r="D23" s="22">
        <f>COUNTIFS(Table4[MONTH],"7-2026",Table4[Port Clear],"SHV")</f>
        <v>3</v>
      </c>
      <c r="E23" s="4">
        <f>COUNTIFS(Table4[MONTH],"8-2026",Table4[Port Clear],"OLAIR")</f>
        <v>0</v>
      </c>
      <c r="F23" s="4">
        <f>COUNTIFS(Table4[MONTH],"8-2026",Table4[Port Clear],"TEC SRUN")</f>
        <v>0</v>
      </c>
      <c r="G23" s="4">
        <f>COUNTIFS(Table4[MONTH],"8-2026",Table4[Port Clear],"PREMIUM")</f>
        <v>0</v>
      </c>
      <c r="H23" s="1"/>
      <c r="I23" s="1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"/>
    </row>
    <row r="24" spans="1:20">
      <c r="A24" s="2">
        <v>46235</v>
      </c>
      <c r="B24" s="4">
        <v>1</v>
      </c>
      <c r="C24" s="4">
        <f>COUNTIFS(Table4[MONTH],"7-2026",Table4[Port Clear],"KTI")</f>
        <v>1</v>
      </c>
      <c r="D24" s="22">
        <f>COUNTIFS(Table4[MONTH],"8-2026",Table4[Port Clear],"SHV")</f>
        <v>0</v>
      </c>
      <c r="E24" s="4">
        <f>COUNTIFS(Table4[MONTH],"8-2026",Table4[Port Clear],"OLAIR")</f>
        <v>0</v>
      </c>
      <c r="F24" s="4">
        <f>COUNTIFS(Table4[MONTH],"8-2026",Table4[Port Clear],"TEC SRUN")</f>
        <v>0</v>
      </c>
      <c r="G24" s="4">
        <f>COUNTIFS(Table4[MONTH],"8-2026",Table4[Port Clear],"PREMIUM")</f>
        <v>0</v>
      </c>
      <c r="H24" s="1"/>
      <c r="I24" s="1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"/>
    </row>
    <row r="25" spans="1:20">
      <c r="A25" s="2">
        <v>46266</v>
      </c>
      <c r="B25" s="4">
        <v>1</v>
      </c>
      <c r="C25" s="4">
        <f>COUNTIFS(Table4[MONTH],"7-2026",Table4[Port Clear],"KTI")</f>
        <v>1</v>
      </c>
      <c r="D25" s="12">
        <f>COUNTIFS(Table4[MONTH],"9-2026",Table4[Port Clear],"SHV")</f>
        <v>0</v>
      </c>
      <c r="E25" s="4">
        <f>COUNTIFS(Table4[MONTH],"9-2026",Table4[Port Clear],"OLAIR")</f>
        <v>0</v>
      </c>
      <c r="F25" s="4">
        <f>COUNTIFS(Table4[MONTH],"9-2026",Table4[Port Clear],"TEC SRUN")</f>
        <v>0</v>
      </c>
      <c r="G25" s="4">
        <f>COUNTIFS(Table4[MONTH],"9-2026",Table4[Port Clear],"PREMIUM")</f>
        <v>0</v>
      </c>
      <c r="H25" s="1"/>
      <c r="I25" s="1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"/>
    </row>
    <row r="26" spans="1:20">
      <c r="A26" s="2">
        <v>46296</v>
      </c>
      <c r="B26" s="4">
        <f ca="1">COUNTIFS(Table4[MONTH],"10-2026",Table4[Consignee],"VFL")</f>
        <v>0</v>
      </c>
      <c r="C26" s="4">
        <f>COUNTIFS(Table4[MONTH],"10-2026",Table4[Port Clear],"KTI")</f>
        <v>0</v>
      </c>
      <c r="D26" s="12">
        <f>COUNTIFS(Table4[MONTH],"10-2026",Table4[Port Clear],"SHV")</f>
        <v>0</v>
      </c>
      <c r="E26" s="4">
        <f>COUNTIFS(Table4[MONTH],"10-2026",Table4[Port Clear],"OLAIR")</f>
        <v>0</v>
      </c>
      <c r="F26" s="4">
        <f>COUNTIFS(Table4[MONTH],"10-2026",Table4[Port Clear],"TEC SRUN")</f>
        <v>0</v>
      </c>
      <c r="G26" s="4">
        <f>COUNTIFS(Table4[MONTH],"10-2026",Table4[Port Clear],"PREMIUM")</f>
        <v>0</v>
      </c>
      <c r="H26" s="1"/>
      <c r="I26" s="1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"/>
    </row>
    <row r="27" spans="1:20">
      <c r="A27" s="2">
        <v>46327</v>
      </c>
      <c r="B27" s="4">
        <f ca="1">COUNTIFS(Table4[MONTH],"11-2026",Table4[Consignee],"VFL")</f>
        <v>0</v>
      </c>
      <c r="C27" s="4">
        <f>COUNTIFS(Table4[MONTH],"11-2026",Table4[Port Clear],"KTI")</f>
        <v>0</v>
      </c>
      <c r="D27" s="12">
        <f>COUNTIFS(Table4[MONTH],"12-2026",Table4[Port Clear],"SHV")</f>
        <v>0</v>
      </c>
      <c r="E27" s="4">
        <f>COUNTIFS(Table4[MONTH],"11-2026",Table4[Port Clear],"OLAIR")</f>
        <v>0</v>
      </c>
      <c r="F27" s="4">
        <f>COUNTIFS(Table4[MONTH],"11-2026",Table4[Port Clear],"TEC SRUN")</f>
        <v>0</v>
      </c>
      <c r="G27" s="4">
        <f>COUNTIFS(Table4[MONTH],"11-2026",Table4[Port Clear],"PREMIUM")</f>
        <v>0</v>
      </c>
      <c r="H27" s="1"/>
      <c r="I27" s="1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"/>
    </row>
    <row r="28" spans="1:20">
      <c r="A28" s="2">
        <v>46357</v>
      </c>
      <c r="B28" s="4">
        <f ca="1">COUNTIFS(Table4[MONTH],"12-2026",Table4[Consignee],"VFL")</f>
        <v>0</v>
      </c>
      <c r="C28" s="4">
        <f>COUNTIFS(Table4[MONTH],"12-2026",Table4[Port Clear],"KTI")</f>
        <v>0</v>
      </c>
      <c r="D28" s="12">
        <f>COUNTIFS(Table4[MONTH],"12-2026",Table4[Port Clear],"SHV")</f>
        <v>0</v>
      </c>
      <c r="E28" s="4">
        <f>COUNTIFS(Table4[MONTH],"12-2026",Table4[Port Clear],"OLAIR")</f>
        <v>0</v>
      </c>
      <c r="F28" s="4">
        <f>COUNTIFS(Table4[MONTH],"12-2026",Table4[Port Clear],"TEC SRUN")</f>
        <v>0</v>
      </c>
      <c r="G28" s="4">
        <f>COUNTIFS(Table4[MONTH],"12-2026",Table4[Port Clear],"PREMIUM")</f>
        <v>0</v>
      </c>
      <c r="H28" s="1"/>
      <c r="I28" s="1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"/>
    </row>
    <row r="29" spans="1:20">
      <c r="A29" s="18"/>
      <c r="B29" s="18"/>
      <c r="C29" s="18"/>
      <c r="D29" s="18"/>
      <c r="E29" s="18"/>
      <c r="F29" s="18"/>
      <c r="G29" s="18"/>
      <c r="H29" s="18"/>
      <c r="I29" s="18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"/>
    </row>
    <row r="30" spans="1:2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"/>
    </row>
    <row r="31" spans="1:20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"/>
    </row>
    <row r="32" spans="1:20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"/>
    </row>
    <row r="33" spans="1:20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"/>
    </row>
    <row r="34" spans="1:20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"/>
    </row>
    <row r="35" spans="1:20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"/>
    </row>
    <row r="36" spans="1:20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"/>
    </row>
    <row r="37" spans="1:20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"/>
    </row>
    <row r="38" spans="1:20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"/>
    </row>
    <row r="39" spans="1:20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"/>
    </row>
    <row r="40" spans="1:2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"/>
    </row>
    <row r="41" spans="1:20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"/>
    </row>
    <row r="42" spans="1:20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"/>
    </row>
    <row r="43" spans="1:20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"/>
    </row>
    <row r="44" spans="1:20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"/>
    </row>
    <row r="45" spans="1:20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"/>
    </row>
    <row r="46" spans="1:20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"/>
    </row>
    <row r="47" spans="1:20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"/>
    </row>
    <row r="48" spans="1:20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"/>
    </row>
    <row r="49" spans="1:20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"/>
    </row>
    <row r="50" spans="1:2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"/>
    </row>
    <row r="51" spans="1:20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"/>
    </row>
    <row r="52" spans="1:20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"/>
    </row>
    <row r="53" spans="1:20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"/>
    </row>
    <row r="54" spans="1:20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"/>
    </row>
    <row r="55" spans="1:20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"/>
    </row>
    <row r="56" spans="1:20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"/>
    </row>
    <row r="57" spans="1:20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"/>
    </row>
    <row r="58" spans="1:20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"/>
    </row>
    <row r="59" spans="1:20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"/>
    </row>
    <row r="60" spans="1:2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"/>
    </row>
    <row r="61" spans="1:20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"/>
    </row>
    <row r="62" spans="1:20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"/>
    </row>
    <row r="63" spans="1:20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"/>
    </row>
    <row r="64" spans="1:20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"/>
    </row>
    <row r="65" spans="1:20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"/>
    </row>
    <row r="66" spans="1:20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"/>
    </row>
    <row r="67" spans="1:20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"/>
    </row>
    <row r="68" spans="1:20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"/>
    </row>
    <row r="69" spans="1:20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8"/>
      <c r="B82" s="18"/>
      <c r="C82" s="18"/>
      <c r="D82" s="18"/>
      <c r="E82" s="18"/>
      <c r="F82" s="18"/>
      <c r="G82" s="18"/>
      <c r="H82" s="18"/>
      <c r="I82" s="1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 spans="1:20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 spans="1:20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spans="1:2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 spans="1:20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 spans="1:20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 spans="1:20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 spans="1:20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 spans="1:20">
      <c r="A115" s="9"/>
      <c r="B115" s="9"/>
      <c r="C115" s="9"/>
      <c r="D115" s="9"/>
      <c r="E115" s="9"/>
      <c r="F115" s="9"/>
      <c r="G115" s="9"/>
      <c r="H115" s="9">
        <f ca="1">H115</f>
        <v>0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spans="1:20">
      <c r="B116" s="3"/>
      <c r="C116" s="3"/>
      <c r="D116" s="11"/>
      <c r="E116" s="3"/>
      <c r="F116" s="3"/>
      <c r="G116" s="3"/>
      <c r="H116" s="3"/>
      <c r="I116" s="3"/>
      <c r="J116" s="3"/>
      <c r="K116" s="3"/>
    </row>
    <row r="117" spans="1:20">
      <c r="B117" s="3"/>
      <c r="C117" s="3"/>
      <c r="D117" s="11"/>
      <c r="E117" s="3"/>
      <c r="F117" s="3"/>
      <c r="G117" s="3"/>
      <c r="H117" s="3"/>
      <c r="I117" s="3"/>
      <c r="J117" s="3"/>
      <c r="K117" s="3"/>
    </row>
    <row r="118" spans="1:20">
      <c r="B118" s="3"/>
      <c r="C118" s="3"/>
      <c r="D118" s="11"/>
      <c r="E118" s="3"/>
      <c r="F118" s="3"/>
      <c r="G118" s="3"/>
      <c r="H118" s="3"/>
      <c r="I118" s="3"/>
      <c r="J118" s="3"/>
      <c r="K118" s="3"/>
    </row>
    <row r="119" spans="1:20">
      <c r="B119" s="3"/>
      <c r="C119" s="3"/>
      <c r="D119" s="11"/>
      <c r="E119" s="3"/>
      <c r="F119" s="3"/>
      <c r="G119" s="3"/>
      <c r="H119" s="3"/>
      <c r="I119" s="3"/>
      <c r="J119" s="3"/>
      <c r="K119" s="3"/>
    </row>
    <row r="120" spans="1:20">
      <c r="B120" s="3"/>
      <c r="C120" s="3"/>
      <c r="D120" s="11"/>
      <c r="E120" s="3"/>
      <c r="F120" s="3"/>
      <c r="G120" s="3"/>
      <c r="H120" s="3"/>
      <c r="I120" s="3"/>
      <c r="J120" s="3"/>
      <c r="K120" s="3"/>
    </row>
    <row r="121" spans="1:20">
      <c r="B121" s="3"/>
      <c r="C121" s="3"/>
      <c r="D121" s="11"/>
      <c r="E121" s="3"/>
      <c r="F121" s="3"/>
      <c r="G121" s="3"/>
      <c r="H121" s="3"/>
      <c r="I121" s="3"/>
      <c r="J121" s="3"/>
      <c r="K121" s="3"/>
    </row>
    <row r="122" spans="1:20">
      <c r="B122" s="3"/>
      <c r="C122" s="3"/>
      <c r="D122" s="11"/>
      <c r="E122" s="3"/>
      <c r="F122" s="3"/>
      <c r="G122" s="3"/>
      <c r="H122" s="3"/>
      <c r="I122" s="3"/>
      <c r="J122" s="3"/>
      <c r="K122" s="3"/>
    </row>
    <row r="123" spans="1:20">
      <c r="B123" s="3"/>
      <c r="C123" s="3"/>
      <c r="D123" s="11"/>
      <c r="E123" s="3"/>
      <c r="F123" s="3"/>
      <c r="G123" s="3"/>
      <c r="H123" s="3"/>
      <c r="I123" s="3"/>
      <c r="J123" s="3"/>
      <c r="K123" s="3"/>
    </row>
    <row r="124" spans="1:20">
      <c r="B124" s="3"/>
      <c r="C124" s="3"/>
      <c r="D124" s="11"/>
      <c r="E124" s="3"/>
      <c r="F124" s="3"/>
      <c r="G124" s="3"/>
      <c r="H124" s="3"/>
      <c r="I124" s="3"/>
      <c r="J124" s="3"/>
      <c r="K124" s="3"/>
    </row>
    <row r="125" spans="1:20">
      <c r="B125" s="3"/>
      <c r="C125" s="3"/>
      <c r="D125" s="11"/>
      <c r="E125" s="3"/>
      <c r="F125" s="3"/>
      <c r="G125" s="3"/>
      <c r="H125" s="3"/>
      <c r="I125" s="3"/>
      <c r="J125" s="3"/>
      <c r="K125" s="3"/>
    </row>
    <row r="126" spans="1:20">
      <c r="B126" s="3"/>
      <c r="C126" s="3"/>
      <c r="D126" s="11"/>
      <c r="E126" s="3"/>
      <c r="F126" s="3"/>
      <c r="G126" s="3"/>
      <c r="H126" s="3"/>
      <c r="I126" s="3"/>
      <c r="J126" s="3"/>
      <c r="K126" s="3"/>
    </row>
    <row r="127" spans="1:20">
      <c r="B127" s="3"/>
      <c r="C127" s="3"/>
      <c r="D127" s="11"/>
      <c r="E127" s="3"/>
      <c r="F127" s="3"/>
      <c r="G127" s="3"/>
      <c r="H127" s="3"/>
      <c r="I127" s="3"/>
      <c r="J127" s="3"/>
      <c r="K127" s="3"/>
    </row>
    <row r="128" spans="1:20">
      <c r="B128" s="3"/>
      <c r="C128" s="3"/>
      <c r="D128" s="11"/>
      <c r="E128" s="3"/>
      <c r="F128" s="3"/>
      <c r="G128" s="3"/>
      <c r="H128" s="3"/>
      <c r="I128" s="3"/>
      <c r="J128" s="3"/>
      <c r="K128" s="3"/>
    </row>
    <row r="129" spans="2:11">
      <c r="B129" s="3"/>
      <c r="C129" s="3"/>
      <c r="D129" s="11"/>
      <c r="E129" s="3"/>
      <c r="F129" s="3"/>
      <c r="G129" s="3"/>
      <c r="H129" s="3"/>
      <c r="I129" s="3"/>
      <c r="J129" s="3"/>
      <c r="K129" s="3"/>
    </row>
    <row r="130" spans="2:11">
      <c r="B130" s="3"/>
      <c r="C130" s="3"/>
      <c r="D130" s="11"/>
      <c r="E130" s="3"/>
      <c r="F130" s="3"/>
      <c r="G130" s="3"/>
      <c r="H130" s="3"/>
      <c r="I130" s="3"/>
      <c r="J130" s="3"/>
      <c r="K130" s="3"/>
    </row>
    <row r="131" spans="2:11">
      <c r="B131" s="3"/>
      <c r="C131" s="3"/>
      <c r="D131" s="11"/>
      <c r="E131" s="3"/>
      <c r="F131" s="3"/>
      <c r="G131" s="3"/>
      <c r="H131" s="3"/>
      <c r="I131" s="3"/>
      <c r="J131" s="3"/>
      <c r="K131" s="3"/>
    </row>
    <row r="132" spans="2:11">
      <c r="B132" s="3"/>
      <c r="C132" s="3"/>
      <c r="D132" s="11"/>
      <c r="E132" s="3"/>
      <c r="F132" s="3"/>
      <c r="G132" s="3"/>
      <c r="H132" s="3"/>
      <c r="I132" s="3"/>
      <c r="J132" s="3"/>
      <c r="K132" s="3"/>
    </row>
    <row r="133" spans="2:11">
      <c r="B133" s="3"/>
      <c r="C133" s="3"/>
      <c r="D133" s="11"/>
      <c r="E133" s="3"/>
      <c r="F133" s="3"/>
      <c r="G133" s="3"/>
      <c r="H133" s="3"/>
      <c r="I133" s="3"/>
      <c r="J133" s="3"/>
      <c r="K133" s="3"/>
    </row>
    <row r="134" spans="2:11">
      <c r="B134" s="3"/>
      <c r="C134" s="3"/>
      <c r="D134" s="11"/>
      <c r="E134" s="3"/>
      <c r="F134" s="3"/>
      <c r="G134" s="3"/>
      <c r="H134" s="3"/>
      <c r="I134" s="3"/>
      <c r="J134" s="3"/>
      <c r="K134" s="3"/>
    </row>
    <row r="135" spans="2:11">
      <c r="B135" s="3"/>
      <c r="C135" s="3"/>
      <c r="D135" s="11"/>
      <c r="E135" s="3"/>
      <c r="F135" s="3"/>
      <c r="G135" s="3"/>
      <c r="H135" s="3"/>
      <c r="I135" s="3"/>
      <c r="J135" s="3"/>
      <c r="K135" s="3"/>
    </row>
    <row r="136" spans="2:11">
      <c r="B136" s="3"/>
      <c r="C136" s="3"/>
      <c r="D136" s="11"/>
      <c r="E136" s="3"/>
      <c r="F136" s="3"/>
      <c r="G136" s="3"/>
      <c r="H136" s="3"/>
      <c r="I136" s="3"/>
      <c r="J136" s="3"/>
      <c r="K136" s="3"/>
    </row>
    <row r="137" spans="2:11">
      <c r="J137" s="3"/>
    </row>
    <row r="138" spans="2:11">
      <c r="J138" s="3"/>
    </row>
    <row r="139" spans="2:11">
      <c r="J139" s="3"/>
    </row>
    <row r="140" spans="2:11">
      <c r="J140" s="3"/>
    </row>
    <row r="141" spans="2:11">
      <c r="J141" s="3" t="s">
        <v>29</v>
      </c>
    </row>
    <row r="142" spans="2:11">
      <c r="J142" s="3"/>
    </row>
    <row r="143" spans="2:11">
      <c r="J143" s="3"/>
    </row>
    <row r="144" spans="2:11">
      <c r="J144" s="3"/>
    </row>
    <row r="145" spans="2:11">
      <c r="J145" s="3"/>
    </row>
    <row r="146" spans="2:11">
      <c r="J146" s="3"/>
    </row>
    <row r="147" spans="2:11">
      <c r="J147" s="3"/>
    </row>
    <row r="148" spans="2:11">
      <c r="J148" s="3"/>
    </row>
    <row r="149" spans="2:11">
      <c r="J149" s="3"/>
    </row>
    <row r="150" spans="2:11">
      <c r="B150" s="3"/>
      <c r="C150" s="3"/>
      <c r="D150" s="11"/>
      <c r="E150" s="3"/>
      <c r="F150" s="3"/>
      <c r="G150" s="3"/>
      <c r="H150" s="3"/>
      <c r="I150" s="3"/>
      <c r="J150" s="3"/>
      <c r="K150" s="3"/>
    </row>
    <row r="151" spans="2:11">
      <c r="B151" s="3"/>
      <c r="C151" s="3"/>
      <c r="D151" s="11"/>
      <c r="E151" s="3"/>
      <c r="F151" s="3"/>
      <c r="G151" s="3"/>
      <c r="H151" s="3"/>
      <c r="I151" s="3"/>
      <c r="J151" s="3"/>
      <c r="K151" s="3"/>
    </row>
  </sheetData>
  <phoneticPr fontId="7" type="noConversion"/>
  <conditionalFormatting sqref="D115:D136 D150:D1048576 D88:D106 D30:D74 D1:D28">
    <cfRule type="duplicateValues" dxfId="7" priority="59"/>
  </conditionalFormatting>
  <conditionalFormatting sqref="E22:S22 J23:S29 J75:S87 T77">
    <cfRule type="expression" dxfId="6" priority="4">
      <formula>#REF!="VFL"</formula>
    </cfRule>
  </conditionalFormatting>
  <conditionalFormatting sqref="F9">
    <cfRule type="expression" dxfId="5" priority="77">
      <formula>$B14="VFL"</formula>
    </cfRule>
  </conditionalFormatting>
  <conditionalFormatting sqref="R115:T1048576 T70:T77 T79:T82 A70:S74 A88:S89 J75:S87 R83:T89 A90:T106 R22:T69 R20:R21 R1:T19">
    <cfRule type="duplicateValues" dxfId="4" priority="16"/>
  </conditionalFormatting>
  <conditionalFormatting sqref="T2:T5 A2:S8 A9:E9 G9:S9 A10:S13 A14:E14 G14:S14 A15:S19 A20:T21 A30:S74 A88:S106 A107:T114">
    <cfRule type="expression" dxfId="3" priority="3">
      <formula>$B2="VFL"</formula>
    </cfRule>
  </conditionalFormatting>
  <pageMargins left="0.7" right="0.7" top="0.75" bottom="0.75" header="0.3" footer="0.3"/>
  <pageSetup scale="23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475B-4E74-4966-AE16-6D2D3003A76B}">
  <dimension ref="A1:N40"/>
  <sheetViews>
    <sheetView tabSelected="1" topLeftCell="F8" zoomScaleNormal="100" workbookViewId="0">
      <selection activeCell="J28" sqref="J28"/>
    </sheetView>
  </sheetViews>
  <sheetFormatPr defaultRowHeight="15"/>
  <cols>
    <col min="1" max="1" width="9.85546875" bestFit="1" customWidth="1"/>
    <col min="2" max="2" width="12.7109375" customWidth="1"/>
    <col min="3" max="3" width="15.7109375" customWidth="1"/>
    <col min="4" max="5" width="12.7109375" customWidth="1"/>
    <col min="6" max="7" width="15.7109375" customWidth="1"/>
    <col min="8" max="8" width="12.7109375" customWidth="1"/>
    <col min="9" max="9" width="16" customWidth="1"/>
    <col min="10" max="10" width="22.140625" customWidth="1"/>
    <col min="11" max="11" width="12.140625" customWidth="1"/>
    <col min="13" max="13" width="12.7109375" customWidth="1"/>
  </cols>
  <sheetData>
    <row r="1" spans="1:13">
      <c r="A1" s="13" t="s">
        <v>0</v>
      </c>
      <c r="B1" s="13" t="s">
        <v>31</v>
      </c>
      <c r="C1" s="13" t="s">
        <v>37</v>
      </c>
      <c r="D1" s="14" t="s">
        <v>36</v>
      </c>
      <c r="E1" s="15" t="s">
        <v>33</v>
      </c>
      <c r="F1" s="15" t="s">
        <v>32</v>
      </c>
      <c r="G1" s="15" t="s">
        <v>34</v>
      </c>
      <c r="H1" s="15" t="s">
        <v>35</v>
      </c>
      <c r="I1" s="15" t="s">
        <v>38</v>
      </c>
      <c r="J1" s="15" t="s">
        <v>3</v>
      </c>
      <c r="K1" s="15" t="s">
        <v>39</v>
      </c>
      <c r="L1" s="15" t="s">
        <v>41</v>
      </c>
      <c r="M1" s="15" t="s">
        <v>40</v>
      </c>
    </row>
    <row r="2" spans="1:13">
      <c r="A2" s="26" t="s">
        <v>77</v>
      </c>
      <c r="B2" s="27" t="s">
        <v>42</v>
      </c>
      <c r="C2" s="27" t="s">
        <v>78</v>
      </c>
      <c r="D2" s="27" t="s">
        <v>156</v>
      </c>
      <c r="E2" s="27">
        <v>46205</v>
      </c>
      <c r="F2" s="27" t="s">
        <v>6</v>
      </c>
      <c r="G2" s="27"/>
      <c r="H2" s="27" t="s">
        <v>7</v>
      </c>
      <c r="I2" s="27" t="s">
        <v>80</v>
      </c>
      <c r="J2" s="27"/>
      <c r="K2" s="27" t="s">
        <v>81</v>
      </c>
      <c r="L2" s="27" t="s">
        <v>82</v>
      </c>
      <c r="M2" s="27" t="s">
        <v>83</v>
      </c>
    </row>
    <row r="3" spans="1:13">
      <c r="A3" s="28" t="s">
        <v>25</v>
      </c>
      <c r="B3" s="27" t="s">
        <v>42</v>
      </c>
      <c r="C3" s="27" t="s">
        <v>79</v>
      </c>
      <c r="D3" s="27" t="s">
        <v>156</v>
      </c>
      <c r="E3" s="27">
        <v>46205</v>
      </c>
      <c r="F3" s="27" t="s">
        <v>6</v>
      </c>
      <c r="G3" s="27"/>
      <c r="H3" s="27" t="s">
        <v>7</v>
      </c>
      <c r="I3" s="27" t="s">
        <v>84</v>
      </c>
      <c r="J3" s="27"/>
      <c r="K3" s="27" t="s">
        <v>85</v>
      </c>
      <c r="L3" s="27" t="s">
        <v>86</v>
      </c>
      <c r="M3" s="27" t="s">
        <v>87</v>
      </c>
    </row>
    <row r="4" spans="1:13">
      <c r="A4" s="28" t="s">
        <v>25</v>
      </c>
      <c r="B4" s="27" t="s">
        <v>42</v>
      </c>
      <c r="C4" s="27" t="s">
        <v>88</v>
      </c>
      <c r="D4" s="27" t="s">
        <v>156</v>
      </c>
      <c r="E4" s="27">
        <v>46207</v>
      </c>
      <c r="F4" s="27" t="s">
        <v>6</v>
      </c>
      <c r="G4" s="27"/>
      <c r="H4" s="27" t="s">
        <v>7</v>
      </c>
      <c r="I4" s="27" t="s">
        <v>89</v>
      </c>
      <c r="J4" s="27"/>
      <c r="K4" s="27" t="s">
        <v>90</v>
      </c>
      <c r="L4" s="27" t="s">
        <v>91</v>
      </c>
      <c r="M4" s="27" t="s">
        <v>58</v>
      </c>
    </row>
    <row r="5" spans="1:13">
      <c r="A5" s="28" t="s">
        <v>25</v>
      </c>
      <c r="B5" s="27" t="s">
        <v>42</v>
      </c>
      <c r="C5" s="26">
        <v>271299140</v>
      </c>
      <c r="D5" s="27" t="s">
        <v>156</v>
      </c>
      <c r="E5" s="27">
        <v>46207</v>
      </c>
      <c r="F5" s="27" t="s">
        <v>96</v>
      </c>
      <c r="G5" s="26">
        <v>826576</v>
      </c>
      <c r="H5" s="27" t="s">
        <v>5</v>
      </c>
      <c r="I5" s="27" t="s">
        <v>92</v>
      </c>
      <c r="J5" s="27"/>
      <c r="K5" s="27" t="s">
        <v>93</v>
      </c>
      <c r="L5" s="27" t="s">
        <v>94</v>
      </c>
      <c r="M5" s="27" t="s">
        <v>95</v>
      </c>
    </row>
    <row r="6" spans="1:13">
      <c r="A6" s="28" t="s">
        <v>25</v>
      </c>
      <c r="B6" s="27" t="s">
        <v>42</v>
      </c>
      <c r="C6" s="27" t="s">
        <v>97</v>
      </c>
      <c r="D6" s="27" t="s">
        <v>156</v>
      </c>
      <c r="E6" s="27">
        <v>46212</v>
      </c>
      <c r="F6" s="27" t="s">
        <v>6</v>
      </c>
      <c r="G6" s="27"/>
      <c r="H6" s="27" t="s">
        <v>7</v>
      </c>
      <c r="I6" s="27" t="s">
        <v>98</v>
      </c>
      <c r="J6" s="27"/>
      <c r="K6" s="27" t="s">
        <v>99</v>
      </c>
      <c r="L6" s="27" t="s">
        <v>100</v>
      </c>
      <c r="M6" s="27" t="s">
        <v>62</v>
      </c>
    </row>
    <row r="7" spans="1:13">
      <c r="A7" s="28" t="s">
        <v>25</v>
      </c>
      <c r="B7" s="27" t="s">
        <v>42</v>
      </c>
      <c r="C7" s="26">
        <v>271632440</v>
      </c>
      <c r="D7" s="27" t="s">
        <v>156</v>
      </c>
      <c r="E7" s="27">
        <v>46213</v>
      </c>
      <c r="F7" s="27" t="s">
        <v>101</v>
      </c>
      <c r="G7" s="26">
        <v>345525</v>
      </c>
      <c r="H7" s="27" t="s">
        <v>5</v>
      </c>
      <c r="I7" s="27" t="s">
        <v>102</v>
      </c>
      <c r="J7" s="27"/>
      <c r="K7" s="27" t="s">
        <v>103</v>
      </c>
      <c r="L7" s="27" t="s">
        <v>104</v>
      </c>
      <c r="M7" s="27" t="s">
        <v>105</v>
      </c>
    </row>
    <row r="8" spans="1:13">
      <c r="A8" s="28" t="s">
        <v>25</v>
      </c>
      <c r="B8" s="27" t="s">
        <v>42</v>
      </c>
      <c r="C8" s="27" t="s">
        <v>106</v>
      </c>
      <c r="D8" s="27" t="s">
        <v>156</v>
      </c>
      <c r="E8" s="27">
        <v>46214</v>
      </c>
      <c r="F8" s="27" t="s">
        <v>6</v>
      </c>
      <c r="G8" s="27"/>
      <c r="H8" s="27" t="s">
        <v>7</v>
      </c>
      <c r="I8" s="27" t="s">
        <v>107</v>
      </c>
      <c r="J8" s="27"/>
      <c r="K8" s="27" t="s">
        <v>108</v>
      </c>
      <c r="L8" s="27" t="s">
        <v>109</v>
      </c>
      <c r="M8" s="27" t="s">
        <v>110</v>
      </c>
    </row>
    <row r="9" spans="1:13">
      <c r="A9" s="28" t="s">
        <v>25</v>
      </c>
      <c r="B9" s="27" t="s">
        <v>42</v>
      </c>
      <c r="C9" s="27" t="s">
        <v>111</v>
      </c>
      <c r="D9" s="27" t="s">
        <v>156</v>
      </c>
      <c r="E9" s="27">
        <v>46218</v>
      </c>
      <c r="F9" s="27" t="s">
        <v>6</v>
      </c>
      <c r="G9" s="27"/>
      <c r="H9" s="27" t="s">
        <v>7</v>
      </c>
      <c r="I9" s="27" t="s">
        <v>112</v>
      </c>
      <c r="J9" s="27"/>
      <c r="K9" s="27" t="s">
        <v>115</v>
      </c>
      <c r="L9" s="27" t="s">
        <v>113</v>
      </c>
      <c r="M9" s="27" t="s">
        <v>66</v>
      </c>
    </row>
    <row r="10" spans="1:13">
      <c r="A10" s="28" t="s">
        <v>25</v>
      </c>
      <c r="B10" s="27" t="s">
        <v>42</v>
      </c>
      <c r="C10" s="27" t="s">
        <v>114</v>
      </c>
      <c r="D10" s="27" t="s">
        <v>156</v>
      </c>
      <c r="E10" s="27">
        <v>46220</v>
      </c>
      <c r="F10" s="27" t="s">
        <v>6</v>
      </c>
      <c r="G10" s="27"/>
      <c r="H10" s="27" t="s">
        <v>7</v>
      </c>
      <c r="I10" s="27" t="s">
        <v>124</v>
      </c>
      <c r="J10" s="27"/>
      <c r="K10" s="27" t="s">
        <v>116</v>
      </c>
      <c r="L10" s="27" t="s">
        <v>117</v>
      </c>
      <c r="M10" s="27" t="s">
        <v>118</v>
      </c>
    </row>
    <row r="11" spans="1:13">
      <c r="A11" s="28" t="s">
        <v>25</v>
      </c>
      <c r="B11" s="27" t="s">
        <v>42</v>
      </c>
      <c r="C11" s="27" t="s">
        <v>119</v>
      </c>
      <c r="D11" s="27" t="s">
        <v>156</v>
      </c>
      <c r="E11" s="27">
        <v>46221</v>
      </c>
      <c r="F11" s="27" t="s">
        <v>6</v>
      </c>
      <c r="G11" s="27"/>
      <c r="H11" s="27" t="s">
        <v>7</v>
      </c>
      <c r="I11" s="27" t="s">
        <v>125</v>
      </c>
      <c r="J11" s="27"/>
      <c r="K11" s="27" t="s">
        <v>120</v>
      </c>
      <c r="L11" s="27" t="s">
        <v>121</v>
      </c>
      <c r="M11" s="27" t="s">
        <v>122</v>
      </c>
    </row>
    <row r="12" spans="1:13">
      <c r="A12" s="28" t="s">
        <v>25</v>
      </c>
      <c r="B12" s="27" t="s">
        <v>42</v>
      </c>
      <c r="C12" s="27" t="s">
        <v>123</v>
      </c>
      <c r="D12" s="27" t="s">
        <v>156</v>
      </c>
      <c r="E12" s="27">
        <v>46221</v>
      </c>
      <c r="F12" s="27" t="s">
        <v>6</v>
      </c>
      <c r="G12" s="27"/>
      <c r="H12" s="27" t="s">
        <v>7</v>
      </c>
      <c r="I12" s="27" t="s">
        <v>126</v>
      </c>
      <c r="J12" s="27"/>
      <c r="K12" s="27" t="s">
        <v>127</v>
      </c>
      <c r="L12" s="27" t="s">
        <v>128</v>
      </c>
      <c r="M12" s="27" t="s">
        <v>129</v>
      </c>
    </row>
    <row r="13" spans="1:13">
      <c r="A13" s="28" t="s">
        <v>25</v>
      </c>
      <c r="B13" s="27" t="s">
        <v>42</v>
      </c>
      <c r="C13" s="27" t="s">
        <v>135</v>
      </c>
      <c r="D13" s="27" t="s">
        <v>156</v>
      </c>
      <c r="E13" s="27">
        <v>46225</v>
      </c>
      <c r="F13" s="27" t="s">
        <v>6</v>
      </c>
      <c r="G13" s="27"/>
      <c r="H13" s="27" t="s">
        <v>7</v>
      </c>
      <c r="I13" s="27" t="s">
        <v>136</v>
      </c>
      <c r="J13" s="27"/>
      <c r="K13" s="27" t="s">
        <v>137</v>
      </c>
      <c r="L13" s="27" t="s">
        <v>138</v>
      </c>
      <c r="M13" s="27" t="s">
        <v>130</v>
      </c>
    </row>
    <row r="14" spans="1:13">
      <c r="A14" s="28" t="s">
        <v>25</v>
      </c>
      <c r="B14" s="27" t="s">
        <v>42</v>
      </c>
      <c r="C14" s="27" t="s">
        <v>142</v>
      </c>
      <c r="D14" s="27" t="s">
        <v>156</v>
      </c>
      <c r="E14" s="27">
        <v>46227</v>
      </c>
      <c r="F14" s="27" t="s">
        <v>6</v>
      </c>
      <c r="G14" s="27"/>
      <c r="H14" s="27" t="s">
        <v>7</v>
      </c>
      <c r="I14" s="27" t="s">
        <v>141</v>
      </c>
      <c r="J14" s="27"/>
      <c r="K14" s="27" t="s">
        <v>139</v>
      </c>
      <c r="L14" s="27" t="s">
        <v>140</v>
      </c>
      <c r="M14" s="27" t="s">
        <v>131</v>
      </c>
    </row>
    <row r="15" spans="1:13" ht="15" customHeight="1">
      <c r="A15" s="28" t="s">
        <v>25</v>
      </c>
      <c r="B15" s="27" t="s">
        <v>42</v>
      </c>
      <c r="C15" s="27" t="s">
        <v>143</v>
      </c>
      <c r="D15" s="27" t="s">
        <v>156</v>
      </c>
      <c r="E15" s="27">
        <v>46228</v>
      </c>
      <c r="F15" s="27" t="s">
        <v>6</v>
      </c>
      <c r="G15" s="27"/>
      <c r="H15" s="27" t="s">
        <v>7</v>
      </c>
      <c r="I15" s="26" t="s">
        <v>144</v>
      </c>
      <c r="J15" s="27"/>
      <c r="K15" s="27" t="s">
        <v>145</v>
      </c>
      <c r="L15" s="27" t="s">
        <v>146</v>
      </c>
      <c r="M15" s="27" t="s">
        <v>132</v>
      </c>
    </row>
    <row r="16" spans="1:13" ht="15" customHeight="1">
      <c r="A16" s="28" t="s">
        <v>25</v>
      </c>
      <c r="B16" s="27" t="s">
        <v>42</v>
      </c>
      <c r="C16" s="26">
        <v>272196810</v>
      </c>
      <c r="D16" s="27" t="s">
        <v>156</v>
      </c>
      <c r="E16" s="27">
        <v>46228</v>
      </c>
      <c r="F16" s="27" t="s">
        <v>147</v>
      </c>
      <c r="G16" s="26">
        <v>394522</v>
      </c>
      <c r="H16" s="27" t="s">
        <v>5</v>
      </c>
      <c r="I16" s="27" t="s">
        <v>148</v>
      </c>
      <c r="J16" s="27"/>
      <c r="K16" s="27" t="s">
        <v>149</v>
      </c>
      <c r="L16" s="27" t="s">
        <v>150</v>
      </c>
      <c r="M16" s="27" t="s">
        <v>133</v>
      </c>
    </row>
    <row r="17" spans="1:14" ht="15" customHeight="1">
      <c r="A17" s="28" t="s">
        <v>25</v>
      </c>
      <c r="B17" s="27" t="s">
        <v>42</v>
      </c>
      <c r="C17" s="26" t="s">
        <v>151</v>
      </c>
      <c r="D17" s="27" t="s">
        <v>156</v>
      </c>
      <c r="E17" s="27">
        <v>46234</v>
      </c>
      <c r="F17" s="27" t="s">
        <v>152</v>
      </c>
      <c r="G17" s="26">
        <v>397835</v>
      </c>
      <c r="H17" s="27" t="s">
        <v>5</v>
      </c>
      <c r="I17" s="27" t="s">
        <v>153</v>
      </c>
      <c r="J17" s="27"/>
      <c r="K17" s="27" t="s">
        <v>154</v>
      </c>
      <c r="L17" s="27" t="s">
        <v>155</v>
      </c>
      <c r="M17" s="27" t="s">
        <v>134</v>
      </c>
    </row>
    <row r="18" spans="1:14" ht="1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4"/>
    </row>
    <row r="19" spans="1:14" ht="15" customHeight="1">
      <c r="A19" s="28" t="s">
        <v>30</v>
      </c>
      <c r="B19" s="27" t="s">
        <v>42</v>
      </c>
      <c r="C19" s="27" t="s">
        <v>157</v>
      </c>
      <c r="D19" s="27" t="s">
        <v>156</v>
      </c>
      <c r="E19" s="27">
        <v>46235</v>
      </c>
      <c r="F19" s="27" t="s">
        <v>6</v>
      </c>
      <c r="G19" s="27"/>
      <c r="H19" s="27" t="s">
        <v>7</v>
      </c>
      <c r="I19" s="27" t="s">
        <v>177</v>
      </c>
      <c r="J19" s="27"/>
      <c r="K19" s="27" t="s">
        <v>162</v>
      </c>
      <c r="L19" s="27" t="s">
        <v>163</v>
      </c>
      <c r="M19" s="27" t="s">
        <v>164</v>
      </c>
      <c r="N19" s="29"/>
    </row>
    <row r="20" spans="1:14" ht="15" customHeight="1">
      <c r="A20" s="28" t="s">
        <v>30</v>
      </c>
      <c r="B20" s="27" t="s">
        <v>42</v>
      </c>
      <c r="C20" s="27" t="s">
        <v>158</v>
      </c>
      <c r="D20" s="27" t="s">
        <v>156</v>
      </c>
      <c r="E20" s="27">
        <v>46240</v>
      </c>
      <c r="F20" s="27" t="s">
        <v>6</v>
      </c>
      <c r="H20" s="27" t="s">
        <v>7</v>
      </c>
      <c r="I20" s="27" t="s">
        <v>178</v>
      </c>
      <c r="J20" s="27"/>
      <c r="K20" s="27" t="s">
        <v>165</v>
      </c>
      <c r="L20" s="27" t="s">
        <v>166</v>
      </c>
      <c r="M20" s="27" t="s">
        <v>167</v>
      </c>
      <c r="N20" s="29"/>
    </row>
    <row r="21" spans="1:14" ht="14.25" customHeight="1">
      <c r="A21" s="28" t="s">
        <v>30</v>
      </c>
      <c r="B21" s="27" t="s">
        <v>42</v>
      </c>
      <c r="C21" s="27" t="s">
        <v>159</v>
      </c>
      <c r="D21" s="27" t="s">
        <v>156</v>
      </c>
      <c r="E21" s="27">
        <v>46246</v>
      </c>
      <c r="F21" s="27" t="s">
        <v>6</v>
      </c>
      <c r="G21" s="27"/>
      <c r="H21" s="27" t="s">
        <v>7</v>
      </c>
      <c r="I21" s="27" t="s">
        <v>179</v>
      </c>
      <c r="J21" s="27"/>
      <c r="K21" s="27" t="s">
        <v>171</v>
      </c>
      <c r="L21" s="27" t="s">
        <v>172</v>
      </c>
      <c r="M21" s="27" t="s">
        <v>168</v>
      </c>
      <c r="N21" s="29"/>
    </row>
    <row r="22" spans="1:14">
      <c r="A22" s="28" t="s">
        <v>30</v>
      </c>
      <c r="B22" s="27" t="s">
        <v>42</v>
      </c>
      <c r="C22" s="27" t="s">
        <v>160</v>
      </c>
      <c r="D22" s="27" t="s">
        <v>156</v>
      </c>
      <c r="E22" s="27">
        <v>46246</v>
      </c>
      <c r="F22" s="27" t="s">
        <v>6</v>
      </c>
      <c r="G22" s="27"/>
      <c r="H22" s="27" t="s">
        <v>7</v>
      </c>
      <c r="I22" s="27" t="s">
        <v>180</v>
      </c>
      <c r="J22" s="27"/>
      <c r="K22" s="27" t="s">
        <v>173</v>
      </c>
      <c r="L22" s="27" t="s">
        <v>174</v>
      </c>
      <c r="M22" s="27" t="s">
        <v>169</v>
      </c>
      <c r="N22" s="29"/>
    </row>
    <row r="23" spans="1:14">
      <c r="A23" s="28" t="s">
        <v>30</v>
      </c>
      <c r="B23" s="27" t="s">
        <v>42</v>
      </c>
      <c r="C23" s="27" t="s">
        <v>161</v>
      </c>
      <c r="D23" s="27" t="s">
        <v>156</v>
      </c>
      <c r="E23" s="27">
        <v>46248</v>
      </c>
      <c r="F23" s="27" t="s">
        <v>6</v>
      </c>
      <c r="G23" s="27"/>
      <c r="H23" s="27" t="s">
        <v>7</v>
      </c>
      <c r="I23" s="27" t="s">
        <v>181</v>
      </c>
      <c r="J23" s="27"/>
      <c r="K23" s="27" t="s">
        <v>176</v>
      </c>
      <c r="L23" s="27" t="s">
        <v>175</v>
      </c>
      <c r="M23" s="27" t="s">
        <v>170</v>
      </c>
      <c r="N23" s="29"/>
    </row>
    <row r="24" spans="1:14">
      <c r="A24" s="28" t="s">
        <v>30</v>
      </c>
      <c r="B24" s="27" t="s">
        <v>42</v>
      </c>
      <c r="C24" s="27" t="s">
        <v>182</v>
      </c>
      <c r="D24" s="27" t="s">
        <v>156</v>
      </c>
      <c r="E24" s="27">
        <v>46253</v>
      </c>
      <c r="F24" s="27" t="s">
        <v>6</v>
      </c>
      <c r="G24" s="30"/>
      <c r="H24" s="27" t="s">
        <v>7</v>
      </c>
      <c r="I24" s="27" t="s">
        <v>184</v>
      </c>
      <c r="J24" s="30"/>
      <c r="K24" s="27" t="s">
        <v>185</v>
      </c>
      <c r="L24" s="27" t="s">
        <v>186</v>
      </c>
      <c r="M24" s="27" t="s">
        <v>183</v>
      </c>
      <c r="N24" s="29"/>
    </row>
    <row r="25" spans="1:14">
      <c r="A25" s="28" t="s">
        <v>30</v>
      </c>
      <c r="B25" s="27" t="s">
        <v>42</v>
      </c>
      <c r="C25" s="27" t="s">
        <v>187</v>
      </c>
      <c r="D25" s="27" t="s">
        <v>156</v>
      </c>
      <c r="E25" s="27">
        <v>46260</v>
      </c>
      <c r="F25" s="27" t="s">
        <v>6</v>
      </c>
      <c r="G25" s="30"/>
      <c r="H25" s="27" t="s">
        <v>7</v>
      </c>
      <c r="I25" s="27" t="s">
        <v>193</v>
      </c>
      <c r="J25" s="30"/>
      <c r="K25" s="27" t="s">
        <v>194</v>
      </c>
      <c r="L25" s="27" t="s">
        <v>195</v>
      </c>
      <c r="M25" s="27" t="s">
        <v>188</v>
      </c>
      <c r="N25" s="29"/>
    </row>
    <row r="26" spans="1:14">
      <c r="A26" s="39"/>
      <c r="B26" s="40"/>
      <c r="C26" s="38"/>
      <c r="D26" s="40"/>
      <c r="E26" s="38"/>
      <c r="F26" s="38"/>
      <c r="G26" s="38"/>
      <c r="H26" s="38"/>
      <c r="I26" s="38"/>
      <c r="J26" s="38"/>
      <c r="K26" s="38"/>
      <c r="L26" s="38"/>
      <c r="M26" s="38"/>
      <c r="N26" s="29"/>
    </row>
    <row r="27" spans="1:14" s="1" customFormat="1">
      <c r="A27" s="45" t="s">
        <v>192</v>
      </c>
      <c r="B27" s="44" t="s">
        <v>42</v>
      </c>
      <c r="C27" s="44" t="s">
        <v>203</v>
      </c>
      <c r="D27" s="44" t="s">
        <v>156</v>
      </c>
      <c r="E27" s="44">
        <v>46295</v>
      </c>
      <c r="F27" s="44" t="s">
        <v>6</v>
      </c>
      <c r="G27" s="44"/>
      <c r="H27" s="44" t="s">
        <v>7</v>
      </c>
      <c r="I27" s="44" t="s">
        <v>205</v>
      </c>
      <c r="J27" s="44"/>
      <c r="K27" s="44" t="s">
        <v>206</v>
      </c>
      <c r="L27" s="44" t="s">
        <v>207</v>
      </c>
      <c r="M27" s="44" t="s">
        <v>208</v>
      </c>
      <c r="N27" s="46"/>
    </row>
    <row r="28" spans="1:14">
      <c r="A28" s="39"/>
      <c r="B28" s="40"/>
      <c r="C28" s="38"/>
      <c r="D28" s="40"/>
      <c r="E28" s="38"/>
      <c r="F28" s="38"/>
      <c r="G28" s="38"/>
      <c r="H28" s="38"/>
      <c r="I28" s="38"/>
      <c r="J28" s="38"/>
      <c r="K28" s="38"/>
      <c r="L28" s="38"/>
      <c r="M28" s="38"/>
      <c r="N28" s="29"/>
    </row>
    <row r="29" spans="1:14" s="10" customFormat="1">
      <c r="A29" s="28" t="s">
        <v>204</v>
      </c>
      <c r="B29" s="27" t="s">
        <v>42</v>
      </c>
      <c r="C29" s="27" t="s">
        <v>214</v>
      </c>
      <c r="D29" s="27" t="s">
        <v>156</v>
      </c>
      <c r="E29" s="27">
        <v>46302</v>
      </c>
      <c r="F29" s="44" t="s">
        <v>6</v>
      </c>
      <c r="G29" s="27"/>
      <c r="H29" s="44" t="s">
        <v>7</v>
      </c>
      <c r="I29" s="27" t="s">
        <v>211</v>
      </c>
      <c r="J29" s="27"/>
      <c r="K29" s="27" t="s">
        <v>212</v>
      </c>
      <c r="L29" s="27" t="s">
        <v>201</v>
      </c>
      <c r="M29" s="27" t="s">
        <v>213</v>
      </c>
      <c r="N29" s="48"/>
    </row>
    <row r="30" spans="1:14" s="1" customFormat="1">
      <c r="A30" s="45" t="s">
        <v>204</v>
      </c>
      <c r="B30" s="44" t="s">
        <v>42</v>
      </c>
      <c r="C30" s="44" t="s">
        <v>215</v>
      </c>
      <c r="D30" s="44" t="s">
        <v>156</v>
      </c>
      <c r="E30" s="27">
        <v>46305</v>
      </c>
      <c r="F30" s="44" t="s">
        <v>6</v>
      </c>
      <c r="G30" s="44"/>
      <c r="H30" s="44" t="s">
        <v>7</v>
      </c>
      <c r="I30" s="27" t="s">
        <v>211</v>
      </c>
      <c r="J30" s="44"/>
      <c r="K30" s="44"/>
      <c r="L30" s="44"/>
      <c r="M30" s="44"/>
      <c r="N30" s="46"/>
    </row>
    <row r="31" spans="1:14">
      <c r="A31" s="28" t="s">
        <v>204</v>
      </c>
      <c r="B31" s="27" t="s">
        <v>42</v>
      </c>
      <c r="C31" s="30"/>
      <c r="D31" s="27" t="s">
        <v>156</v>
      </c>
      <c r="E31" s="27"/>
      <c r="F31" s="30"/>
      <c r="G31" s="30"/>
      <c r="H31" s="30"/>
      <c r="I31" s="30"/>
      <c r="J31" s="30"/>
      <c r="K31" s="30"/>
      <c r="L31" s="30"/>
      <c r="M31" s="30"/>
      <c r="N31" s="29"/>
    </row>
    <row r="32" spans="1:14">
      <c r="A32" s="28" t="s">
        <v>204</v>
      </c>
      <c r="B32" s="27" t="s">
        <v>42</v>
      </c>
      <c r="C32" s="30"/>
      <c r="D32" s="27" t="s">
        <v>156</v>
      </c>
      <c r="E32" s="30"/>
      <c r="F32" s="30"/>
      <c r="G32" s="30"/>
      <c r="H32" s="30"/>
      <c r="I32" s="30"/>
      <c r="J32" s="30"/>
      <c r="K32" s="30"/>
      <c r="L32" s="30"/>
      <c r="M32" s="30"/>
      <c r="N32" s="29"/>
    </row>
    <row r="33" spans="1:14">
      <c r="A33" s="28" t="s">
        <v>204</v>
      </c>
      <c r="B33" s="27" t="s">
        <v>42</v>
      </c>
      <c r="C33" s="30"/>
      <c r="D33" s="27" t="s">
        <v>156</v>
      </c>
      <c r="E33" s="30"/>
      <c r="F33" s="30"/>
      <c r="G33" s="30"/>
      <c r="H33" s="30"/>
      <c r="I33" s="30"/>
      <c r="J33" s="30"/>
      <c r="K33" s="30"/>
      <c r="L33" s="30"/>
      <c r="M33" s="30"/>
      <c r="N33" s="29"/>
    </row>
    <row r="34" spans="1:14">
      <c r="A34" s="28"/>
      <c r="B34" s="27"/>
      <c r="C34" s="30"/>
      <c r="D34" s="27"/>
      <c r="E34" s="30"/>
      <c r="F34" s="30"/>
      <c r="G34" s="30"/>
      <c r="H34" s="30"/>
      <c r="I34" s="30"/>
      <c r="J34" s="30"/>
      <c r="K34" s="30"/>
      <c r="L34" s="30"/>
      <c r="M34" s="30"/>
      <c r="N34" s="29"/>
    </row>
    <row r="35" spans="1:14">
      <c r="A35" s="28"/>
      <c r="B35" s="27"/>
      <c r="C35" s="30"/>
      <c r="D35" s="27"/>
      <c r="E35" s="30"/>
      <c r="F35" s="30"/>
      <c r="G35" s="30"/>
      <c r="H35" s="30"/>
      <c r="I35" s="30"/>
      <c r="J35" s="30"/>
      <c r="K35" s="30"/>
      <c r="L35" s="30"/>
      <c r="M35" s="30"/>
      <c r="N35" s="29"/>
    </row>
    <row r="36" spans="1:14">
      <c r="A36" s="28"/>
      <c r="B36" s="27"/>
      <c r="C36" s="30"/>
      <c r="D36" s="27"/>
      <c r="E36" s="30"/>
      <c r="F36" s="30"/>
      <c r="G36" s="30"/>
      <c r="H36" s="30"/>
      <c r="I36" s="30"/>
      <c r="J36" s="30"/>
      <c r="K36" s="30"/>
      <c r="L36" s="30"/>
      <c r="M36" s="30"/>
      <c r="N36" s="29"/>
    </row>
    <row r="37" spans="1:14">
      <c r="A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29"/>
    </row>
    <row r="38" spans="1:14">
      <c r="A38" s="30"/>
      <c r="B38" s="30"/>
      <c r="C38" s="30"/>
      <c r="D38" s="30"/>
      <c r="E38" s="30"/>
      <c r="G38" s="30"/>
      <c r="H38" s="30"/>
      <c r="I38" s="30"/>
      <c r="J38" s="30"/>
      <c r="K38" s="30"/>
      <c r="L38" s="30"/>
      <c r="M38" s="30"/>
      <c r="N38" s="29"/>
    </row>
    <row r="39" spans="1:14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29"/>
    </row>
    <row r="40" spans="1:14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29"/>
    </row>
  </sheetData>
  <phoneticPr fontId="7" type="noConversion"/>
  <conditionalFormatting sqref="C1:C13 C38:C1048576 C16:C36">
    <cfRule type="duplicateValues" dxfId="2" priority="3"/>
  </conditionalFormatting>
  <conditionalFormatting sqref="F39:F1048576 F1:F37">
    <cfRule type="duplicateValues" dxfId="1" priority="2"/>
  </conditionalFormatting>
  <conditionalFormatting sqref="K1:M13 M14:M17 K14:L18 K19:M1048576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IMPORT</vt:lpstr>
      <vt:lpstr>EXPORT</vt:lpstr>
      <vt:lpstr>IMPORT!Print_Area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chhaypeng179@gmail.com</cp:lastModifiedBy>
  <cp:revision/>
  <cp:lastPrinted>2026-06-09T07:15:49Z</cp:lastPrinted>
  <dcterms:created xsi:type="dcterms:W3CDTF">2025-10-16T02:30:51Z</dcterms:created>
  <dcterms:modified xsi:type="dcterms:W3CDTF">2026-10-08T08:22:32Z</dcterms:modified>
  <cp:category/>
  <cp:contentStatus/>
</cp:coreProperties>
</file>