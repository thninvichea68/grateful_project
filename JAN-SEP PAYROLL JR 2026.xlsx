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B:\1-JR APPAREL\5-MOC\4-PAYROLL\"/>
    </mc:Choice>
  </mc:AlternateContent>
  <bookViews>
    <workbookView xWindow="0" yWindow="0" windowWidth="28800" windowHeight="12300" activeTab="8"/>
  </bookViews>
  <sheets>
    <sheet name="JR-01" sheetId="1" r:id="rId1"/>
    <sheet name="JR-02" sheetId="2" r:id="rId2"/>
    <sheet name="JR-03" sheetId="3" r:id="rId3"/>
    <sheet name="JR-04" sheetId="4" r:id="rId4"/>
    <sheet name="JR-05" sheetId="6" r:id="rId5"/>
    <sheet name="JR-06" sheetId="5" r:id="rId6"/>
    <sheet name="JR-07" sheetId="7" r:id="rId7"/>
    <sheet name="JR-08" sheetId="8" r:id="rId8"/>
    <sheet name="JR-09" sheetId="10" r:id="rId9"/>
  </sheets>
  <definedNames>
    <definedName name="_xlnm.Print_Area" localSheetId="0">'JR-01'!$A$1:$Y$117</definedName>
    <definedName name="_xlnm.Print_Area" localSheetId="1">'JR-02'!$A$1:$Y$117</definedName>
    <definedName name="_xlnm.Print_Area" localSheetId="2">'JR-03'!$A$1:$Y$104</definedName>
    <definedName name="_xlnm.Print_Area" localSheetId="3">'JR-04'!$A$1:$Y$106</definedName>
    <definedName name="_xlnm.Print_Area" localSheetId="4">'JR-05'!$A$1:$Y$102</definedName>
    <definedName name="_xlnm.Print_Area" localSheetId="5">'JR-06'!$A$1:$Y$102</definedName>
    <definedName name="_xlnm.Print_Area" localSheetId="6">'JR-07'!$A$1:$Y$81</definedName>
    <definedName name="_xlnm.Print_Area" localSheetId="7">'JR-08'!$A$1:$Y$77</definedName>
    <definedName name="_xlnm.Print_Area" localSheetId="8">'JR-09'!$A$1:$Y$73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0" l="1"/>
  <c r="AE36" i="10" l="1"/>
  <c r="AD37" i="10"/>
  <c r="AE37" i="10" s="1"/>
  <c r="J57" i="10"/>
  <c r="F57" i="10"/>
  <c r="C57" i="10"/>
  <c r="A57" i="10"/>
  <c r="J56" i="10"/>
  <c r="F56" i="10"/>
  <c r="C56" i="10"/>
  <c r="A56" i="10"/>
  <c r="U49" i="10"/>
  <c r="P57" i="10" s="1"/>
  <c r="U57" i="10" s="1"/>
  <c r="P49" i="10"/>
  <c r="U48" i="10"/>
  <c r="P48" i="10"/>
  <c r="V41" i="10"/>
  <c r="N41" i="10"/>
  <c r="AC39" i="10"/>
  <c r="O20" i="10"/>
  <c r="I20" i="10"/>
  <c r="V19" i="10"/>
  <c r="V18" i="10"/>
  <c r="V17" i="10"/>
  <c r="V16" i="10"/>
  <c r="V20" i="10" l="1"/>
  <c r="Z19" i="10"/>
  <c r="P56" i="10"/>
  <c r="U56" i="10" s="1"/>
  <c r="AC39" i="8" l="1"/>
  <c r="J61" i="8" l="1"/>
  <c r="F61" i="8"/>
  <c r="C61" i="8"/>
  <c r="A61" i="8"/>
  <c r="J60" i="8"/>
  <c r="F60" i="8"/>
  <c r="C60" i="8"/>
  <c r="A60" i="8"/>
  <c r="J59" i="8"/>
  <c r="F59" i="8"/>
  <c r="C59" i="8"/>
  <c r="A59" i="8"/>
  <c r="J58" i="8"/>
  <c r="F58" i="8"/>
  <c r="C58" i="8"/>
  <c r="A58" i="8"/>
  <c r="U51" i="8"/>
  <c r="P61" i="8" s="1"/>
  <c r="U61" i="8" s="1"/>
  <c r="P51" i="8"/>
  <c r="U50" i="8"/>
  <c r="P60" i="8" s="1"/>
  <c r="U60" i="8" s="1"/>
  <c r="P50" i="8"/>
  <c r="U49" i="8"/>
  <c r="P49" i="8"/>
  <c r="U48" i="8"/>
  <c r="P48" i="8"/>
  <c r="V41" i="8"/>
  <c r="N41" i="8"/>
  <c r="AE37" i="8"/>
  <c r="AG37" i="8" s="1"/>
  <c r="AD37" i="8"/>
  <c r="AF37" i="8" s="1"/>
  <c r="AG36" i="8"/>
  <c r="AF36" i="8"/>
  <c r="G26" i="8"/>
  <c r="O20" i="8"/>
  <c r="I20" i="8"/>
  <c r="V19" i="8"/>
  <c r="V18" i="8"/>
  <c r="V17" i="8"/>
  <c r="V16" i="8"/>
  <c r="P59" i="8" l="1"/>
  <c r="U59" i="8" s="1"/>
  <c r="Z51" i="8"/>
  <c r="V20" i="8"/>
  <c r="Z19" i="8"/>
  <c r="P58" i="8"/>
  <c r="U58" i="8" s="1"/>
  <c r="V16" i="7"/>
  <c r="V17" i="7"/>
  <c r="V18" i="7"/>
  <c r="V19" i="7"/>
  <c r="Z19" i="7"/>
  <c r="I20" i="7"/>
  <c r="O20" i="7"/>
  <c r="V20" i="7"/>
  <c r="G26" i="7"/>
  <c r="AF36" i="7"/>
  <c r="AG36" i="7"/>
  <c r="AD37" i="7"/>
  <c r="AE37" i="7"/>
  <c r="AF37" i="7"/>
  <c r="AG37" i="7"/>
  <c r="AD39" i="7"/>
  <c r="AD40" i="7"/>
  <c r="N41" i="7"/>
  <c r="V41" i="7"/>
  <c r="AC41" i="7"/>
  <c r="P48" i="7"/>
  <c r="U48" i="7"/>
  <c r="P49" i="7"/>
  <c r="U49" i="7"/>
  <c r="P50" i="7"/>
  <c r="U50" i="7"/>
  <c r="P62" i="7" s="1"/>
  <c r="U62" i="7" s="1"/>
  <c r="P51" i="7"/>
  <c r="U51" i="7"/>
  <c r="P63" i="7" s="1"/>
  <c r="U63" i="7" s="1"/>
  <c r="P52" i="7"/>
  <c r="U52" i="7"/>
  <c r="Z52" i="7"/>
  <c r="P53" i="7"/>
  <c r="U53" i="7"/>
  <c r="A60" i="7"/>
  <c r="C60" i="7"/>
  <c r="F60" i="7"/>
  <c r="J60" i="7"/>
  <c r="P60" i="7"/>
  <c r="U60" i="7"/>
  <c r="A61" i="7"/>
  <c r="C61" i="7"/>
  <c r="F61" i="7"/>
  <c r="J61" i="7"/>
  <c r="P61" i="7"/>
  <c r="U61" i="7"/>
  <c r="A62" i="7"/>
  <c r="C62" i="7"/>
  <c r="F62" i="7"/>
  <c r="J62" i="7"/>
  <c r="A63" i="7"/>
  <c r="C63" i="7"/>
  <c r="F63" i="7"/>
  <c r="J63" i="7"/>
  <c r="A64" i="7"/>
  <c r="C64" i="7"/>
  <c r="F64" i="7"/>
  <c r="J64" i="7"/>
  <c r="P64" i="7"/>
  <c r="U64" i="7"/>
  <c r="A65" i="7"/>
  <c r="C65" i="7"/>
  <c r="F65" i="7"/>
  <c r="J65" i="7"/>
  <c r="P65" i="7"/>
  <c r="U65" i="7"/>
  <c r="V16" i="6"/>
  <c r="V17" i="6"/>
  <c r="Z19" i="6" s="1"/>
  <c r="V18" i="6"/>
  <c r="V19" i="6"/>
  <c r="I20" i="6"/>
  <c r="O20" i="6"/>
  <c r="G26" i="6"/>
  <c r="AA37" i="6"/>
  <c r="AB37" i="6" s="1"/>
  <c r="AC37" i="6"/>
  <c r="AA38" i="6"/>
  <c r="AA39" i="6"/>
  <c r="AA40" i="6"/>
  <c r="N41" i="6"/>
  <c r="V41" i="6"/>
  <c r="AA41" i="6"/>
  <c r="AB41" i="6" s="1"/>
  <c r="AC41" i="6"/>
  <c r="AG44" i="6"/>
  <c r="AG45" i="6"/>
  <c r="AG46" i="6"/>
  <c r="AG47" i="6"/>
  <c r="P48" i="6"/>
  <c r="U48" i="6"/>
  <c r="P65" i="6" s="1"/>
  <c r="U65" i="6" s="1"/>
  <c r="P84" i="6" s="1"/>
  <c r="U84" i="6" s="1"/>
  <c r="AG48" i="6"/>
  <c r="P49" i="6"/>
  <c r="U49" i="6"/>
  <c r="P66" i="6" s="1"/>
  <c r="U66" i="6" s="1"/>
  <c r="P85" i="6" s="1"/>
  <c r="U85" i="6" s="1"/>
  <c r="P50" i="6"/>
  <c r="U50" i="6"/>
  <c r="P67" i="6" s="1"/>
  <c r="U67" i="6" s="1"/>
  <c r="P51" i="6"/>
  <c r="U51" i="6"/>
  <c r="P52" i="6"/>
  <c r="U52" i="6"/>
  <c r="P53" i="6"/>
  <c r="U53" i="6"/>
  <c r="P72" i="6" s="1"/>
  <c r="U72" i="6" s="1"/>
  <c r="P54" i="6"/>
  <c r="U54" i="6"/>
  <c r="P71" i="6" s="1"/>
  <c r="U71" i="6" s="1"/>
  <c r="P55" i="6"/>
  <c r="U55" i="6"/>
  <c r="P74" i="6" s="1"/>
  <c r="U74" i="6" s="1"/>
  <c r="P56" i="6"/>
  <c r="U56" i="6"/>
  <c r="P75" i="6" s="1"/>
  <c r="U75" i="6" s="1"/>
  <c r="P57" i="6"/>
  <c r="U57" i="6"/>
  <c r="P58" i="6"/>
  <c r="U58" i="6"/>
  <c r="P77" i="6" s="1"/>
  <c r="U77" i="6" s="1"/>
  <c r="A65" i="6"/>
  <c r="C65" i="6"/>
  <c r="F65" i="6"/>
  <c r="F82" i="6" s="1"/>
  <c r="J65" i="6"/>
  <c r="A66" i="6"/>
  <c r="C66" i="6"/>
  <c r="F66" i="6"/>
  <c r="F83" i="6" s="1"/>
  <c r="J66" i="6"/>
  <c r="A67" i="6"/>
  <c r="C67" i="6"/>
  <c r="F67" i="6"/>
  <c r="F84" i="6" s="1"/>
  <c r="J67" i="6"/>
  <c r="A68" i="6"/>
  <c r="C68" i="6"/>
  <c r="F68" i="6"/>
  <c r="J68" i="6"/>
  <c r="A69" i="6"/>
  <c r="C69" i="6"/>
  <c r="F69" i="6"/>
  <c r="J69" i="6"/>
  <c r="P69" i="6"/>
  <c r="U69" i="6"/>
  <c r="A70" i="6"/>
  <c r="C70" i="6"/>
  <c r="F70" i="6"/>
  <c r="J70" i="6"/>
  <c r="A71" i="6"/>
  <c r="C71" i="6"/>
  <c r="F71" i="6"/>
  <c r="J71" i="6"/>
  <c r="A72" i="6"/>
  <c r="C72" i="6"/>
  <c r="F72" i="6"/>
  <c r="J72" i="6"/>
  <c r="A73" i="6"/>
  <c r="C73" i="6"/>
  <c r="F73" i="6"/>
  <c r="J73" i="6"/>
  <c r="P73" i="6"/>
  <c r="U73" i="6" s="1"/>
  <c r="A74" i="6"/>
  <c r="C74" i="6"/>
  <c r="F74" i="6"/>
  <c r="J74" i="6"/>
  <c r="A75" i="6"/>
  <c r="C75" i="6"/>
  <c r="F75" i="6"/>
  <c r="J75" i="6"/>
  <c r="A76" i="6"/>
  <c r="C76" i="6"/>
  <c r="F76" i="6"/>
  <c r="J76" i="6"/>
  <c r="P76" i="6"/>
  <c r="U76" i="6" s="1"/>
  <c r="A77" i="6"/>
  <c r="C77" i="6"/>
  <c r="F77" i="6"/>
  <c r="J77" i="6"/>
  <c r="F78" i="6"/>
  <c r="P78" i="6"/>
  <c r="U78" i="6"/>
  <c r="F79" i="6"/>
  <c r="P79" i="6"/>
  <c r="U79" i="6" s="1"/>
  <c r="F80" i="6"/>
  <c r="P80" i="6"/>
  <c r="U80" i="6"/>
  <c r="F81" i="6"/>
  <c r="P81" i="6"/>
  <c r="U81" i="6" s="1"/>
  <c r="A82" i="6"/>
  <c r="C82" i="6"/>
  <c r="J82" i="6"/>
  <c r="P82" i="6"/>
  <c r="U82" i="6" s="1"/>
  <c r="A83" i="6"/>
  <c r="C83" i="6"/>
  <c r="J83" i="6"/>
  <c r="P83" i="6"/>
  <c r="U83" i="6"/>
  <c r="A84" i="6"/>
  <c r="C84" i="6"/>
  <c r="J84" i="6"/>
  <c r="A85" i="6"/>
  <c r="C85" i="6"/>
  <c r="F85" i="6"/>
  <c r="J85" i="6"/>
  <c r="Z49" i="6" l="1"/>
  <c r="P70" i="6"/>
  <c r="U70" i="6" s="1"/>
  <c r="V20" i="6"/>
  <c r="AG49" i="6"/>
  <c r="P68" i="6"/>
  <c r="U68" i="6" s="1"/>
  <c r="V16" i="5"/>
  <c r="V17" i="5"/>
  <c r="Z19" i="5" s="1"/>
  <c r="V18" i="5"/>
  <c r="V19" i="5"/>
  <c r="I20" i="5"/>
  <c r="O20" i="5"/>
  <c r="V20" i="5"/>
  <c r="G26" i="5"/>
  <c r="N41" i="5"/>
  <c r="V41" i="5"/>
  <c r="AD47" i="5"/>
  <c r="AD48" i="5" s="1"/>
  <c r="AE47" i="5"/>
  <c r="AE48" i="5" s="1"/>
  <c r="P48" i="5"/>
  <c r="U48" i="5"/>
  <c r="P65" i="5" s="1"/>
  <c r="U65" i="5" s="1"/>
  <c r="P84" i="5" s="1"/>
  <c r="U84" i="5" s="1"/>
  <c r="P49" i="5"/>
  <c r="U49" i="5"/>
  <c r="P66" i="5" s="1"/>
  <c r="U66" i="5" s="1"/>
  <c r="P85" i="5" s="1"/>
  <c r="U85" i="5" s="1"/>
  <c r="AC49" i="5"/>
  <c r="AD49" i="5"/>
  <c r="AE49" i="5"/>
  <c r="P50" i="5"/>
  <c r="U50" i="5"/>
  <c r="P67" i="5" s="1"/>
  <c r="U67" i="5" s="1"/>
  <c r="P51" i="5"/>
  <c r="U51" i="5"/>
  <c r="P52" i="5"/>
  <c r="U52" i="5"/>
  <c r="P69" i="5" s="1"/>
  <c r="U69" i="5" s="1"/>
  <c r="P53" i="5"/>
  <c r="U53" i="5"/>
  <c r="P72" i="5" s="1"/>
  <c r="U72" i="5" s="1"/>
  <c r="P54" i="5"/>
  <c r="U54" i="5"/>
  <c r="P55" i="5"/>
  <c r="U55" i="5"/>
  <c r="P56" i="5"/>
  <c r="U56" i="5"/>
  <c r="P57" i="5"/>
  <c r="U57" i="5"/>
  <c r="P58" i="5"/>
  <c r="U58" i="5"/>
  <c r="A65" i="5"/>
  <c r="C65" i="5"/>
  <c r="F65" i="5"/>
  <c r="F82" i="5" s="1"/>
  <c r="J65" i="5"/>
  <c r="A66" i="5"/>
  <c r="C66" i="5"/>
  <c r="F66" i="5"/>
  <c r="J66" i="5"/>
  <c r="A67" i="5"/>
  <c r="C67" i="5"/>
  <c r="F67" i="5"/>
  <c r="F84" i="5" s="1"/>
  <c r="J67" i="5"/>
  <c r="A68" i="5"/>
  <c r="C68" i="5"/>
  <c r="F68" i="5"/>
  <c r="F85" i="5" s="1"/>
  <c r="J68" i="5"/>
  <c r="P68" i="5"/>
  <c r="U68" i="5" s="1"/>
  <c r="A69" i="5"/>
  <c r="C69" i="5"/>
  <c r="F69" i="5"/>
  <c r="J69" i="5"/>
  <c r="A70" i="5"/>
  <c r="C70" i="5"/>
  <c r="F70" i="5"/>
  <c r="J70" i="5"/>
  <c r="A71" i="5"/>
  <c r="C71" i="5"/>
  <c r="F71" i="5"/>
  <c r="J71" i="5"/>
  <c r="P71" i="5"/>
  <c r="U71" i="5" s="1"/>
  <c r="A72" i="5"/>
  <c r="C72" i="5"/>
  <c r="F72" i="5"/>
  <c r="J72" i="5"/>
  <c r="A73" i="5"/>
  <c r="C73" i="5"/>
  <c r="F73" i="5"/>
  <c r="J73" i="5"/>
  <c r="P73" i="5"/>
  <c r="U73" i="5" s="1"/>
  <c r="A74" i="5"/>
  <c r="C74" i="5"/>
  <c r="F74" i="5"/>
  <c r="J74" i="5"/>
  <c r="P74" i="5"/>
  <c r="U74" i="5" s="1"/>
  <c r="A75" i="5"/>
  <c r="C75" i="5"/>
  <c r="F75" i="5"/>
  <c r="J75" i="5"/>
  <c r="P75" i="5"/>
  <c r="U75" i="5" s="1"/>
  <c r="A76" i="5"/>
  <c r="C76" i="5"/>
  <c r="F76" i="5"/>
  <c r="J76" i="5"/>
  <c r="P76" i="5"/>
  <c r="U76" i="5" s="1"/>
  <c r="A77" i="5"/>
  <c r="C77" i="5"/>
  <c r="F77" i="5"/>
  <c r="J77" i="5"/>
  <c r="P77" i="5"/>
  <c r="U77" i="5" s="1"/>
  <c r="F78" i="5"/>
  <c r="P78" i="5"/>
  <c r="U78" i="5"/>
  <c r="F79" i="5"/>
  <c r="P79" i="5"/>
  <c r="U79" i="5" s="1"/>
  <c r="F80" i="5"/>
  <c r="P80" i="5"/>
  <c r="U80" i="5" s="1"/>
  <c r="F81" i="5"/>
  <c r="P81" i="5"/>
  <c r="U81" i="5" s="1"/>
  <c r="A82" i="5"/>
  <c r="C82" i="5"/>
  <c r="J82" i="5"/>
  <c r="P82" i="5"/>
  <c r="U82" i="5" s="1"/>
  <c r="A83" i="5"/>
  <c r="C83" i="5"/>
  <c r="F83" i="5"/>
  <c r="J83" i="5"/>
  <c r="P83" i="5"/>
  <c r="U83" i="5" s="1"/>
  <c r="A84" i="5"/>
  <c r="C84" i="5"/>
  <c r="J84" i="5"/>
  <c r="A85" i="5"/>
  <c r="C85" i="5"/>
  <c r="J85" i="5"/>
  <c r="P70" i="5" l="1"/>
  <c r="U70" i="5" s="1"/>
  <c r="Z51" i="5"/>
  <c r="AA54" i="4"/>
  <c r="Z64" i="4"/>
  <c r="AC54" i="4"/>
  <c r="AB54" i="4"/>
  <c r="AA53" i="4"/>
  <c r="AA51" i="4"/>
  <c r="AA50" i="4"/>
  <c r="AC52" i="4"/>
  <c r="AB52" i="4"/>
  <c r="AA52" i="4"/>
  <c r="Z55" i="3"/>
  <c r="AA53" i="3"/>
  <c r="AA52" i="3"/>
  <c r="AC51" i="3"/>
  <c r="AA51" i="3"/>
  <c r="AB51" i="3" s="1"/>
  <c r="AC50" i="3"/>
  <c r="AA50" i="3"/>
  <c r="AB50" i="3"/>
  <c r="Z56" i="2"/>
  <c r="AA54" i="2"/>
  <c r="AA52" i="2"/>
  <c r="AA51" i="2"/>
  <c r="U55" i="2"/>
  <c r="AC53" i="2"/>
  <c r="AC50" i="2"/>
  <c r="AA53" i="2"/>
  <c r="AB53" i="2" s="1"/>
  <c r="AB50" i="2"/>
  <c r="AA50" i="2"/>
  <c r="V42" i="2" l="1"/>
  <c r="N42" i="2"/>
  <c r="U50" i="2" l="1"/>
  <c r="U49" i="2"/>
  <c r="V42" i="1" l="1"/>
  <c r="N42" i="1"/>
  <c r="O20" i="3" l="1"/>
  <c r="J89" i="4"/>
  <c r="C89" i="4"/>
  <c r="A89" i="4"/>
  <c r="J88" i="4"/>
  <c r="C88" i="4"/>
  <c r="A88" i="4"/>
  <c r="P87" i="4"/>
  <c r="U87" i="4" s="1"/>
  <c r="J87" i="4"/>
  <c r="C87" i="4"/>
  <c r="A87" i="4"/>
  <c r="P86" i="4"/>
  <c r="U86" i="4" s="1"/>
  <c r="J86" i="4"/>
  <c r="C86" i="4"/>
  <c r="A86" i="4"/>
  <c r="U85" i="4"/>
  <c r="P85" i="4"/>
  <c r="P84" i="4"/>
  <c r="U84" i="4" s="1"/>
  <c r="P83" i="4"/>
  <c r="U83" i="4" s="1"/>
  <c r="P82" i="4"/>
  <c r="U82" i="4" s="1"/>
  <c r="J81" i="4"/>
  <c r="F81" i="4"/>
  <c r="C81" i="4"/>
  <c r="A81" i="4"/>
  <c r="J80" i="4"/>
  <c r="F80" i="4"/>
  <c r="C80" i="4"/>
  <c r="A80" i="4"/>
  <c r="J79" i="4"/>
  <c r="F79" i="4"/>
  <c r="C79" i="4"/>
  <c r="A79" i="4"/>
  <c r="J78" i="4"/>
  <c r="F78" i="4"/>
  <c r="C78" i="4"/>
  <c r="A78" i="4"/>
  <c r="J77" i="4"/>
  <c r="F77" i="4"/>
  <c r="C77" i="4"/>
  <c r="A77" i="4"/>
  <c r="J76" i="4"/>
  <c r="F76" i="4"/>
  <c r="C76" i="4"/>
  <c r="A76" i="4"/>
  <c r="J75" i="4"/>
  <c r="F75" i="4"/>
  <c r="C75" i="4"/>
  <c r="A75" i="4"/>
  <c r="J74" i="4"/>
  <c r="F74" i="4"/>
  <c r="C74" i="4"/>
  <c r="A74" i="4"/>
  <c r="J73" i="4"/>
  <c r="F73" i="4"/>
  <c r="C73" i="4"/>
  <c r="A73" i="4"/>
  <c r="J72" i="4"/>
  <c r="F72" i="4"/>
  <c r="C72" i="4"/>
  <c r="A72" i="4"/>
  <c r="J71" i="4"/>
  <c r="F71" i="4"/>
  <c r="C71" i="4"/>
  <c r="A71" i="4"/>
  <c r="J70" i="4"/>
  <c r="F70" i="4"/>
  <c r="C70" i="4"/>
  <c r="A70" i="4"/>
  <c r="J69" i="4"/>
  <c r="F69" i="4"/>
  <c r="C69" i="4"/>
  <c r="A69" i="4"/>
  <c r="U62" i="4"/>
  <c r="P81" i="4" s="1"/>
  <c r="U81" i="4" s="1"/>
  <c r="P62" i="4"/>
  <c r="U61" i="4"/>
  <c r="P80" i="4" s="1"/>
  <c r="U80" i="4" s="1"/>
  <c r="P61" i="4"/>
  <c r="U60" i="4"/>
  <c r="P79" i="4" s="1"/>
  <c r="U79" i="4" s="1"/>
  <c r="P60" i="4"/>
  <c r="U59" i="4"/>
  <c r="P78" i="4" s="1"/>
  <c r="U78" i="4" s="1"/>
  <c r="P59" i="4"/>
  <c r="U58" i="4"/>
  <c r="P77" i="4" s="1"/>
  <c r="U77" i="4" s="1"/>
  <c r="P58" i="4"/>
  <c r="U57" i="4"/>
  <c r="P76" i="4" s="1"/>
  <c r="U76" i="4" s="1"/>
  <c r="P57" i="4"/>
  <c r="U56" i="4"/>
  <c r="P75" i="4" s="1"/>
  <c r="U75" i="4" s="1"/>
  <c r="P56" i="4"/>
  <c r="U55" i="4"/>
  <c r="P55" i="4"/>
  <c r="U54" i="4"/>
  <c r="P73" i="4" s="1"/>
  <c r="U73" i="4" s="1"/>
  <c r="P54" i="4"/>
  <c r="U53" i="4"/>
  <c r="P72" i="4" s="1"/>
  <c r="U72" i="4" s="1"/>
  <c r="P53" i="4"/>
  <c r="U52" i="4"/>
  <c r="P71" i="4" s="1"/>
  <c r="U71" i="4" s="1"/>
  <c r="P52" i="4"/>
  <c r="U51" i="4"/>
  <c r="P70" i="4" s="1"/>
  <c r="U70" i="4" s="1"/>
  <c r="P89" i="4" s="1"/>
  <c r="U89" i="4" s="1"/>
  <c r="P51" i="4"/>
  <c r="U50" i="4"/>
  <c r="P69" i="4" s="1"/>
  <c r="U69" i="4" s="1"/>
  <c r="P88" i="4" s="1"/>
  <c r="U88" i="4" s="1"/>
  <c r="P50" i="4"/>
  <c r="V43" i="4"/>
  <c r="N43" i="4"/>
  <c r="Z37" i="4"/>
  <c r="AA30" i="4"/>
  <c r="O20" i="4"/>
  <c r="I20" i="4"/>
  <c r="V19" i="4"/>
  <c r="V18" i="4"/>
  <c r="V17" i="4"/>
  <c r="V16" i="4"/>
  <c r="J87" i="3"/>
  <c r="C87" i="3"/>
  <c r="A87" i="3"/>
  <c r="J86" i="3"/>
  <c r="C86" i="3"/>
  <c r="A86" i="3"/>
  <c r="P85" i="3"/>
  <c r="U85" i="3" s="1"/>
  <c r="J85" i="3"/>
  <c r="C85" i="3"/>
  <c r="A85" i="3"/>
  <c r="U84" i="3"/>
  <c r="P84" i="3"/>
  <c r="J84" i="3"/>
  <c r="C84" i="3"/>
  <c r="A84" i="3"/>
  <c r="P83" i="3"/>
  <c r="U83" i="3" s="1"/>
  <c r="P82" i="3"/>
  <c r="U82" i="3" s="1"/>
  <c r="P81" i="3"/>
  <c r="U81" i="3" s="1"/>
  <c r="P80" i="3"/>
  <c r="U80" i="3" s="1"/>
  <c r="J79" i="3"/>
  <c r="F79" i="3"/>
  <c r="C79" i="3"/>
  <c r="A79" i="3"/>
  <c r="J78" i="3"/>
  <c r="F78" i="3"/>
  <c r="C78" i="3"/>
  <c r="A78" i="3"/>
  <c r="J77" i="3"/>
  <c r="F77" i="3"/>
  <c r="C77" i="3"/>
  <c r="A77" i="3"/>
  <c r="J76" i="3"/>
  <c r="F76" i="3"/>
  <c r="C76" i="3"/>
  <c r="A76" i="3"/>
  <c r="J75" i="3"/>
  <c r="F75" i="3"/>
  <c r="C75" i="3"/>
  <c r="A75" i="3"/>
  <c r="J74" i="3"/>
  <c r="F74" i="3"/>
  <c r="C74" i="3"/>
  <c r="A74" i="3"/>
  <c r="J73" i="3"/>
  <c r="F73" i="3"/>
  <c r="C73" i="3"/>
  <c r="A73" i="3"/>
  <c r="J72" i="3"/>
  <c r="F72" i="3"/>
  <c r="C72" i="3"/>
  <c r="A72" i="3"/>
  <c r="J71" i="3"/>
  <c r="F71" i="3"/>
  <c r="C71" i="3"/>
  <c r="A71" i="3"/>
  <c r="J70" i="3"/>
  <c r="F70" i="3"/>
  <c r="C70" i="3"/>
  <c r="A70" i="3"/>
  <c r="J69" i="3"/>
  <c r="F69" i="3"/>
  <c r="C69" i="3"/>
  <c r="A69" i="3"/>
  <c r="J68" i="3"/>
  <c r="F68" i="3"/>
  <c r="C68" i="3"/>
  <c r="A68" i="3"/>
  <c r="U61" i="3"/>
  <c r="P79" i="3" s="1"/>
  <c r="U79" i="3" s="1"/>
  <c r="P61" i="3"/>
  <c r="U60" i="3"/>
  <c r="P78" i="3" s="1"/>
  <c r="U78" i="3" s="1"/>
  <c r="P60" i="3"/>
  <c r="U59" i="3"/>
  <c r="P77" i="3" s="1"/>
  <c r="U77" i="3" s="1"/>
  <c r="P59" i="3"/>
  <c r="U58" i="3"/>
  <c r="P76" i="3" s="1"/>
  <c r="U76" i="3" s="1"/>
  <c r="P58" i="3"/>
  <c r="U57" i="3"/>
  <c r="P75" i="3" s="1"/>
  <c r="U75" i="3" s="1"/>
  <c r="P57" i="3"/>
  <c r="U56" i="3"/>
  <c r="P74" i="3" s="1"/>
  <c r="U74" i="3" s="1"/>
  <c r="P56" i="3"/>
  <c r="U55" i="3"/>
  <c r="P55" i="3"/>
  <c r="U54" i="3"/>
  <c r="P72" i="3" s="1"/>
  <c r="U72" i="3" s="1"/>
  <c r="P54" i="3"/>
  <c r="U53" i="3"/>
  <c r="P71" i="3" s="1"/>
  <c r="U71" i="3" s="1"/>
  <c r="P53" i="3"/>
  <c r="U52" i="3"/>
  <c r="P70" i="3" s="1"/>
  <c r="U70" i="3" s="1"/>
  <c r="P52" i="3"/>
  <c r="U51" i="3"/>
  <c r="P69" i="3" s="1"/>
  <c r="U69" i="3" s="1"/>
  <c r="P87" i="3" s="1"/>
  <c r="U87" i="3" s="1"/>
  <c r="P51" i="3"/>
  <c r="U50" i="3"/>
  <c r="P68" i="3" s="1"/>
  <c r="U68" i="3" s="1"/>
  <c r="P86" i="3" s="1"/>
  <c r="U86" i="3" s="1"/>
  <c r="P50" i="3"/>
  <c r="V43" i="3"/>
  <c r="N43" i="3"/>
  <c r="Z37" i="3"/>
  <c r="AA30" i="3"/>
  <c r="I20" i="3"/>
  <c r="V19" i="3"/>
  <c r="V18" i="3"/>
  <c r="V17" i="3"/>
  <c r="V16" i="3"/>
  <c r="J100" i="2"/>
  <c r="C100" i="2"/>
  <c r="A100" i="2"/>
  <c r="J99" i="2"/>
  <c r="C99" i="2"/>
  <c r="A99" i="2"/>
  <c r="P98" i="2"/>
  <c r="U98" i="2" s="1"/>
  <c r="J98" i="2"/>
  <c r="C98" i="2"/>
  <c r="A98" i="2"/>
  <c r="P97" i="2"/>
  <c r="U97" i="2" s="1"/>
  <c r="J97" i="2"/>
  <c r="C97" i="2"/>
  <c r="A97" i="2"/>
  <c r="P96" i="2"/>
  <c r="U96" i="2" s="1"/>
  <c r="P95" i="2"/>
  <c r="U95" i="2" s="1"/>
  <c r="P94" i="2"/>
  <c r="U94" i="2" s="1"/>
  <c r="P93" i="2"/>
  <c r="U93" i="2" s="1"/>
  <c r="J92" i="2"/>
  <c r="F92" i="2"/>
  <c r="C92" i="2"/>
  <c r="A92" i="2"/>
  <c r="J91" i="2"/>
  <c r="F91" i="2"/>
  <c r="C91" i="2"/>
  <c r="A91" i="2"/>
  <c r="J90" i="2"/>
  <c r="F90" i="2"/>
  <c r="C90" i="2"/>
  <c r="A90" i="2"/>
  <c r="J89" i="2"/>
  <c r="F89" i="2"/>
  <c r="C89" i="2"/>
  <c r="A89" i="2"/>
  <c r="J88" i="2"/>
  <c r="F88" i="2"/>
  <c r="C88" i="2"/>
  <c r="A88" i="2"/>
  <c r="J87" i="2"/>
  <c r="F87" i="2"/>
  <c r="C87" i="2"/>
  <c r="A87" i="2"/>
  <c r="J86" i="2"/>
  <c r="F86" i="2"/>
  <c r="C86" i="2"/>
  <c r="A86" i="2"/>
  <c r="J85" i="2"/>
  <c r="F85" i="2"/>
  <c r="C85" i="2"/>
  <c r="A85" i="2"/>
  <c r="J84" i="2"/>
  <c r="F84" i="2"/>
  <c r="C84" i="2"/>
  <c r="A84" i="2"/>
  <c r="J83" i="2"/>
  <c r="F83" i="2"/>
  <c r="C83" i="2"/>
  <c r="A83" i="2"/>
  <c r="J82" i="2"/>
  <c r="F82" i="2"/>
  <c r="C82" i="2"/>
  <c r="A82" i="2"/>
  <c r="J81" i="2"/>
  <c r="F81" i="2"/>
  <c r="C81" i="2"/>
  <c r="A81" i="2"/>
  <c r="J80" i="2"/>
  <c r="F80" i="2"/>
  <c r="C80" i="2"/>
  <c r="A80" i="2"/>
  <c r="J79" i="2"/>
  <c r="F79" i="2"/>
  <c r="C79" i="2"/>
  <c r="A79" i="2"/>
  <c r="J78" i="2"/>
  <c r="F78" i="2"/>
  <c r="C78" i="2"/>
  <c r="A78" i="2"/>
  <c r="J77" i="2"/>
  <c r="F77" i="2"/>
  <c r="C77" i="2"/>
  <c r="A77" i="2"/>
  <c r="J76" i="2"/>
  <c r="F76" i="2"/>
  <c r="C76" i="2"/>
  <c r="A76" i="2"/>
  <c r="J75" i="2"/>
  <c r="F75" i="2"/>
  <c r="C75" i="2"/>
  <c r="A75" i="2"/>
  <c r="J74" i="2"/>
  <c r="F74" i="2"/>
  <c r="C74" i="2"/>
  <c r="A74" i="2"/>
  <c r="U67" i="2"/>
  <c r="P92" i="2" s="1"/>
  <c r="U92" i="2" s="1"/>
  <c r="P67" i="2"/>
  <c r="U66" i="2"/>
  <c r="P91" i="2" s="1"/>
  <c r="U91" i="2" s="1"/>
  <c r="P66" i="2"/>
  <c r="U65" i="2"/>
  <c r="P90" i="2" s="1"/>
  <c r="U90" i="2" s="1"/>
  <c r="P65" i="2"/>
  <c r="U64" i="2"/>
  <c r="P89" i="2" s="1"/>
  <c r="U89" i="2" s="1"/>
  <c r="P64" i="2"/>
  <c r="U63" i="2"/>
  <c r="P88" i="2" s="1"/>
  <c r="U88" i="2" s="1"/>
  <c r="P63" i="2"/>
  <c r="U62" i="2"/>
  <c r="P87" i="2" s="1"/>
  <c r="U87" i="2" s="1"/>
  <c r="P62" i="2"/>
  <c r="U61" i="2"/>
  <c r="P86" i="2" s="1"/>
  <c r="U86" i="2" s="1"/>
  <c r="P61" i="2"/>
  <c r="AA60" i="2"/>
  <c r="U60" i="2"/>
  <c r="P85" i="2" s="1"/>
  <c r="U85" i="2" s="1"/>
  <c r="P60" i="2"/>
  <c r="U59" i="2"/>
  <c r="P84" i="2" s="1"/>
  <c r="U84" i="2" s="1"/>
  <c r="P59" i="2"/>
  <c r="U58" i="2"/>
  <c r="P83" i="2" s="1"/>
  <c r="U83" i="2" s="1"/>
  <c r="P58" i="2"/>
  <c r="U57" i="2"/>
  <c r="P82" i="2" s="1"/>
  <c r="U82" i="2" s="1"/>
  <c r="P57" i="2"/>
  <c r="U56" i="2"/>
  <c r="P81" i="2" s="1"/>
  <c r="U81" i="2" s="1"/>
  <c r="P56" i="2"/>
  <c r="P80" i="2"/>
  <c r="U80" i="2" s="1"/>
  <c r="P55" i="2"/>
  <c r="U54" i="2"/>
  <c r="P79" i="2" s="1"/>
  <c r="U79" i="2" s="1"/>
  <c r="P54" i="2"/>
  <c r="U53" i="2"/>
  <c r="P78" i="2" s="1"/>
  <c r="U78" i="2" s="1"/>
  <c r="P53" i="2"/>
  <c r="U52" i="2"/>
  <c r="P77" i="2" s="1"/>
  <c r="U77" i="2" s="1"/>
  <c r="P52" i="2"/>
  <c r="U51" i="2"/>
  <c r="P51" i="2"/>
  <c r="P75" i="2"/>
  <c r="U75" i="2" s="1"/>
  <c r="P100" i="2" s="1"/>
  <c r="U100" i="2" s="1"/>
  <c r="P50" i="2"/>
  <c r="P74" i="2"/>
  <c r="U74" i="2" s="1"/>
  <c r="P99" i="2" s="1"/>
  <c r="U99" i="2" s="1"/>
  <c r="P49" i="2"/>
  <c r="Z37" i="2"/>
  <c r="AA30" i="2"/>
  <c r="O20" i="2"/>
  <c r="I20" i="2"/>
  <c r="V19" i="2"/>
  <c r="V18" i="2"/>
  <c r="V17" i="2"/>
  <c r="V16" i="2"/>
  <c r="Z43" i="4" l="1"/>
  <c r="P76" i="2"/>
  <c r="U76" i="2" s="1"/>
  <c r="Z68" i="2"/>
  <c r="P74" i="4"/>
  <c r="U74" i="4" s="1"/>
  <c r="Z65" i="4"/>
  <c r="P73" i="3"/>
  <c r="U73" i="3" s="1"/>
  <c r="Z64" i="3"/>
  <c r="V20" i="3"/>
  <c r="Z19" i="4"/>
  <c r="V20" i="4"/>
  <c r="Z43" i="3"/>
  <c r="Z19" i="3"/>
  <c r="V20" i="2"/>
  <c r="Z19" i="2"/>
  <c r="J100" i="1"/>
  <c r="C100" i="1"/>
  <c r="A100" i="1"/>
  <c r="J99" i="1"/>
  <c r="C99" i="1"/>
  <c r="A99" i="1"/>
  <c r="P98" i="1"/>
  <c r="U98" i="1" s="1"/>
  <c r="J98" i="1"/>
  <c r="C98" i="1"/>
  <c r="A98" i="1"/>
  <c r="P97" i="1"/>
  <c r="U97" i="1" s="1"/>
  <c r="J97" i="1"/>
  <c r="C97" i="1"/>
  <c r="A97" i="1"/>
  <c r="P96" i="1"/>
  <c r="U96" i="1" s="1"/>
  <c r="P95" i="1"/>
  <c r="U95" i="1" s="1"/>
  <c r="P94" i="1"/>
  <c r="U94" i="1" s="1"/>
  <c r="P93" i="1"/>
  <c r="U93" i="1" s="1"/>
  <c r="J92" i="1"/>
  <c r="F92" i="1"/>
  <c r="C92" i="1"/>
  <c r="A92" i="1"/>
  <c r="J91" i="1"/>
  <c r="F91" i="1"/>
  <c r="C91" i="1"/>
  <c r="A91" i="1"/>
  <c r="J90" i="1"/>
  <c r="F90" i="1"/>
  <c r="C90" i="1"/>
  <c r="A90" i="1"/>
  <c r="J89" i="1"/>
  <c r="F89" i="1"/>
  <c r="C89" i="1"/>
  <c r="A89" i="1"/>
  <c r="J88" i="1"/>
  <c r="F88" i="1"/>
  <c r="C88" i="1"/>
  <c r="A88" i="1"/>
  <c r="J87" i="1"/>
  <c r="F87" i="1"/>
  <c r="C87" i="1"/>
  <c r="A87" i="1"/>
  <c r="J86" i="1"/>
  <c r="F86" i="1"/>
  <c r="C86" i="1"/>
  <c r="A86" i="1"/>
  <c r="J85" i="1"/>
  <c r="F85" i="1"/>
  <c r="C85" i="1"/>
  <c r="A85" i="1"/>
  <c r="J84" i="1"/>
  <c r="F84" i="1"/>
  <c r="C84" i="1"/>
  <c r="A84" i="1"/>
  <c r="J83" i="1"/>
  <c r="F83" i="1"/>
  <c r="C83" i="1"/>
  <c r="A83" i="1"/>
  <c r="J82" i="1"/>
  <c r="F82" i="1"/>
  <c r="C82" i="1"/>
  <c r="A82" i="1"/>
  <c r="J81" i="1"/>
  <c r="F81" i="1"/>
  <c r="C81" i="1"/>
  <c r="A81" i="1"/>
  <c r="J80" i="1"/>
  <c r="F80" i="1"/>
  <c r="C80" i="1"/>
  <c r="A80" i="1"/>
  <c r="J79" i="1"/>
  <c r="F79" i="1"/>
  <c r="C79" i="1"/>
  <c r="A79" i="1"/>
  <c r="J78" i="1"/>
  <c r="F78" i="1"/>
  <c r="C78" i="1"/>
  <c r="A78" i="1"/>
  <c r="J77" i="1"/>
  <c r="F77" i="1"/>
  <c r="C77" i="1"/>
  <c r="A77" i="1"/>
  <c r="J76" i="1"/>
  <c r="F76" i="1"/>
  <c r="C76" i="1"/>
  <c r="A76" i="1"/>
  <c r="J75" i="1"/>
  <c r="F75" i="1"/>
  <c r="J74" i="1"/>
  <c r="F74" i="1"/>
  <c r="U67" i="1"/>
  <c r="P92" i="1" s="1"/>
  <c r="U92" i="1" s="1"/>
  <c r="P67" i="1"/>
  <c r="U66" i="1"/>
  <c r="P91" i="1" s="1"/>
  <c r="U91" i="1" s="1"/>
  <c r="P66" i="1"/>
  <c r="U65" i="1"/>
  <c r="P90" i="1" s="1"/>
  <c r="U90" i="1" s="1"/>
  <c r="P65" i="1"/>
  <c r="U64" i="1"/>
  <c r="P89" i="1" s="1"/>
  <c r="U89" i="1" s="1"/>
  <c r="P64" i="1"/>
  <c r="U63" i="1"/>
  <c r="P88" i="1" s="1"/>
  <c r="U88" i="1" s="1"/>
  <c r="P63" i="1"/>
  <c r="U62" i="1"/>
  <c r="P87" i="1" s="1"/>
  <c r="U87" i="1" s="1"/>
  <c r="P62" i="1"/>
  <c r="U61" i="1"/>
  <c r="P86" i="1" s="1"/>
  <c r="U86" i="1" s="1"/>
  <c r="P61" i="1"/>
  <c r="AA60" i="1"/>
  <c r="U60" i="1"/>
  <c r="P85" i="1" s="1"/>
  <c r="U85" i="1" s="1"/>
  <c r="P60" i="1"/>
  <c r="U59" i="1"/>
  <c r="P84" i="1" s="1"/>
  <c r="U84" i="1" s="1"/>
  <c r="P59" i="1"/>
  <c r="U58" i="1"/>
  <c r="P83" i="1" s="1"/>
  <c r="U83" i="1" s="1"/>
  <c r="P58" i="1"/>
  <c r="U57" i="1"/>
  <c r="P82" i="1" s="1"/>
  <c r="U82" i="1" s="1"/>
  <c r="P57" i="1"/>
  <c r="U56" i="1"/>
  <c r="P81" i="1" s="1"/>
  <c r="U81" i="1" s="1"/>
  <c r="P56" i="1"/>
  <c r="U55" i="1"/>
  <c r="P80" i="1" s="1"/>
  <c r="U80" i="1" s="1"/>
  <c r="P55" i="1"/>
  <c r="U54" i="1"/>
  <c r="P79" i="1" s="1"/>
  <c r="U79" i="1" s="1"/>
  <c r="P54" i="1"/>
  <c r="U53" i="1"/>
  <c r="P78" i="1" s="1"/>
  <c r="U78" i="1" s="1"/>
  <c r="P53" i="1"/>
  <c r="U52" i="1"/>
  <c r="P77" i="1" s="1"/>
  <c r="U77" i="1" s="1"/>
  <c r="P52" i="1"/>
  <c r="U51" i="1"/>
  <c r="P76" i="1" s="1"/>
  <c r="U76" i="1" s="1"/>
  <c r="P51" i="1"/>
  <c r="U50" i="1"/>
  <c r="P75" i="1" s="1"/>
  <c r="U75" i="1" s="1"/>
  <c r="P100" i="1" s="1"/>
  <c r="U100" i="1" s="1"/>
  <c r="P50" i="1"/>
  <c r="U49" i="1"/>
  <c r="P74" i="1" s="1"/>
  <c r="U74" i="1" s="1"/>
  <c r="P99" i="1" s="1"/>
  <c r="U99" i="1" s="1"/>
  <c r="P49" i="1"/>
  <c r="Z37" i="1"/>
  <c r="AA30" i="1"/>
  <c r="O20" i="1"/>
  <c r="I20" i="1"/>
  <c r="V19" i="1"/>
  <c r="Z42" i="1" s="1"/>
  <c r="V18" i="1"/>
  <c r="V17" i="1"/>
  <c r="V16" i="1"/>
  <c r="V20" i="1" l="1"/>
  <c r="Z19" i="1"/>
  <c r="Z42" i="2" l="1"/>
</calcChain>
</file>

<file path=xl/sharedStrings.xml><?xml version="1.0" encoding="utf-8"?>
<sst xmlns="http://schemas.openxmlformats.org/spreadsheetml/2006/main" count="2571" uniqueCount="158">
  <si>
    <t>ព្រះរាជាណាចក្រកម្ពុជា</t>
  </si>
  <si>
    <t>ជាតិ​ សាសនា ព្រះមហាក្សត្រ</t>
  </si>
  <si>
    <t>ក្រសួងពាណិជ្ជកម្ម</t>
  </si>
  <si>
    <t>អគ្គនាយកដ្ឋានសេវាពាណិជ្ជកម្ម</t>
  </si>
  <si>
    <t>នាយកដ្ឋាននាំចេញ-នាំចូល</t>
  </si>
  <si>
    <t>របាយការណ៍</t>
  </si>
  <si>
    <t>ស្តីពី</t>
  </si>
  <si>
    <t>ការវាយតម្លៃសមត្ថភាពផលិត បទដ្ឋានផលិត និងបំរែបំរួលសង្វាក់ផលិតកម្មប្រចាំខែ​ មករា​​ ឆ្នាំ​ ២០២៦</t>
  </si>
  <si>
    <r>
      <rPr>
        <sz val="11"/>
        <rFont val="Khmer OS System"/>
      </rPr>
      <t>១) ឈ្មោះរោងចក្រ</t>
    </r>
    <r>
      <rPr>
        <sz val="11"/>
        <rFont val="Khmer OS Siemreap"/>
      </rPr>
      <t xml:space="preserve">  </t>
    </r>
  </si>
  <si>
    <t xml:space="preserve">មានទីតាំងនៅ </t>
  </si>
  <si>
    <t xml:space="preserve">២) លេខទូរស័ព្ទ  </t>
  </si>
  <si>
    <r>
      <t xml:space="preserve">៣) លេខ និងកាលបរិច្ឆេទចុះបញ្ជី </t>
    </r>
    <r>
      <rPr>
        <sz val="9"/>
        <rFont val="Khmer OS Siemreap"/>
      </rPr>
      <t xml:space="preserve">: </t>
    </r>
    <r>
      <rPr>
        <sz val="9"/>
        <color indexed="10"/>
        <rFont val="Khmer OS System"/>
      </rPr>
      <t/>
    </r>
  </si>
  <si>
    <t>Date:</t>
  </si>
  <si>
    <t>៤) សមត្ថភាពការងារ</t>
  </si>
  <si>
    <t>：</t>
  </si>
  <si>
    <t>- បុគ្គលិកបរទេស</t>
  </si>
  <si>
    <t>ប្រុស</t>
  </si>
  <si>
    <t>នាក់</t>
  </si>
  <si>
    <t>ស្រី</t>
  </si>
  <si>
    <t>សរុប</t>
  </si>
  <si>
    <t>- បុគ្គលិកខ្មែរ</t>
  </si>
  <si>
    <t>- កម្មករដេរ</t>
  </si>
  <si>
    <t>- កម្មករផលិតកម្ម</t>
  </si>
  <si>
    <t>- កម្មករសរុប</t>
  </si>
  <si>
    <t>៥)ប្រាក់បៀវត្ស</t>
  </si>
  <si>
    <t>ដុល្លាអាមេរិក</t>
  </si>
  <si>
    <t>៦)ម៉ោងការងារ</t>
  </si>
  <si>
    <r>
      <t xml:space="preserve">+ ម៉ោងធ្វើការងារ </t>
    </r>
    <r>
      <rPr>
        <sz val="10"/>
        <color indexed="10"/>
        <rFont val="Khmer OS System"/>
      </rPr>
      <t/>
    </r>
  </si>
  <si>
    <t xml:space="preserve">ព្រឹក​ </t>
  </si>
  <si>
    <t>7:00AM-11:00AM,​ថ្ងៃ 12:00PM-4:00PM .</t>
  </si>
  <si>
    <t>ម៉ោងធ្វើការសរុបប្រចាំខែ​</t>
  </si>
  <si>
    <r>
      <t>+ ម៉ោងបន្ថែម.</t>
    </r>
    <r>
      <rPr>
        <sz val="10"/>
        <color indexed="10"/>
        <rFont val="Khmer OS System"/>
      </rPr>
      <t/>
    </r>
  </si>
  <si>
    <t>4:00PM-6:00PM</t>
  </si>
  <si>
    <t xml:space="preserve"> ថែមម៉ោងសរុបប្រចាំខែ​​​​​​​ </t>
  </si>
  <si>
    <t>៧) ប្រភេទវត្ថុធាតុដើមនាំចូលមាន</t>
  </si>
  <si>
    <t>+ ប្រភេទ</t>
  </si>
  <si>
    <t>WOVEN FABRIC, KNITTED FABRIC</t>
  </si>
  <si>
    <t>នាំមកពីប្រទេស:</t>
  </si>
  <si>
    <t>CHINA,</t>
  </si>
  <si>
    <t>TAIWAN</t>
  </si>
  <si>
    <t>៨)ទិសដៅនាំចេញៈ</t>
  </si>
  <si>
    <t>+ USA</t>
  </si>
  <si>
    <t>+ Category.</t>
  </si>
  <si>
    <t>340,</t>
  </si>
  <si>
    <t>347,</t>
  </si>
  <si>
    <t>341,</t>
  </si>
  <si>
    <t>348,</t>
  </si>
  <si>
    <t>.(សរសេរលេខ Cat ជាភាសារខ្មែរ)</t>
  </si>
  <si>
    <t>៩)មធ្យោបាយបំរើផលិតកម្មៈ</t>
  </si>
  <si>
    <t xml:space="preserve">+ តុកាត់​ </t>
  </si>
  <si>
    <t>(Cutting Table)</t>
  </si>
  <si>
    <t>តុ</t>
  </si>
  <si>
    <t>ដំណើរការ</t>
  </si>
  <si>
    <t>គ្រឿង</t>
  </si>
  <si>
    <t xml:space="preserve">+ ម៉ាស៊ីនកាត់​ </t>
  </si>
  <si>
    <t>(Cutting Machine)</t>
  </si>
  <si>
    <t xml:space="preserve">+ ម៉ាស៊ីនស្រេះ </t>
  </si>
  <si>
    <t>(Bartack sewing machine)</t>
  </si>
  <si>
    <t xml:space="preserve">+ ម៉ាស៊ីនដេរ </t>
  </si>
  <si>
    <t>(Sewing Machine)</t>
  </si>
  <si>
    <t xml:space="preserve">+ ម៉ាស៊ីនផុង </t>
  </si>
  <si>
    <t>(Over-lock Machine)</t>
  </si>
  <si>
    <t>+ ម៉ាស៊ីនដេរចង្កេះខោ</t>
  </si>
  <si>
    <t>(Waistband sewing machine)</t>
  </si>
  <si>
    <t xml:space="preserve">+ ម៉ាស៊ីនផ្សេងៗ </t>
  </si>
  <si>
    <t>(Other Machine)</t>
  </si>
  <si>
    <t>ចំនួនសរុប</t>
  </si>
  <si>
    <t>១០)ការវាយតម្លៃសមត្ថភាពផលិតកម្ម (Production Capacity)</t>
  </si>
  <si>
    <t>ប្រភេទផលិតផល</t>
  </si>
  <si>
    <t>ប្រភេទវត្ថុធាតុដើម</t>
  </si>
  <si>
    <t>សមត្ថភាពផលិត</t>
  </si>
  <si>
    <t>សរុបប្រចាំថ្ងៃ</t>
  </si>
  <si>
    <t>សរុបប្រចាំខែ</t>
  </si>
  <si>
    <t>Production Capacity</t>
  </si>
  <si>
    <t>Kind of Products</t>
  </si>
  <si>
    <t>Kind of Materails</t>
  </si>
  <si>
    <t>ម៉ោង</t>
  </si>
  <si>
    <t>ចំនួនផលិតផល</t>
  </si>
  <si>
    <t>Total Per Day
PCS</t>
  </si>
  <si>
    <t>Total Per Month</t>
  </si>
  <si>
    <t>Hour</t>
  </si>
  <si>
    <t>Quantity</t>
  </si>
  <si>
    <t>MEN</t>
  </si>
  <si>
    <t>WOVEN</t>
  </si>
  <si>
    <t xml:space="preserve">PANT </t>
  </si>
  <si>
    <t>SHORT</t>
  </si>
  <si>
    <t xml:space="preserve">SHIRT </t>
  </si>
  <si>
    <t>WOMEN</t>
  </si>
  <si>
    <t xml:space="preserve">KNITTED </t>
  </si>
  <si>
    <t>JECKET</t>
  </si>
  <si>
    <t>PANT</t>
  </si>
  <si>
    <t>SWEATER</t>
  </si>
  <si>
    <t>UNISEX</t>
  </si>
  <si>
    <t>VEST</t>
  </si>
  <si>
    <t>BELT</t>
  </si>
  <si>
    <t>១១)ការវាយតម្លៃលើបទដ្ឋានផលិតកម្ម (Production Norm)</t>
  </si>
  <si>
    <t>បទដ្ឋានផលិត</t>
  </si>
  <si>
    <t>ទម្ងន់សរុប</t>
  </si>
  <si>
    <t>Products Norm</t>
  </si>
  <si>
    <t>ទម្ងន់ក្នុង​មួយឡូតិ៍</t>
  </si>
  <si>
    <t>ទម្ងន់មួយឯកត្តា</t>
  </si>
  <si>
    <t>Total Quantity</t>
  </si>
  <si>
    <t>Total Weight</t>
  </si>
  <si>
    <t>A Dozen Weight</t>
  </si>
  <si>
    <t>A Unit Weight</t>
  </si>
  <si>
    <t>WOVEN FABRIC</t>
  </si>
  <si>
    <t>១២)សេចក្តីសន្និដ្ឋានៈ</t>
  </si>
  <si>
    <t>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</si>
  <si>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..............................................................................................................................................................................។</t>
  </si>
  <si>
    <t>ការចុះពិនិត្យវាយតម្លៃលទ្ធភាពផលិត និងបទដ្ឋានផលិតខាងលើ ពិតជាបានចុះផ្ទាល់ដល់រោងចក្រ និងបានជួបជាមួយ</t>
  </si>
  <si>
    <t>អាស្រ័យដូចបានជម្រាបខាងលើសូម ឯកឧត្តម ប្រធានមេត្តាជ្រាបជាពត៌មាន និងមតិណែនាំតាមការគួរ។</t>
  </si>
  <si>
    <t>ថ្ងៃទី...........ខែ.......  ឆ្នាំ  2026</t>
  </si>
  <si>
    <t>ថ្ងៃទី...........ខែ....... ..  ឆ្នាំ 2026</t>
  </si>
  <si>
    <t>អ្នកផ្តល់ពត៌មានពីរោងចក្រ</t>
  </si>
  <si>
    <t>មន្រ្តីសម្រង់ពត៌មាន</t>
  </si>
  <si>
    <t>ឯកភាព</t>
  </si>
  <si>
    <t>ថ្ងៃទី..........ខែ.....  ឆ្នាំ  2026</t>
  </si>
  <si>
    <t xml:space="preserve">JR APPAREL CO.,LTD </t>
  </si>
  <si>
    <t>LOM ROAD,KAOH KNOR PREAEK ROKA KANDAL STUENG</t>
  </si>
  <si>
    <t>​ KANDAL PROVINCE  CAMBODIA</t>
  </si>
  <si>
    <t>(855)​​ ៨៥​ ៤៤១ ៦២១  លេខទូរសារ</t>
  </si>
  <si>
    <t>GSP :INV.E.4606/GSP/MFN/2025</t>
  </si>
  <si>
    <t xml:space="preserve"> ឈ្មោះ LY HONGMEI ជា.Shipping ជាអ្នកផ្តល់ពត៌មានចូលរួមសហការណ៍ និងឯកភាពតាមរបាយការណ៍វាយតម្លៃរបស់មន្រ្តី  ។</t>
  </si>
  <si>
    <t>ការវាយតម្លៃសមត្ថភាពផលិត បទដ្ឋានផលិត និងបំរែបំរួលសង្វាក់ផលិតកម្មប្រចាំខែ កុម្ភៈ ឆ្នាំ​ ២០២៦</t>
  </si>
  <si>
    <t>ការវាយតម្លៃសមត្ថភាពផលិត បទដ្ឋានផលិត និងបំរែបំរួលសង្វាក់ផលិតកម្មប្រចាំខែ​ មីនា​​ ឆ្នាំ​ ២០២៦</t>
  </si>
  <si>
    <t>ការវាយតម្លៃសមត្ថភាពផលិត បទដ្ឋានផលិត និងបំរែបំរួលសង្វាក់ផលិតកម្មប្រចាំខែ​ មេសា ឆ្នាំ​ ២០២៦</t>
  </si>
  <si>
    <t>SKIRT</t>
  </si>
  <si>
    <t>LADIES</t>
  </si>
  <si>
    <t>TANK</t>
  </si>
  <si>
    <t>PAJAMAS</t>
  </si>
  <si>
    <t>LY HONGMEI</t>
  </si>
  <si>
    <t>NI, CUNLAN</t>
  </si>
  <si>
    <t>PANTS</t>
  </si>
  <si>
    <t>NIGHT GOWN</t>
  </si>
  <si>
    <t>DRESS</t>
  </si>
  <si>
    <t>`</t>
  </si>
  <si>
    <t>KNITTED</t>
  </si>
  <si>
    <t>TOTAL</t>
  </si>
  <si>
    <t>MATERIAL</t>
  </si>
  <si>
    <t>PRODUCTS</t>
  </si>
  <si>
    <r>
      <t xml:space="preserve">៣) លេខ និងកាលបរិច្ឆេទចុះបញ្ជី : </t>
    </r>
    <r>
      <rPr>
        <sz val="9"/>
        <color indexed="10"/>
        <rFont val="Khmer OS System"/>
      </rPr>
      <t/>
    </r>
  </si>
  <si>
    <t xml:space="preserve">១) ឈ្មោះរោងចក្រ  </t>
  </si>
  <si>
    <t>ការវាយតម្លៃសមត្ថភាពផលិត បទដ្ឋានផលិត និងបំរែបំរួលសង្វាក់ផលិតកម្មប្រចាំខែ​ មិថុនា ឆ្នាំ​ ២០២៦</t>
  </si>
  <si>
    <t>/ 30</t>
  </si>
  <si>
    <t>/ 208</t>
  </si>
  <si>
    <t>ការវាយតម្លៃសមត្ថភាពផលិត បទដ្ឋានផលិត និងបំរែបំរួលសង្វាក់ផលិតកម្មប្រចាំខែ​ ឧសភា ឆ្នាំ​ ២០២៦</t>
  </si>
  <si>
    <t>SKORT</t>
  </si>
  <si>
    <t>ការវាយតម្លៃសមត្ថភាពផលិត បទដ្ឋានផលិត និងបំរែបំរួលសង្វាក់ផលិតកម្មប្រចាំខែ​ កក្កដា ឆ្នាំ​ ២០២៦</t>
  </si>
  <si>
    <t>LY MENGLEANG</t>
  </si>
  <si>
    <t>ការវាយតម្លៃសមត្ថភាពផលិត បទដ្ឋានផលិត និងបំរែបំរួលសង្វាក់ផលិតកម្មប្រចាំខែ​ សីហា ឆ្នាំ​ ២០២៦</t>
  </si>
  <si>
    <t xml:space="preserve"> ឈ្មោះ LY MENGLEANG ជា.Shipping ជាអ្នកផ្តល់ពត៌មានចូលរួមសហការណ៍ និងឯកភាពតាមរបាយការណ៍វាយតម្លៃរបស់មន្រ្តី  ។</t>
  </si>
  <si>
    <t>ការវាយតម្លៃសមត្ថភាពផលិត បទដ្ឋានផលិត និងបំរែបំរួលសង្វាក់ផលិតកម្មប្រចាំខែ​ កញ្ញា ឆ្នាំ​ ២០២៦</t>
  </si>
  <si>
    <t>F</t>
  </si>
  <si>
    <t>M</t>
  </si>
  <si>
    <t>បុគ្គលិកបរទេស</t>
  </si>
  <si>
    <t>បុគ្គលិកខ្មែរ</t>
  </si>
  <si>
    <t>កម្មករដេរ</t>
  </si>
  <si>
    <t>កម្មករផលិតកម្ម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</si>
</sst>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#.00\ \ &quot;ដុល្លារអាមេរិក&quot;"/>
    <numFmt numFmtId="166" formatCode="#,###.00\ \ &quot;ម៉ោង&quot;"/>
    <numFmt numFmtId="167" formatCode="&quot;សរុប &quot;\ \ #,###\ \ \ &quot; គ្រឿង&quot;"/>
    <numFmt numFmtId="168" formatCode="&quot;សរុប &quot;\ \ #,###\ \ \ &quot; តុ&quot;"/>
    <numFmt numFmtId="169" formatCode="#&quot;:&quot;&quot;00&quot;"/>
    <numFmt numFmtId="170" formatCode="#,###\ &quot;PCS&quot;"/>
    <numFmt numFmtId="171" formatCode="#,##0.00\ &quot;KGS&quot;"/>
    <numFmt numFmtId="172" formatCode="_(* #,##0.000_);_(* \(#,##0.000\);_(* &quot;-&quot;??_);_(@_)"/>
    <numFmt numFmtId="173" formatCode="#,##0\ &quot;PCS&quot;"/>
    <numFmt numFmtId="174" formatCode="#,##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Khmer OS Siemreap"/>
    </font>
    <font>
      <sz val="10"/>
      <name val="Khmer OS Siemreap"/>
    </font>
    <font>
      <u/>
      <sz val="12"/>
      <name val="Khmer OS Muol Light"/>
    </font>
    <font>
      <sz val="12"/>
      <name val="Khmer OS Muol Light"/>
    </font>
    <font>
      <sz val="11"/>
      <name val="Khmer OS System"/>
    </font>
    <font>
      <sz val="9"/>
      <name val="Khmer OS Siemreap"/>
    </font>
    <font>
      <sz val="9"/>
      <color indexed="10"/>
      <name val="Khmer OS System"/>
    </font>
    <font>
      <b/>
      <sz val="12"/>
      <name val="Khmer OS Siemreap"/>
    </font>
    <font>
      <sz val="12"/>
      <name val="Khmer OS System"/>
    </font>
    <font>
      <sz val="10"/>
      <color indexed="10"/>
      <name val="Khmer OS System"/>
    </font>
    <font>
      <b/>
      <sz val="10"/>
      <name val="Khmer OS Siemreap"/>
    </font>
    <font>
      <b/>
      <sz val="11"/>
      <name val="Khmer OS Siemreap"/>
    </font>
    <font>
      <sz val="10"/>
      <name val="Khmer OS System"/>
    </font>
    <font>
      <sz val="12"/>
      <name val="Khmer OS Siemreap"/>
    </font>
    <font>
      <b/>
      <sz val="14"/>
      <name val="Khmer OS Siemreap"/>
    </font>
    <font>
      <sz val="11"/>
      <name val="DaunPenh"/>
    </font>
    <font>
      <b/>
      <sz val="14"/>
      <name val="DaunPenh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Khmer OS Muol Light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49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8" fontId="0" fillId="2" borderId="0" xfId="0" applyNumberFormat="1" applyFill="1"/>
    <xf numFmtId="0" fontId="7" fillId="2" borderId="0" xfId="0" quotePrefix="1" applyFont="1" applyFill="1" applyAlignment="1">
      <alignment vertical="center"/>
    </xf>
    <xf numFmtId="164" fontId="0" fillId="2" borderId="0" xfId="0" applyNumberFormat="1" applyFill="1"/>
    <xf numFmtId="0" fontId="4" fillId="2" borderId="0" xfId="0" applyFont="1" applyFill="1" applyAlignment="1">
      <alignment horizontal="center" vertical="center"/>
    </xf>
    <xf numFmtId="43" fontId="4" fillId="2" borderId="0" xfId="1" applyFont="1" applyFill="1" applyAlignment="1">
      <alignment vertical="center"/>
    </xf>
    <xf numFmtId="43" fontId="3" fillId="2" borderId="0" xfId="0" applyNumberFormat="1" applyFont="1" applyFill="1" applyAlignment="1">
      <alignment vertical="center"/>
    </xf>
    <xf numFmtId="39" fontId="0" fillId="2" borderId="0" xfId="0" applyNumberFormat="1" applyFill="1"/>
    <xf numFmtId="165" fontId="3" fillId="2" borderId="0" xfId="0" applyNumberFormat="1" applyFont="1" applyFill="1"/>
    <xf numFmtId="4" fontId="0" fillId="2" borderId="0" xfId="0" applyNumberFormat="1" applyFill="1"/>
    <xf numFmtId="0" fontId="3" fillId="2" borderId="0" xfId="0" quotePrefix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167" fontId="4" fillId="2" borderId="0" xfId="0" applyNumberFormat="1" applyFont="1" applyFill="1"/>
    <xf numFmtId="0" fontId="13" fillId="2" borderId="0" xfId="0" applyFont="1" applyFill="1"/>
    <xf numFmtId="0" fontId="14" fillId="2" borderId="0" xfId="0" applyFont="1" applyFill="1"/>
    <xf numFmtId="168" fontId="14" fillId="2" borderId="0" xfId="0" applyNumberFormat="1" applyFont="1" applyFill="1"/>
    <xf numFmtId="0" fontId="3" fillId="2" borderId="0" xfId="0" applyFont="1" applyFill="1" applyAlignment="1">
      <alignment horizontal="left"/>
    </xf>
    <xf numFmtId="164" fontId="0" fillId="2" borderId="0" xfId="1" applyNumberFormat="1" applyFont="1" applyFill="1"/>
    <xf numFmtId="43" fontId="0" fillId="2" borderId="0" xfId="0" applyNumberFormat="1" applyFill="1"/>
    <xf numFmtId="170" fontId="0" fillId="2" borderId="0" xfId="0" applyNumberFormat="1" applyFill="1"/>
    <xf numFmtId="0" fontId="3" fillId="2" borderId="0" xfId="0" applyFont="1" applyFill="1" applyAlignment="1">
      <alignment horizontal="center" vertical="center"/>
    </xf>
    <xf numFmtId="169" fontId="3" fillId="2" borderId="0" xfId="0" applyNumberFormat="1" applyFont="1" applyFill="1" applyAlignment="1">
      <alignment horizontal="center" vertical="center"/>
    </xf>
    <xf numFmtId="170" fontId="4" fillId="2" borderId="0" xfId="0" applyNumberFormat="1" applyFont="1" applyFill="1" applyAlignment="1">
      <alignment horizontal="center" vertical="center" wrapText="1"/>
    </xf>
    <xf numFmtId="170" fontId="3" fillId="2" borderId="0" xfId="0" applyNumberFormat="1" applyFont="1" applyFill="1" applyAlignment="1">
      <alignment horizontal="center" vertical="center"/>
    </xf>
    <xf numFmtId="43" fontId="0" fillId="0" borderId="0" xfId="0" applyNumberFormat="1"/>
    <xf numFmtId="4" fontId="3" fillId="2" borderId="0" xfId="0" applyNumberFormat="1" applyFont="1" applyFill="1" applyAlignment="1">
      <alignment horizontal="center" vertical="center"/>
    </xf>
    <xf numFmtId="171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8" fillId="2" borderId="0" xfId="0" applyFont="1" applyFill="1"/>
    <xf numFmtId="169" fontId="0" fillId="2" borderId="0" xfId="0" applyNumberFormat="1" applyFill="1"/>
    <xf numFmtId="170" fontId="20" fillId="2" borderId="0" xfId="0" applyNumberFormat="1" applyFont="1" applyFill="1" applyAlignment="1">
      <alignment horizontal="center" vertical="center"/>
    </xf>
    <xf numFmtId="170" fontId="20" fillId="2" borderId="0" xfId="0" applyNumberFormat="1" applyFont="1" applyFill="1"/>
    <xf numFmtId="170" fontId="0" fillId="2" borderId="0" xfId="0" applyNumberFormat="1" applyFill="1" applyAlignment="1">
      <alignment horizontal="center"/>
    </xf>
    <xf numFmtId="170" fontId="3" fillId="2" borderId="0" xfId="0" applyNumberFormat="1" applyFont="1" applyFill="1"/>
    <xf numFmtId="3" fontId="0" fillId="2" borderId="0" xfId="0" applyNumberFormat="1" applyFill="1"/>
    <xf numFmtId="0" fontId="0" fillId="2" borderId="0" xfId="0" applyFill="1" applyAlignment="1">
      <alignment vertical="center"/>
    </xf>
    <xf numFmtId="170" fontId="21" fillId="2" borderId="13" xfId="0" applyNumberFormat="1" applyFont="1" applyFill="1" applyBorder="1" applyAlignment="1">
      <alignment horizontal="center" vertical="center"/>
    </xf>
    <xf numFmtId="3" fontId="21" fillId="2" borderId="0" xfId="0" applyNumberFormat="1" applyFont="1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3" fontId="21" fillId="0" borderId="13" xfId="3" applyNumberFormat="1" applyFont="1" applyBorder="1" applyAlignment="1">
      <alignment horizontal="center" vertical="center"/>
    </xf>
    <xf numFmtId="0" fontId="0" fillId="0" borderId="13" xfId="3" applyFont="1" applyBorder="1" applyAlignment="1">
      <alignment horizontal="center" vertical="center"/>
    </xf>
    <xf numFmtId="0" fontId="1" fillId="0" borderId="13" xfId="3" applyBorder="1" applyAlignment="1">
      <alignment horizontal="center" vertical="center"/>
    </xf>
    <xf numFmtId="3" fontId="1" fillId="0" borderId="13" xfId="3" applyNumberFormat="1" applyBorder="1" applyAlignment="1">
      <alignment horizontal="center" vertical="center"/>
    </xf>
    <xf numFmtId="3" fontId="1" fillId="5" borderId="0" xfId="3" applyNumberFormat="1" applyFill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3" fontId="0" fillId="0" borderId="13" xfId="3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0" fontId="0" fillId="2" borderId="0" xfId="0" applyNumberFormat="1" applyFill="1" applyAlignment="1">
      <alignment horizontal="center" vertical="center"/>
    </xf>
    <xf numFmtId="167" fontId="3" fillId="2" borderId="0" xfId="0" applyNumberFormat="1" applyFont="1" applyFill="1"/>
    <xf numFmtId="43" fontId="3" fillId="2" borderId="0" xfId="1" applyFont="1" applyFill="1" applyAlignment="1">
      <alignment vertical="center"/>
    </xf>
    <xf numFmtId="174" fontId="0" fillId="2" borderId="0" xfId="0" applyNumberFormat="1" applyFill="1"/>
    <xf numFmtId="174" fontId="0" fillId="2" borderId="0" xfId="0" applyNumberFormat="1" applyFill="1" applyAlignment="1">
      <alignment horizontal="right" vertical="center"/>
    </xf>
    <xf numFmtId="3" fontId="21" fillId="2" borderId="13" xfId="0" applyNumberFormat="1" applyFont="1" applyFill="1" applyBorder="1" applyAlignment="1">
      <alignment horizontal="center" vertical="center"/>
    </xf>
    <xf numFmtId="3" fontId="1" fillId="5" borderId="13" xfId="3" applyNumberFormat="1" applyFill="1" applyBorder="1" applyAlignment="1">
      <alignment horizontal="center" vertical="center"/>
    </xf>
    <xf numFmtId="0" fontId="0" fillId="2" borderId="13" xfId="0" applyFill="1" applyBorder="1"/>
    <xf numFmtId="170" fontId="0" fillId="2" borderId="13" xfId="0" applyNumberForma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171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170" fontId="0" fillId="2" borderId="0" xfId="0" applyNumberForma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170" fontId="3" fillId="2" borderId="0" xfId="0" applyNumberFormat="1" applyFont="1" applyFill="1" applyAlignment="1">
      <alignment horizontal="left" vertical="center"/>
    </xf>
    <xf numFmtId="0" fontId="0" fillId="2" borderId="13" xfId="0" applyFill="1" applyBorder="1" applyAlignment="1">
      <alignment horizontal="center"/>
    </xf>
    <xf numFmtId="3" fontId="21" fillId="2" borderId="13" xfId="0" applyNumberFormat="1" applyFont="1" applyFill="1" applyBorder="1" applyAlignment="1">
      <alignment horizontal="center"/>
    </xf>
    <xf numFmtId="170" fontId="0" fillId="2" borderId="13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3" fillId="2" borderId="0" xfId="0" applyFont="1" applyFill="1" applyAlignment="1">
      <alignment vertical="center"/>
    </xf>
    <xf numFmtId="0" fontId="23" fillId="2" borderId="0" xfId="0" quotePrefix="1" applyFont="1" applyFill="1" applyAlignment="1">
      <alignment vertical="center"/>
    </xf>
    <xf numFmtId="3" fontId="23" fillId="2" borderId="0" xfId="0" applyNumberFormat="1" applyFont="1" applyFill="1" applyAlignment="1">
      <alignment vertical="center"/>
    </xf>
    <xf numFmtId="0" fontId="23" fillId="2" borderId="0" xfId="0" applyFont="1" applyFill="1"/>
    <xf numFmtId="0" fontId="24" fillId="2" borderId="0" xfId="0" applyFont="1" applyFill="1"/>
    <xf numFmtId="0" fontId="23" fillId="2" borderId="0" xfId="0" applyFont="1" applyFill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3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170" fontId="21" fillId="2" borderId="0" xfId="0" applyNumberFormat="1" applyFont="1" applyFill="1" applyBorder="1" applyAlignment="1">
      <alignment horizontal="center" vertical="center"/>
    </xf>
    <xf numFmtId="170" fontId="0" fillId="2" borderId="0" xfId="0" applyNumberFormat="1" applyFill="1" applyBorder="1" applyAlignment="1">
      <alignment horizontal="center"/>
    </xf>
    <xf numFmtId="3" fontId="21" fillId="2" borderId="0" xfId="0" applyNumberFormat="1" applyFont="1" applyFill="1" applyBorder="1" applyAlignment="1">
      <alignment horizontal="center"/>
    </xf>
    <xf numFmtId="3" fontId="21" fillId="0" borderId="13" xfId="3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2" borderId="13" xfId="0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15" fontId="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13" fillId="2" borderId="0" xfId="0" applyNumberFormat="1" applyFont="1" applyFill="1" applyAlignment="1">
      <alignment horizontal="left"/>
    </xf>
    <xf numFmtId="166" fontId="14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39" fontId="11" fillId="2" borderId="0" xfId="2" applyNumberFormat="1" applyFont="1" applyFill="1" applyAlignment="1">
      <alignment horizontal="left" vertical="center"/>
    </xf>
    <xf numFmtId="0" fontId="1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170" fontId="3" fillId="2" borderId="13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69" fontId="3" fillId="2" borderId="13" xfId="0" applyNumberFormat="1" applyFont="1" applyFill="1" applyBorder="1" applyAlignment="1">
      <alignment horizontal="center" vertical="center"/>
    </xf>
    <xf numFmtId="0" fontId="16" fillId="2" borderId="13" xfId="1" applyNumberFormat="1" applyFont="1" applyFill="1" applyBorder="1" applyAlignment="1">
      <alignment horizontal="center" vertical="center" wrapText="1"/>
    </xf>
    <xf numFmtId="4" fontId="3" fillId="2" borderId="13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169" fontId="3" fillId="2" borderId="4" xfId="0" applyNumberFormat="1" applyFont="1" applyFill="1" applyBorder="1" applyAlignment="1">
      <alignment horizontal="center" vertical="center"/>
    </xf>
    <xf numFmtId="170" fontId="3" fillId="2" borderId="4" xfId="0" applyNumberFormat="1" applyFont="1" applyFill="1" applyBorder="1" applyAlignment="1">
      <alignment horizontal="center" vertical="center"/>
    </xf>
    <xf numFmtId="170" fontId="3" fillId="2" borderId="10" xfId="0" applyNumberFormat="1" applyFont="1" applyFill="1" applyBorder="1" applyAlignment="1">
      <alignment horizontal="center" vertical="center"/>
    </xf>
    <xf numFmtId="170" fontId="3" fillId="2" borderId="11" xfId="0" applyNumberFormat="1" applyFont="1" applyFill="1" applyBorder="1" applyAlignment="1">
      <alignment horizontal="center" vertical="center"/>
    </xf>
    <xf numFmtId="170" fontId="3" fillId="2" borderId="12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69" fontId="3" fillId="2" borderId="10" xfId="0" applyNumberFormat="1" applyFont="1" applyFill="1" applyBorder="1" applyAlignment="1">
      <alignment horizontal="center" vertical="center"/>
    </xf>
    <xf numFmtId="169" fontId="3" fillId="2" borderId="11" xfId="0" applyNumberFormat="1" applyFont="1" applyFill="1" applyBorder="1" applyAlignment="1">
      <alignment horizontal="center" vertical="center"/>
    </xf>
    <xf numFmtId="169" fontId="3" fillId="2" borderId="12" xfId="0" applyNumberFormat="1" applyFont="1" applyFill="1" applyBorder="1" applyAlignment="1">
      <alignment horizontal="center" vertical="center"/>
    </xf>
    <xf numFmtId="0" fontId="16" fillId="2" borderId="10" xfId="1" applyNumberFormat="1" applyFont="1" applyFill="1" applyBorder="1" applyAlignment="1">
      <alignment horizontal="center" vertical="center" wrapText="1"/>
    </xf>
    <xf numFmtId="0" fontId="16" fillId="2" borderId="11" xfId="1" applyNumberFormat="1" applyFont="1" applyFill="1" applyBorder="1" applyAlignment="1">
      <alignment horizontal="center" vertical="center" wrapText="1"/>
    </xf>
    <xf numFmtId="0" fontId="16" fillId="2" borderId="12" xfId="1" applyNumberFormat="1" applyFont="1" applyFill="1" applyBorder="1" applyAlignment="1">
      <alignment horizontal="center" vertical="center" wrapText="1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/>
    </xf>
    <xf numFmtId="4" fontId="3" fillId="2" borderId="12" xfId="0" applyNumberFormat="1" applyFont="1" applyFill="1" applyBorder="1" applyAlignment="1">
      <alignment horizontal="center" vertical="center"/>
    </xf>
    <xf numFmtId="171" fontId="3" fillId="2" borderId="13" xfId="0" applyNumberFormat="1" applyFont="1" applyFill="1" applyBorder="1" applyAlignment="1">
      <alignment horizontal="center" vertical="center"/>
    </xf>
    <xf numFmtId="43" fontId="3" fillId="2" borderId="10" xfId="1" applyFont="1" applyFill="1" applyBorder="1" applyAlignment="1">
      <alignment horizontal="center" vertical="center"/>
    </xf>
    <xf numFmtId="43" fontId="3" fillId="2" borderId="11" xfId="1" applyFont="1" applyFill="1" applyBorder="1" applyAlignment="1">
      <alignment horizontal="center" vertical="center"/>
    </xf>
    <xf numFmtId="43" fontId="3" fillId="2" borderId="12" xfId="1" applyFont="1" applyFill="1" applyBorder="1" applyAlignment="1">
      <alignment horizontal="center" vertical="center"/>
    </xf>
    <xf numFmtId="43" fontId="3" fillId="2" borderId="13" xfId="1" applyFont="1" applyFill="1" applyBorder="1" applyAlignment="1">
      <alignment horizontal="center" vertical="center"/>
    </xf>
    <xf numFmtId="0" fontId="3" fillId="2" borderId="13" xfId="1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72" fontId="3" fillId="2" borderId="13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top"/>
    </xf>
    <xf numFmtId="0" fontId="19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4" fillId="3" borderId="10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  <xf numFmtId="0" fontId="4" fillId="3" borderId="12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center"/>
    </xf>
    <xf numFmtId="0" fontId="16" fillId="3" borderId="13" xfId="1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171" fontId="3" fillId="4" borderId="13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4" fontId="3" fillId="4" borderId="13" xfId="0" applyNumberFormat="1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 vertical="center"/>
    </xf>
    <xf numFmtId="170" fontId="3" fillId="4" borderId="13" xfId="0" applyNumberFormat="1" applyFont="1" applyFill="1" applyBorder="1" applyAlignment="1">
      <alignment horizontal="center" vertical="center"/>
    </xf>
    <xf numFmtId="4" fontId="3" fillId="4" borderId="10" xfId="0" applyNumberFormat="1" applyFont="1" applyFill="1" applyBorder="1" applyAlignment="1">
      <alignment horizontal="center" vertical="center"/>
    </xf>
    <xf numFmtId="4" fontId="3" fillId="4" borderId="11" xfId="0" applyNumberFormat="1" applyFont="1" applyFill="1" applyBorder="1" applyAlignment="1">
      <alignment horizontal="center" vertical="center"/>
    </xf>
    <xf numFmtId="4" fontId="3" fillId="4" borderId="12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top"/>
    </xf>
    <xf numFmtId="44" fontId="4" fillId="2" borderId="0" xfId="0" applyNumberFormat="1" applyFont="1" applyFill="1" applyAlignment="1">
      <alignment horizontal="center"/>
    </xf>
    <xf numFmtId="15" fontId="23" fillId="2" borderId="0" xfId="0" applyNumberFormat="1" applyFont="1" applyFill="1" applyAlignment="1">
      <alignment horizontal="center" vertical="center"/>
    </xf>
    <xf numFmtId="0" fontId="25" fillId="2" borderId="8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/>
    </xf>
    <xf numFmtId="170" fontId="23" fillId="2" borderId="13" xfId="0" applyNumberFormat="1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top"/>
    </xf>
    <xf numFmtId="0" fontId="24" fillId="2" borderId="13" xfId="0" applyFont="1" applyFill="1" applyBorder="1" applyAlignment="1">
      <alignment horizontal="center" vertical="center"/>
    </xf>
    <xf numFmtId="169" fontId="23" fillId="2" borderId="13" xfId="0" applyNumberFormat="1" applyFont="1" applyFill="1" applyBorder="1" applyAlignment="1">
      <alignment horizontal="center" vertical="center"/>
    </xf>
    <xf numFmtId="0" fontId="23" fillId="2" borderId="13" xfId="1" applyNumberFormat="1" applyFont="1" applyFill="1" applyBorder="1" applyAlignment="1">
      <alignment horizontal="center" vertical="center" wrapText="1"/>
    </xf>
    <xf numFmtId="4" fontId="23" fillId="2" borderId="13" xfId="0" applyNumberFormat="1" applyFont="1" applyFill="1" applyBorder="1" applyAlignment="1">
      <alignment horizontal="center" vertical="center"/>
    </xf>
    <xf numFmtId="170" fontId="23" fillId="2" borderId="4" xfId="0" applyNumberFormat="1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/>
    </xf>
    <xf numFmtId="171" fontId="23" fillId="2" borderId="13" xfId="0" applyNumberFormat="1" applyFont="1" applyFill="1" applyBorder="1" applyAlignment="1">
      <alignment horizontal="center" vertical="center"/>
    </xf>
    <xf numFmtId="2" fontId="23" fillId="2" borderId="10" xfId="1" applyNumberFormat="1" applyFont="1" applyFill="1" applyBorder="1" applyAlignment="1">
      <alignment horizontal="center" vertical="center"/>
    </xf>
    <xf numFmtId="2" fontId="23" fillId="2" borderId="11" xfId="1" applyNumberFormat="1" applyFont="1" applyFill="1" applyBorder="1" applyAlignment="1">
      <alignment horizontal="center" vertical="center"/>
    </xf>
    <xf numFmtId="2" fontId="23" fillId="2" borderId="12" xfId="1" applyNumberFormat="1" applyFont="1" applyFill="1" applyBorder="1" applyAlignment="1">
      <alignment horizontal="center" vertical="center"/>
    </xf>
    <xf numFmtId="4" fontId="23" fillId="2" borderId="10" xfId="0" applyNumberFormat="1" applyFont="1" applyFill="1" applyBorder="1" applyAlignment="1">
      <alignment horizontal="center" vertical="center"/>
    </xf>
    <xf numFmtId="4" fontId="23" fillId="2" borderId="11" xfId="0" applyNumberFormat="1" applyFont="1" applyFill="1" applyBorder="1" applyAlignment="1">
      <alignment horizontal="center" vertical="center"/>
    </xf>
    <xf numFmtId="4" fontId="23" fillId="2" borderId="12" xfId="0" applyNumberFormat="1" applyFont="1" applyFill="1" applyBorder="1" applyAlignment="1">
      <alignment horizontal="center" vertical="center"/>
    </xf>
    <xf numFmtId="2" fontId="23" fillId="2" borderId="13" xfId="1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 vertical="top"/>
    </xf>
    <xf numFmtId="170" fontId="3" fillId="2" borderId="2" xfId="0" applyNumberFormat="1" applyFont="1" applyFill="1" applyBorder="1" applyAlignment="1">
      <alignment horizontal="center" vertical="center"/>
    </xf>
    <xf numFmtId="170" fontId="0" fillId="2" borderId="13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3" fillId="2" borderId="13" xfId="1" applyNumberFormat="1" applyFont="1" applyFill="1" applyBorder="1" applyAlignment="1">
      <alignment horizontal="center" vertical="center"/>
    </xf>
    <xf numFmtId="2" fontId="3" fillId="2" borderId="10" xfId="1" applyNumberFormat="1" applyFont="1" applyFill="1" applyBorder="1" applyAlignment="1">
      <alignment horizontal="center" vertical="center"/>
    </xf>
    <xf numFmtId="2" fontId="3" fillId="2" borderId="11" xfId="1" applyNumberFormat="1" applyFont="1" applyFill="1" applyBorder="1" applyAlignment="1">
      <alignment horizontal="center" vertical="center"/>
    </xf>
    <xf numFmtId="2" fontId="3" fillId="2" borderId="12" xfId="1" applyNumberFormat="1" applyFont="1" applyFill="1" applyBorder="1" applyAlignment="1">
      <alignment horizontal="center" vertical="center"/>
    </xf>
    <xf numFmtId="170" fontId="23" fillId="2" borderId="10" xfId="0" applyNumberFormat="1" applyFont="1" applyFill="1" applyBorder="1" applyAlignment="1">
      <alignment horizontal="center" vertical="center"/>
    </xf>
    <xf numFmtId="170" fontId="3" fillId="2" borderId="1" xfId="0" applyNumberFormat="1" applyFont="1" applyFill="1" applyBorder="1" applyAlignment="1">
      <alignment horizontal="center" vertical="center"/>
    </xf>
    <xf numFmtId="0" fontId="27" fillId="2" borderId="13" xfId="1" applyNumberFormat="1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166" fontId="14" fillId="2" borderId="0" xfId="0" applyNumberFormat="1" applyFont="1" applyFill="1" applyAlignment="1">
      <alignment horizontal="left"/>
    </xf>
    <xf numFmtId="44" fontId="3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39" fontId="3" fillId="2" borderId="0" xfId="2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center"/>
    </xf>
    <xf numFmtId="174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70" fontId="0" fillId="2" borderId="0" xfId="0" applyNumberFormat="1" applyFill="1" applyBorder="1" applyAlignment="1">
      <alignment horizontal="center" vertical="center"/>
    </xf>
    <xf numFmtId="3" fontId="21" fillId="2" borderId="0" xfId="0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43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Normal 2" xfId="3"/>
  </cellStyles>
  <dxfs count="14"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8"/>
  <sheetViews>
    <sheetView view="pageBreakPreview" zoomScale="85" zoomScaleNormal="100" zoomScaleSheetLayoutView="85" workbookViewId="0">
      <selection activeCell="K15" sqref="K15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1" style="2" bestFit="1" customWidth="1"/>
    <col min="27" max="27" width="11.5703125" style="2" bestFit="1" customWidth="1"/>
    <col min="28" max="28" width="13.7109375" style="2" customWidth="1"/>
    <col min="29" max="34" width="9.140625" style="2"/>
    <col min="35" max="35" width="10.5703125" style="2" bestFit="1" customWidth="1"/>
    <col min="36" max="16384" width="9.140625" style="2"/>
  </cols>
  <sheetData>
    <row r="1" spans="1:28" ht="25.5" x14ac:dyDescent="0.7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 spans="1:28" ht="25.5" x14ac:dyDescent="0.7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28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8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8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28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28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28" ht="23.25" customHeight="1" x14ac:dyDescent="0.25">
      <c r="A8" s="105" t="s">
        <v>7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28" ht="21.95" customHeight="1" x14ac:dyDescent="0.25">
      <c r="A9" s="5" t="s">
        <v>8</v>
      </c>
      <c r="B9" s="6"/>
      <c r="C9" s="7"/>
      <c r="D9" s="7"/>
      <c r="E9" s="7"/>
      <c r="F9" s="7" t="s">
        <v>117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8" ht="21.95" customHeight="1" x14ac:dyDescent="0.25">
      <c r="A10" s="7"/>
      <c r="B10" s="6" t="s">
        <v>9</v>
      </c>
      <c r="C10" s="7"/>
      <c r="D10" s="7"/>
      <c r="E10" s="7"/>
      <c r="F10" s="7" t="s">
        <v>118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8" ht="21.95" customHeight="1" x14ac:dyDescent="0.25">
      <c r="A11" s="7"/>
      <c r="B11" s="7"/>
      <c r="C11" s="7"/>
      <c r="D11" s="7"/>
      <c r="E11" s="7"/>
      <c r="F11" s="7" t="s">
        <v>119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8" ht="21.95" customHeight="1" x14ac:dyDescent="0.25">
      <c r="A12" s="6" t="s">
        <v>10</v>
      </c>
      <c r="B12" s="6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8" ht="21.95" customHeight="1" x14ac:dyDescent="0.25">
      <c r="A13" s="6" t="s">
        <v>11</v>
      </c>
      <c r="B13" s="6"/>
      <c r="C13" s="6"/>
      <c r="D13" s="7"/>
      <c r="E13" s="7"/>
      <c r="F13" s="7"/>
      <c r="G13" s="7"/>
      <c r="H13" s="7" t="s">
        <v>121</v>
      </c>
      <c r="I13" s="7"/>
      <c r="J13" s="7"/>
      <c r="K13" s="7"/>
      <c r="L13" s="7"/>
      <c r="M13" s="7"/>
      <c r="N13" s="7"/>
      <c r="O13" s="7" t="s">
        <v>12</v>
      </c>
      <c r="P13" s="106">
        <v>46014</v>
      </c>
      <c r="Q13" s="106"/>
      <c r="R13" s="106"/>
      <c r="S13" s="106"/>
      <c r="T13" s="7"/>
      <c r="U13" s="7"/>
      <c r="V13" s="7"/>
      <c r="W13" s="7"/>
      <c r="X13" s="7"/>
      <c r="Y13" s="7"/>
    </row>
    <row r="14" spans="1:28" ht="21.95" customHeight="1" x14ac:dyDescent="0.65">
      <c r="A14" s="8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</row>
    <row r="15" spans="1:28" ht="21.95" customHeight="1" x14ac:dyDescent="0.65">
      <c r="A15" s="6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8" ht="21" customHeight="1" x14ac:dyDescent="0.25">
      <c r="A16" s="7"/>
      <c r="B16" s="6" t="s">
        <v>15</v>
      </c>
      <c r="C16" s="7"/>
      <c r="D16" s="7"/>
      <c r="E16" s="7"/>
      <c r="F16" s="7" t="s">
        <v>14</v>
      </c>
      <c r="G16" s="9"/>
      <c r="H16" s="6" t="s">
        <v>16</v>
      </c>
      <c r="I16" s="105">
        <v>2</v>
      </c>
      <c r="J16" s="105">
        <v>3</v>
      </c>
      <c r="K16" s="7" t="s">
        <v>17</v>
      </c>
      <c r="L16" s="105"/>
      <c r="M16" s="105"/>
      <c r="N16" s="6" t="s">
        <v>18</v>
      </c>
      <c r="O16" s="105">
        <v>2</v>
      </c>
      <c r="P16" s="105">
        <v>6</v>
      </c>
      <c r="Q16" s="6" t="s">
        <v>17</v>
      </c>
      <c r="R16" s="105"/>
      <c r="S16" s="105"/>
      <c r="T16" s="6" t="s">
        <v>19</v>
      </c>
      <c r="U16" s="6"/>
      <c r="V16" s="109">
        <f>O16+I16</f>
        <v>4</v>
      </c>
      <c r="W16" s="109"/>
      <c r="X16" s="6" t="s">
        <v>17</v>
      </c>
      <c r="Y16" s="6"/>
      <c r="AB16" s="10">
        <v>11700</v>
      </c>
    </row>
    <row r="17" spans="1:28" ht="21" customHeight="1" x14ac:dyDescent="0.25">
      <c r="A17" s="7"/>
      <c r="B17" s="6" t="s">
        <v>20</v>
      </c>
      <c r="C17" s="7"/>
      <c r="D17" s="7"/>
      <c r="E17" s="7"/>
      <c r="F17" s="7" t="s">
        <v>14</v>
      </c>
      <c r="G17" s="7"/>
      <c r="H17" s="6" t="s">
        <v>16</v>
      </c>
      <c r="I17" s="105"/>
      <c r="J17" s="105"/>
      <c r="K17" s="7" t="s">
        <v>17</v>
      </c>
      <c r="L17" s="105"/>
      <c r="M17" s="105"/>
      <c r="N17" s="6" t="s">
        <v>18</v>
      </c>
      <c r="O17" s="105">
        <v>2</v>
      </c>
      <c r="P17" s="105">
        <v>61</v>
      </c>
      <c r="Q17" s="6" t="s">
        <v>17</v>
      </c>
      <c r="R17" s="105"/>
      <c r="S17" s="105"/>
      <c r="T17" s="6" t="s">
        <v>19</v>
      </c>
      <c r="U17" s="6"/>
      <c r="V17" s="109">
        <f>O17+I17</f>
        <v>2</v>
      </c>
      <c r="W17" s="109"/>
      <c r="X17" s="6" t="s">
        <v>17</v>
      </c>
      <c r="Y17" s="6"/>
      <c r="AB17" s="10">
        <v>31298.12</v>
      </c>
    </row>
    <row r="18" spans="1:28" ht="21" customHeight="1" x14ac:dyDescent="0.25">
      <c r="A18" s="7"/>
      <c r="B18" s="6" t="s">
        <v>21</v>
      </c>
      <c r="C18" s="7"/>
      <c r="D18" s="7"/>
      <c r="E18" s="7"/>
      <c r="F18" s="7" t="s">
        <v>14</v>
      </c>
      <c r="G18" s="7"/>
      <c r="H18" s="6" t="s">
        <v>16</v>
      </c>
      <c r="I18" s="105">
        <v>39</v>
      </c>
      <c r="J18" s="105"/>
      <c r="K18" s="7" t="s">
        <v>17</v>
      </c>
      <c r="L18" s="110"/>
      <c r="M18" s="110"/>
      <c r="N18" s="6" t="s">
        <v>18</v>
      </c>
      <c r="O18" s="105">
        <v>85</v>
      </c>
      <c r="P18" s="105"/>
      <c r="Q18" s="6" t="s">
        <v>17</v>
      </c>
      <c r="R18" s="110"/>
      <c r="S18" s="110"/>
      <c r="T18" s="6" t="s">
        <v>19</v>
      </c>
      <c r="U18" s="6"/>
      <c r="V18" s="109">
        <f>O18+I18</f>
        <v>124</v>
      </c>
      <c r="W18" s="109"/>
      <c r="X18" s="6" t="s">
        <v>17</v>
      </c>
      <c r="Y18" s="6"/>
      <c r="AB18" s="10">
        <v>143072.10999999999</v>
      </c>
    </row>
    <row r="19" spans="1:28" ht="21" customHeight="1" x14ac:dyDescent="0.25">
      <c r="A19" s="7"/>
      <c r="B19" s="11" t="s">
        <v>22</v>
      </c>
      <c r="C19" s="6"/>
      <c r="D19" s="6"/>
      <c r="E19" s="7"/>
      <c r="F19" s="7" t="s">
        <v>14</v>
      </c>
      <c r="G19" s="7"/>
      <c r="H19" s="6" t="s">
        <v>16</v>
      </c>
      <c r="I19" s="105">
        <v>18</v>
      </c>
      <c r="J19" s="105"/>
      <c r="K19" s="7" t="s">
        <v>17</v>
      </c>
      <c r="L19" s="110"/>
      <c r="M19" s="110"/>
      <c r="N19" s="6" t="s">
        <v>18</v>
      </c>
      <c r="O19" s="105">
        <v>26</v>
      </c>
      <c r="P19" s="105">
        <v>683</v>
      </c>
      <c r="Q19" s="6" t="s">
        <v>17</v>
      </c>
      <c r="R19" s="110"/>
      <c r="S19" s="110"/>
      <c r="T19" s="6" t="s">
        <v>19</v>
      </c>
      <c r="U19" s="6"/>
      <c r="V19" s="109">
        <f>O19+I19</f>
        <v>44</v>
      </c>
      <c r="W19" s="109"/>
      <c r="X19" s="6" t="s">
        <v>17</v>
      </c>
      <c r="Y19" s="6"/>
      <c r="Z19" s="12">
        <f>V16+V17+V18+V19</f>
        <v>174</v>
      </c>
      <c r="AB19" s="10">
        <v>62861.24</v>
      </c>
    </row>
    <row r="20" spans="1:28" ht="21" customHeight="1" x14ac:dyDescent="0.25">
      <c r="A20" s="7"/>
      <c r="B20" s="11" t="s">
        <v>23</v>
      </c>
      <c r="C20" s="6"/>
      <c r="D20" s="6"/>
      <c r="E20" s="7"/>
      <c r="F20" s="7" t="s">
        <v>14</v>
      </c>
      <c r="G20" s="7"/>
      <c r="H20" s="6" t="s">
        <v>16</v>
      </c>
      <c r="I20" s="105">
        <f>I18+I19</f>
        <v>57</v>
      </c>
      <c r="J20" s="105"/>
      <c r="K20" s="7" t="s">
        <v>17</v>
      </c>
      <c r="L20" s="13"/>
      <c r="M20" s="13"/>
      <c r="N20" s="6" t="s">
        <v>18</v>
      </c>
      <c r="O20" s="105">
        <f>O18+O19</f>
        <v>111</v>
      </c>
      <c r="P20" s="105"/>
      <c r="Q20" s="6" t="s">
        <v>17</v>
      </c>
      <c r="R20" s="13"/>
      <c r="S20" s="13"/>
      <c r="T20" s="6" t="s">
        <v>19</v>
      </c>
      <c r="U20" s="6"/>
      <c r="V20" s="109">
        <f>V18+V19</f>
        <v>168</v>
      </c>
      <c r="W20" s="109"/>
      <c r="X20" s="6" t="s">
        <v>17</v>
      </c>
      <c r="Y20" s="6"/>
      <c r="AB20" s="10"/>
    </row>
    <row r="21" spans="1:28" ht="21.95" customHeight="1" x14ac:dyDescent="0.25">
      <c r="A21" s="6" t="s">
        <v>24</v>
      </c>
      <c r="B21" s="7"/>
      <c r="C21" s="7"/>
      <c r="D21" s="7"/>
      <c r="E21" s="7"/>
      <c r="F21" s="7" t="s">
        <v>14</v>
      </c>
      <c r="G21" s="8"/>
      <c r="H21" s="7"/>
      <c r="I21" s="114"/>
      <c r="J21" s="11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8" ht="21.95" customHeight="1" x14ac:dyDescent="0.25">
      <c r="A22" s="7"/>
      <c r="B22" s="6" t="s">
        <v>15</v>
      </c>
      <c r="C22" s="6"/>
      <c r="D22" s="6"/>
      <c r="E22" s="7"/>
      <c r="F22" s="7" t="s">
        <v>14</v>
      </c>
      <c r="G22" s="115">
        <v>6700</v>
      </c>
      <c r="H22" s="115">
        <v>35255</v>
      </c>
      <c r="I22" s="115">
        <v>35255</v>
      </c>
      <c r="J22" s="14"/>
      <c r="K22" s="6" t="s">
        <v>25</v>
      </c>
      <c r="L22" s="6"/>
      <c r="M22" s="14"/>
      <c r="N22" s="1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8" ht="21.95" customHeight="1" x14ac:dyDescent="0.25">
      <c r="A23" s="7"/>
      <c r="B23" s="6" t="s">
        <v>20</v>
      </c>
      <c r="C23" s="6"/>
      <c r="D23" s="6"/>
      <c r="E23" s="7"/>
      <c r="F23" s="7" t="s">
        <v>14</v>
      </c>
      <c r="G23" s="115">
        <v>1109.1099999999999</v>
      </c>
      <c r="H23" s="115">
        <v>15646.4375</v>
      </c>
      <c r="I23" s="115">
        <v>15646.4375</v>
      </c>
      <c r="J23" s="14"/>
      <c r="K23" s="6" t="s">
        <v>25</v>
      </c>
      <c r="L23" s="6"/>
      <c r="M23" s="14"/>
      <c r="N23" s="1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8" ht="21.95" customHeight="1" x14ac:dyDescent="0.25">
      <c r="A24" s="7"/>
      <c r="B24" s="6" t="s">
        <v>21</v>
      </c>
      <c r="C24" s="6"/>
      <c r="D24" s="6"/>
      <c r="E24" s="7"/>
      <c r="F24" s="7" t="s">
        <v>14</v>
      </c>
      <c r="G24" s="115">
        <v>27861.21</v>
      </c>
      <c r="H24" s="115"/>
      <c r="I24" s="115"/>
      <c r="J24" s="14"/>
      <c r="K24" s="6" t="s">
        <v>25</v>
      </c>
      <c r="L24" s="6"/>
      <c r="M24" s="14"/>
      <c r="N24" s="1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8" ht="21.95" customHeight="1" x14ac:dyDescent="0.25">
      <c r="A25" s="7"/>
      <c r="B25" s="6" t="s">
        <v>22</v>
      </c>
      <c r="C25" s="6"/>
      <c r="D25" s="6"/>
      <c r="E25" s="7"/>
      <c r="F25" s="7" t="s">
        <v>14</v>
      </c>
      <c r="G25" s="115">
        <v>10114.06</v>
      </c>
      <c r="H25" s="115">
        <v>205933.34999999998</v>
      </c>
      <c r="I25" s="115">
        <v>205933.34999999998</v>
      </c>
      <c r="J25" s="14"/>
      <c r="K25" s="6" t="s">
        <v>25</v>
      </c>
      <c r="L25" s="6"/>
      <c r="M25" s="14"/>
      <c r="N25" s="14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28" ht="21.6" customHeight="1" x14ac:dyDescent="0.25">
      <c r="A26" s="7"/>
      <c r="B26" s="11" t="s">
        <v>23</v>
      </c>
      <c r="C26" s="6"/>
      <c r="D26" s="6"/>
      <c r="E26" s="7"/>
      <c r="F26" s="7" t="s">
        <v>14</v>
      </c>
      <c r="G26" s="115">
        <v>37975.269999999997</v>
      </c>
      <c r="H26" s="115"/>
      <c r="I26" s="115"/>
      <c r="J26" s="14"/>
      <c r="K26" s="6" t="s">
        <v>25</v>
      </c>
      <c r="L26" s="6"/>
      <c r="M26" s="14"/>
      <c r="N26" s="14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8" ht="21.95" customHeight="1" x14ac:dyDescent="0.65">
      <c r="A27" s="6" t="s">
        <v>26</v>
      </c>
      <c r="B27" s="3"/>
      <c r="C27" s="3"/>
      <c r="D27" s="3"/>
      <c r="E27" s="3"/>
      <c r="F27" s="3" t="s">
        <v>14</v>
      </c>
      <c r="G27" s="3"/>
      <c r="H27" s="17"/>
      <c r="I27" s="3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8" ht="23.25" x14ac:dyDescent="0.65">
      <c r="A28" s="3"/>
      <c r="B28" s="6" t="s">
        <v>27</v>
      </c>
      <c r="C28" s="6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6"/>
      <c r="O28" s="6" t="s">
        <v>30</v>
      </c>
      <c r="P28" s="3"/>
      <c r="Q28" s="3"/>
      <c r="R28" s="3"/>
      <c r="S28" s="3"/>
      <c r="T28" s="3"/>
      <c r="U28" s="111">
        <v>208</v>
      </c>
      <c r="V28" s="111"/>
      <c r="W28" s="111"/>
      <c r="X28" s="111"/>
      <c r="Y28" s="111"/>
    </row>
    <row r="29" spans="1:28" ht="23.25" x14ac:dyDescent="0.65">
      <c r="A29" s="3"/>
      <c r="B29" s="6" t="s">
        <v>31</v>
      </c>
      <c r="C29" s="6"/>
      <c r="D29" s="3"/>
      <c r="E29" s="3" t="s">
        <v>32</v>
      </c>
      <c r="F29" s="3"/>
      <c r="G29" s="3"/>
      <c r="H29" s="3"/>
      <c r="I29" s="6" t="s">
        <v>33</v>
      </c>
      <c r="J29" s="3"/>
      <c r="K29" s="3"/>
      <c r="L29" s="3"/>
      <c r="M29" s="3"/>
      <c r="N29" s="112">
        <v>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28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18">
        <f>U28+N29</f>
        <v>208</v>
      </c>
    </row>
    <row r="31" spans="1:28" ht="23.25" x14ac:dyDescent="0.65">
      <c r="A31" s="7"/>
      <c r="B31" s="3" t="s">
        <v>35</v>
      </c>
      <c r="C31" s="7"/>
      <c r="D31" s="7" t="s">
        <v>36</v>
      </c>
      <c r="E31" s="7"/>
      <c r="F31" s="7"/>
      <c r="G31" s="7"/>
      <c r="H31" s="7"/>
      <c r="I31" s="7"/>
      <c r="J31" s="7"/>
      <c r="K31" s="7"/>
      <c r="L31" s="3" t="s">
        <v>37</v>
      </c>
      <c r="M31" s="7"/>
      <c r="N31" s="7"/>
      <c r="O31" s="7"/>
      <c r="P31" s="7" t="s">
        <v>38</v>
      </c>
      <c r="Q31" s="7"/>
      <c r="R31" s="7" t="s">
        <v>39</v>
      </c>
      <c r="S31" s="7"/>
      <c r="T31" s="7"/>
      <c r="U31" s="7"/>
      <c r="V31" s="7"/>
      <c r="W31" s="7"/>
      <c r="X31" s="7"/>
      <c r="Y31" s="7"/>
    </row>
    <row r="32" spans="1:28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6" ht="23.25" x14ac:dyDescent="0.25">
      <c r="A33" s="9"/>
      <c r="B33" s="19" t="s">
        <v>41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6" ht="23.25" x14ac:dyDescent="0.65">
      <c r="A34" s="9"/>
      <c r="B34" s="19" t="s">
        <v>42</v>
      </c>
      <c r="C34" s="7"/>
      <c r="D34" s="7"/>
      <c r="E34" s="20" t="s">
        <v>43</v>
      </c>
      <c r="F34" s="7" t="s">
        <v>44</v>
      </c>
      <c r="G34" s="7" t="s">
        <v>45</v>
      </c>
      <c r="H34" s="7" t="s">
        <v>46</v>
      </c>
      <c r="I34" s="7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6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6" ht="23.25" x14ac:dyDescent="0.65">
      <c r="A36" s="3"/>
      <c r="B36" s="3" t="s">
        <v>49</v>
      </c>
      <c r="C36" s="3"/>
      <c r="D36" s="3"/>
      <c r="E36" s="3"/>
      <c r="F36" s="3"/>
      <c r="G36" s="3" t="s">
        <v>50</v>
      </c>
      <c r="H36" s="3"/>
      <c r="I36" s="3"/>
      <c r="J36" s="3"/>
      <c r="K36" s="3"/>
      <c r="L36" s="3"/>
      <c r="M36" s="3" t="s">
        <v>19</v>
      </c>
      <c r="N36" s="113">
        <v>2</v>
      </c>
      <c r="O36" s="113"/>
      <c r="P36" s="3" t="s">
        <v>51</v>
      </c>
      <c r="Q36" s="21"/>
      <c r="R36" s="3"/>
      <c r="S36" s="3" t="s">
        <v>52</v>
      </c>
      <c r="T36" s="3"/>
      <c r="U36" s="3"/>
      <c r="V36" s="113">
        <v>1</v>
      </c>
      <c r="W36" s="113"/>
      <c r="X36" s="3" t="s">
        <v>53</v>
      </c>
      <c r="Y36" s="3"/>
    </row>
    <row r="37" spans="1:26" ht="23.25" x14ac:dyDescent="0.65">
      <c r="A37" s="3"/>
      <c r="B37" s="3" t="s">
        <v>54</v>
      </c>
      <c r="C37" s="3"/>
      <c r="D37" s="3"/>
      <c r="E37" s="3"/>
      <c r="F37" s="3"/>
      <c r="G37" s="4" t="s">
        <v>55</v>
      </c>
      <c r="H37" s="3"/>
      <c r="I37" s="3"/>
      <c r="J37" s="3"/>
      <c r="K37" s="3"/>
      <c r="L37" s="3"/>
      <c r="M37" s="3" t="s">
        <v>19</v>
      </c>
      <c r="N37" s="113">
        <v>1</v>
      </c>
      <c r="O37" s="113">
        <v>21</v>
      </c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2">
        <f>SUM(V37:W41)</f>
        <v>160</v>
      </c>
    </row>
    <row r="38" spans="1:26" ht="23.25" x14ac:dyDescent="0.65">
      <c r="A38" s="3"/>
      <c r="B38" s="3" t="s">
        <v>56</v>
      </c>
      <c r="C38" s="3"/>
      <c r="D38" s="3"/>
      <c r="E38" s="3"/>
      <c r="F38" s="3"/>
      <c r="G38" s="3" t="s">
        <v>57</v>
      </c>
      <c r="H38" s="3"/>
      <c r="I38" s="3"/>
      <c r="J38" s="3"/>
      <c r="K38" s="3"/>
      <c r="L38" s="3"/>
      <c r="M38" s="3" t="s">
        <v>19</v>
      </c>
      <c r="N38" s="113">
        <v>3</v>
      </c>
      <c r="O38" s="113">
        <v>28</v>
      </c>
      <c r="P38" s="3" t="s">
        <v>53</v>
      </c>
      <c r="Q38" s="3"/>
      <c r="R38" s="3"/>
      <c r="S38" s="3" t="s">
        <v>52</v>
      </c>
      <c r="T38" s="3"/>
      <c r="U38" s="3"/>
      <c r="V38" s="113">
        <v>2</v>
      </c>
      <c r="W38" s="113"/>
      <c r="X38" s="3" t="s">
        <v>53</v>
      </c>
      <c r="Y38" s="3"/>
    </row>
    <row r="39" spans="1:26" ht="23.25" x14ac:dyDescent="0.65">
      <c r="A39" s="3"/>
      <c r="B39" s="3" t="s">
        <v>58</v>
      </c>
      <c r="C39" s="3"/>
      <c r="D39" s="3"/>
      <c r="E39" s="3"/>
      <c r="F39" s="3"/>
      <c r="G39" s="3" t="s">
        <v>59</v>
      </c>
      <c r="H39" s="3"/>
      <c r="I39" s="3"/>
      <c r="J39" s="3"/>
      <c r="K39" s="3"/>
      <c r="L39" s="3"/>
      <c r="M39" s="3" t="s">
        <v>19</v>
      </c>
      <c r="N39" s="113">
        <v>135</v>
      </c>
      <c r="O39" s="113">
        <v>492</v>
      </c>
      <c r="P39" s="3" t="s">
        <v>53</v>
      </c>
      <c r="Q39" s="3"/>
      <c r="R39" s="3"/>
      <c r="S39" s="3" t="s">
        <v>52</v>
      </c>
      <c r="T39" s="3"/>
      <c r="U39" s="3"/>
      <c r="V39" s="113">
        <v>131</v>
      </c>
      <c r="W39" s="113"/>
      <c r="X39" s="3" t="s">
        <v>53</v>
      </c>
      <c r="Y39" s="3"/>
    </row>
    <row r="40" spans="1:26" ht="23.25" x14ac:dyDescent="0.65">
      <c r="A40" s="3"/>
      <c r="B40" s="3" t="s">
        <v>60</v>
      </c>
      <c r="C40" s="3"/>
      <c r="D40" s="3"/>
      <c r="E40" s="3"/>
      <c r="F40" s="3"/>
      <c r="G40" s="3" t="s">
        <v>61</v>
      </c>
      <c r="H40" s="3"/>
      <c r="I40" s="3"/>
      <c r="J40" s="3"/>
      <c r="K40" s="3"/>
      <c r="L40" s="3"/>
      <c r="M40" s="3" t="s">
        <v>19</v>
      </c>
      <c r="N40" s="113">
        <v>21</v>
      </c>
      <c r="O40" s="113">
        <v>82</v>
      </c>
      <c r="P40" s="3" t="s">
        <v>53</v>
      </c>
      <c r="Q40" s="3"/>
      <c r="R40" s="3"/>
      <c r="S40" s="3" t="s">
        <v>52</v>
      </c>
      <c r="T40" s="3"/>
      <c r="U40" s="3"/>
      <c r="V40" s="113">
        <v>11</v>
      </c>
      <c r="W40" s="113"/>
      <c r="X40" s="3" t="s">
        <v>53</v>
      </c>
      <c r="Y40" s="3"/>
    </row>
    <row r="41" spans="1:26" ht="23.25" x14ac:dyDescent="0.65">
      <c r="A41" s="3"/>
      <c r="B41" s="3" t="s">
        <v>64</v>
      </c>
      <c r="C41" s="3"/>
      <c r="D41" s="3"/>
      <c r="E41" s="3"/>
      <c r="F41" s="3"/>
      <c r="G41" s="3" t="s">
        <v>65</v>
      </c>
      <c r="H41" s="3"/>
      <c r="I41" s="3"/>
      <c r="J41" s="3"/>
      <c r="K41" s="3"/>
      <c r="L41" s="3"/>
      <c r="M41" s="3" t="s">
        <v>19</v>
      </c>
      <c r="N41" s="113">
        <v>41</v>
      </c>
      <c r="O41" s="113">
        <v>40</v>
      </c>
      <c r="P41" s="3" t="s">
        <v>53</v>
      </c>
      <c r="Q41" s="3"/>
      <c r="R41" s="3"/>
      <c r="S41" s="3" t="s">
        <v>52</v>
      </c>
      <c r="T41" s="3"/>
      <c r="U41" s="3"/>
      <c r="V41" s="113">
        <v>15</v>
      </c>
      <c r="W41" s="113"/>
      <c r="X41" s="3" t="s">
        <v>53</v>
      </c>
      <c r="Y41" s="3"/>
    </row>
    <row r="42" spans="1:26" ht="23.25" x14ac:dyDescent="0.6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 t="s">
        <v>66</v>
      </c>
      <c r="M42" s="22"/>
      <c r="N42" s="116">
        <f>SUM(N36:N41)</f>
        <v>203</v>
      </c>
      <c r="O42" s="116"/>
      <c r="P42" s="24" t="s">
        <v>53</v>
      </c>
      <c r="Q42" s="22"/>
      <c r="R42" s="22"/>
      <c r="S42" s="116" t="s">
        <v>52</v>
      </c>
      <c r="T42" s="116"/>
      <c r="U42" s="116"/>
      <c r="V42" s="116">
        <f>SUM(V36:W41)</f>
        <v>161</v>
      </c>
      <c r="W42" s="116"/>
      <c r="X42" s="24" t="s">
        <v>53</v>
      </c>
      <c r="Y42" s="23"/>
      <c r="Z42" s="12">
        <f>V42-V19</f>
        <v>117</v>
      </c>
    </row>
    <row r="43" spans="1:26" ht="23.25" x14ac:dyDescent="0.65">
      <c r="A43" s="3" t="s">
        <v>67</v>
      </c>
      <c r="B43" s="25"/>
      <c r="C43" s="25"/>
      <c r="D43" s="25"/>
      <c r="E43" s="25"/>
      <c r="F43" s="2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6" ht="9.9499999999999993" customHeight="1" x14ac:dyDescent="0.6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6" ht="21" x14ac:dyDescent="0.6">
      <c r="A45" s="122" t="s">
        <v>68</v>
      </c>
      <c r="B45" s="123"/>
      <c r="C45" s="123"/>
      <c r="D45" s="123"/>
      <c r="E45" s="124"/>
      <c r="F45" s="122" t="s">
        <v>69</v>
      </c>
      <c r="G45" s="123"/>
      <c r="H45" s="123"/>
      <c r="I45" s="124"/>
      <c r="J45" s="119" t="s">
        <v>70</v>
      </c>
      <c r="K45" s="119"/>
      <c r="L45" s="119"/>
      <c r="M45" s="119"/>
      <c r="N45" s="119"/>
      <c r="O45" s="119"/>
      <c r="P45" s="128" t="s">
        <v>71</v>
      </c>
      <c r="Q45" s="128"/>
      <c r="R45" s="128"/>
      <c r="S45" s="128"/>
      <c r="T45" s="128"/>
      <c r="U45" s="128" t="s">
        <v>72</v>
      </c>
      <c r="V45" s="128"/>
      <c r="W45" s="128"/>
      <c r="X45" s="128"/>
      <c r="Y45" s="128"/>
    </row>
    <row r="46" spans="1:26" ht="19.5" x14ac:dyDescent="0.55000000000000004">
      <c r="A46" s="125"/>
      <c r="B46" s="126"/>
      <c r="C46" s="126"/>
      <c r="D46" s="126"/>
      <c r="E46" s="127"/>
      <c r="F46" s="125"/>
      <c r="G46" s="126"/>
      <c r="H46" s="126"/>
      <c r="I46" s="127"/>
      <c r="J46" s="130" t="s">
        <v>73</v>
      </c>
      <c r="K46" s="130"/>
      <c r="L46" s="130"/>
      <c r="M46" s="130"/>
      <c r="N46" s="130"/>
      <c r="O46" s="130"/>
      <c r="P46" s="129"/>
      <c r="Q46" s="129"/>
      <c r="R46" s="129"/>
      <c r="S46" s="129"/>
      <c r="T46" s="129"/>
      <c r="U46" s="129"/>
      <c r="V46" s="129"/>
      <c r="W46" s="129"/>
      <c r="X46" s="129"/>
      <c r="Y46" s="129"/>
    </row>
    <row r="47" spans="1:26" ht="21" x14ac:dyDescent="0.6">
      <c r="A47" s="117" t="s">
        <v>74</v>
      </c>
      <c r="B47" s="117"/>
      <c r="C47" s="117"/>
      <c r="D47" s="117"/>
      <c r="E47" s="117"/>
      <c r="F47" s="117" t="s">
        <v>75</v>
      </c>
      <c r="G47" s="117"/>
      <c r="H47" s="117"/>
      <c r="I47" s="117"/>
      <c r="J47" s="119" t="s">
        <v>76</v>
      </c>
      <c r="K47" s="119"/>
      <c r="L47" s="119"/>
      <c r="M47" s="119" t="s">
        <v>77</v>
      </c>
      <c r="N47" s="119"/>
      <c r="O47" s="119"/>
      <c r="P47" s="120" t="s">
        <v>78</v>
      </c>
      <c r="Q47" s="117"/>
      <c r="R47" s="117"/>
      <c r="S47" s="117"/>
      <c r="T47" s="117"/>
      <c r="U47" s="117" t="s">
        <v>79</v>
      </c>
      <c r="V47" s="117"/>
      <c r="W47" s="117"/>
      <c r="X47" s="117"/>
      <c r="Y47" s="117"/>
    </row>
    <row r="48" spans="1:26" ht="21" x14ac:dyDescent="0.6">
      <c r="A48" s="117"/>
      <c r="B48" s="117"/>
      <c r="C48" s="117"/>
      <c r="D48" s="117"/>
      <c r="E48" s="117"/>
      <c r="F48" s="118"/>
      <c r="G48" s="118"/>
      <c r="H48" s="118"/>
      <c r="I48" s="118"/>
      <c r="J48" s="121" t="s">
        <v>80</v>
      </c>
      <c r="K48" s="121"/>
      <c r="L48" s="121"/>
      <c r="M48" s="121" t="s">
        <v>81</v>
      </c>
      <c r="N48" s="121"/>
      <c r="O48" s="121"/>
      <c r="P48" s="118"/>
      <c r="Q48" s="118"/>
      <c r="R48" s="118"/>
      <c r="S48" s="118"/>
      <c r="T48" s="118"/>
      <c r="U48" s="118"/>
      <c r="V48" s="118"/>
      <c r="W48" s="118"/>
      <c r="X48" s="118"/>
      <c r="Y48" s="118"/>
    </row>
    <row r="49" spans="1:37" ht="20.100000000000001" customHeight="1" x14ac:dyDescent="0.25">
      <c r="A49" s="140" t="s">
        <v>127</v>
      </c>
      <c r="B49" s="141" t="s">
        <v>82</v>
      </c>
      <c r="C49" s="141" t="s">
        <v>132</v>
      </c>
      <c r="D49" s="141"/>
      <c r="E49" s="142"/>
      <c r="F49" s="135" t="s">
        <v>83</v>
      </c>
      <c r="G49" s="136"/>
      <c r="H49" s="136"/>
      <c r="I49" s="136"/>
      <c r="J49" s="137">
        <v>8</v>
      </c>
      <c r="K49" s="137"/>
      <c r="L49" s="137"/>
      <c r="M49" s="138">
        <v>44</v>
      </c>
      <c r="N49" s="138"/>
      <c r="O49" s="138"/>
      <c r="P49" s="139">
        <f>M49*J49</f>
        <v>352</v>
      </c>
      <c r="Q49" s="139"/>
      <c r="R49" s="139"/>
      <c r="S49" s="139"/>
      <c r="T49" s="139"/>
      <c r="U49" s="131">
        <f>M49*($U$28)</f>
        <v>9152</v>
      </c>
      <c r="V49" s="131"/>
      <c r="W49" s="131"/>
      <c r="X49" s="131"/>
      <c r="Y49" s="131"/>
      <c r="AI49" s="26"/>
      <c r="AK49" s="27"/>
    </row>
    <row r="50" spans="1:37" ht="20.100000000000001" customHeight="1" x14ac:dyDescent="0.25">
      <c r="A50" s="132" t="s">
        <v>127</v>
      </c>
      <c r="B50" s="133" t="s">
        <v>82</v>
      </c>
      <c r="C50" s="133" t="s">
        <v>128</v>
      </c>
      <c r="D50" s="133"/>
      <c r="E50" s="134"/>
      <c r="F50" s="135" t="s">
        <v>83</v>
      </c>
      <c r="G50" s="136"/>
      <c r="H50" s="136"/>
      <c r="I50" s="136"/>
      <c r="J50" s="137">
        <v>8</v>
      </c>
      <c r="K50" s="137"/>
      <c r="L50" s="137"/>
      <c r="M50" s="138">
        <v>17</v>
      </c>
      <c r="N50" s="138"/>
      <c r="O50" s="138"/>
      <c r="P50" s="139">
        <f>M50*J50</f>
        <v>136</v>
      </c>
      <c r="Q50" s="139"/>
      <c r="R50" s="139"/>
      <c r="S50" s="139"/>
      <c r="T50" s="139"/>
      <c r="U50" s="131">
        <f>M50*($U$28)</f>
        <v>3536</v>
      </c>
      <c r="V50" s="131"/>
      <c r="W50" s="131"/>
      <c r="X50" s="131"/>
      <c r="Y50" s="131"/>
      <c r="AI50" s="26"/>
      <c r="AK50" s="27"/>
    </row>
    <row r="51" spans="1:37" ht="20.100000000000001" hidden="1" customHeight="1" x14ac:dyDescent="0.25">
      <c r="A51" s="132" t="s">
        <v>82</v>
      </c>
      <c r="B51" s="133" t="s">
        <v>82</v>
      </c>
      <c r="C51" s="133" t="s">
        <v>84</v>
      </c>
      <c r="D51" s="133"/>
      <c r="E51" s="134"/>
      <c r="F51" s="135" t="s">
        <v>83</v>
      </c>
      <c r="G51" s="136" t="s">
        <v>83</v>
      </c>
      <c r="H51" s="136" t="s">
        <v>83</v>
      </c>
      <c r="I51" s="136" t="s">
        <v>83</v>
      </c>
      <c r="J51" s="137">
        <v>8</v>
      </c>
      <c r="K51" s="137"/>
      <c r="L51" s="137"/>
      <c r="M51" s="138">
        <v>37</v>
      </c>
      <c r="N51" s="138"/>
      <c r="O51" s="138"/>
      <c r="P51" s="139">
        <f t="shared" ref="P51:P67" si="0">M51*J51</f>
        <v>296</v>
      </c>
      <c r="Q51" s="139"/>
      <c r="R51" s="139"/>
      <c r="S51" s="139"/>
      <c r="T51" s="139"/>
      <c r="U51" s="131">
        <f>M51*($U$28)</f>
        <v>7696</v>
      </c>
      <c r="V51" s="131"/>
      <c r="W51" s="131"/>
      <c r="X51" s="131"/>
      <c r="Y51" s="131"/>
      <c r="Z51" s="42"/>
      <c r="AI51" s="26"/>
      <c r="AK51" s="27"/>
    </row>
    <row r="52" spans="1:37" ht="20.100000000000001" hidden="1" customHeight="1" x14ac:dyDescent="0.25">
      <c r="A52" s="132" t="s">
        <v>82</v>
      </c>
      <c r="B52" s="133" t="s">
        <v>82</v>
      </c>
      <c r="C52" s="133" t="s">
        <v>85</v>
      </c>
      <c r="D52" s="133"/>
      <c r="E52" s="134"/>
      <c r="F52" s="143" t="s">
        <v>83</v>
      </c>
      <c r="G52" s="143" t="s">
        <v>83</v>
      </c>
      <c r="H52" s="143" t="s">
        <v>83</v>
      </c>
      <c r="I52" s="143" t="s">
        <v>83</v>
      </c>
      <c r="J52" s="144">
        <v>8</v>
      </c>
      <c r="K52" s="144"/>
      <c r="L52" s="144"/>
      <c r="M52" s="138">
        <v>8</v>
      </c>
      <c r="N52" s="138"/>
      <c r="O52" s="138"/>
      <c r="P52" s="139">
        <f t="shared" si="0"/>
        <v>64</v>
      </c>
      <c r="Q52" s="139"/>
      <c r="R52" s="139"/>
      <c r="S52" s="139"/>
      <c r="T52" s="139"/>
      <c r="U52" s="145">
        <f t="shared" ref="U52:U55" si="1">M52*($U$28)</f>
        <v>1664</v>
      </c>
      <c r="V52" s="145"/>
      <c r="W52" s="145"/>
      <c r="X52" s="145"/>
      <c r="Y52" s="145"/>
      <c r="AI52" s="26"/>
      <c r="AK52" s="27"/>
    </row>
    <row r="53" spans="1:37" ht="20.100000000000001" hidden="1" customHeight="1" x14ac:dyDescent="0.25">
      <c r="A53" s="140" t="s">
        <v>82</v>
      </c>
      <c r="B53" s="141" t="s">
        <v>82</v>
      </c>
      <c r="C53" s="141" t="s">
        <v>86</v>
      </c>
      <c r="D53" s="141"/>
      <c r="E53" s="142"/>
      <c r="F53" s="143" t="s">
        <v>83</v>
      </c>
      <c r="G53" s="143" t="s">
        <v>83</v>
      </c>
      <c r="H53" s="143" t="s">
        <v>83</v>
      </c>
      <c r="I53" s="143" t="s">
        <v>83</v>
      </c>
      <c r="J53" s="144">
        <v>8</v>
      </c>
      <c r="K53" s="144"/>
      <c r="L53" s="144"/>
      <c r="M53" s="138">
        <v>25</v>
      </c>
      <c r="N53" s="138"/>
      <c r="O53" s="138"/>
      <c r="P53" s="139">
        <f t="shared" si="0"/>
        <v>200</v>
      </c>
      <c r="Q53" s="139"/>
      <c r="R53" s="139"/>
      <c r="S53" s="139"/>
      <c r="T53" s="139"/>
      <c r="U53" s="145">
        <f t="shared" si="1"/>
        <v>5200</v>
      </c>
      <c r="V53" s="145"/>
      <c r="W53" s="145"/>
      <c r="X53" s="145"/>
      <c r="Y53" s="145"/>
      <c r="AI53" s="26"/>
      <c r="AK53" s="27"/>
    </row>
    <row r="54" spans="1:37" ht="20.100000000000001" hidden="1" customHeight="1" x14ac:dyDescent="0.25">
      <c r="A54" s="140" t="s">
        <v>87</v>
      </c>
      <c r="B54" s="141"/>
      <c r="C54" s="141" t="s">
        <v>84</v>
      </c>
      <c r="D54" s="141"/>
      <c r="E54" s="142"/>
      <c r="F54" s="143" t="s">
        <v>83</v>
      </c>
      <c r="G54" s="143" t="s">
        <v>83</v>
      </c>
      <c r="H54" s="143" t="s">
        <v>83</v>
      </c>
      <c r="I54" s="143" t="s">
        <v>83</v>
      </c>
      <c r="J54" s="144">
        <v>8</v>
      </c>
      <c r="K54" s="144"/>
      <c r="L54" s="144"/>
      <c r="M54" s="138">
        <v>44</v>
      </c>
      <c r="N54" s="138"/>
      <c r="O54" s="138"/>
      <c r="P54" s="139">
        <f t="shared" si="0"/>
        <v>352</v>
      </c>
      <c r="Q54" s="139"/>
      <c r="R54" s="139"/>
      <c r="S54" s="139"/>
      <c r="T54" s="139"/>
      <c r="U54" s="145">
        <f t="shared" si="1"/>
        <v>9152</v>
      </c>
      <c r="V54" s="145"/>
      <c r="W54" s="145"/>
      <c r="X54" s="145"/>
      <c r="Y54" s="145"/>
      <c r="AI54" s="26"/>
      <c r="AK54" s="27"/>
    </row>
    <row r="55" spans="1:37" ht="20.100000000000001" hidden="1" customHeight="1" x14ac:dyDescent="0.25">
      <c r="A55" s="140" t="s">
        <v>87</v>
      </c>
      <c r="B55" s="141"/>
      <c r="C55" s="141" t="s">
        <v>85</v>
      </c>
      <c r="D55" s="141"/>
      <c r="E55" s="142"/>
      <c r="F55" s="143" t="s">
        <v>83</v>
      </c>
      <c r="G55" s="143" t="s">
        <v>83</v>
      </c>
      <c r="H55" s="143" t="s">
        <v>83</v>
      </c>
      <c r="I55" s="143" t="s">
        <v>83</v>
      </c>
      <c r="J55" s="144">
        <v>8</v>
      </c>
      <c r="K55" s="144"/>
      <c r="L55" s="144"/>
      <c r="M55" s="138">
        <v>15</v>
      </c>
      <c r="N55" s="138"/>
      <c r="O55" s="138"/>
      <c r="P55" s="139">
        <f t="shared" si="0"/>
        <v>120</v>
      </c>
      <c r="Q55" s="139"/>
      <c r="R55" s="139"/>
      <c r="S55" s="139"/>
      <c r="T55" s="139"/>
      <c r="U55" s="145">
        <f t="shared" si="1"/>
        <v>3120</v>
      </c>
      <c r="V55" s="145"/>
      <c r="W55" s="145"/>
      <c r="X55" s="145"/>
      <c r="Y55" s="145"/>
      <c r="AI55" s="26"/>
      <c r="AK55" s="27"/>
    </row>
    <row r="56" spans="1:37" ht="20.100000000000001" hidden="1" customHeight="1" x14ac:dyDescent="0.25">
      <c r="A56" s="140" t="s">
        <v>82</v>
      </c>
      <c r="B56" s="141" t="s">
        <v>82</v>
      </c>
      <c r="C56" s="141" t="s">
        <v>84</v>
      </c>
      <c r="D56" s="141"/>
      <c r="E56" s="142"/>
      <c r="F56" s="143" t="s">
        <v>83</v>
      </c>
      <c r="G56" s="143" t="s">
        <v>83</v>
      </c>
      <c r="H56" s="143" t="s">
        <v>83</v>
      </c>
      <c r="I56" s="143" t="s">
        <v>83</v>
      </c>
      <c r="J56" s="144">
        <v>2</v>
      </c>
      <c r="K56" s="144"/>
      <c r="L56" s="144"/>
      <c r="M56" s="138">
        <v>80</v>
      </c>
      <c r="N56" s="138"/>
      <c r="O56" s="138"/>
      <c r="P56" s="139">
        <f t="shared" si="0"/>
        <v>160</v>
      </c>
      <c r="Q56" s="139"/>
      <c r="R56" s="139"/>
      <c r="S56" s="139"/>
      <c r="T56" s="139"/>
      <c r="U56" s="145">
        <f>M56*($N$29)</f>
        <v>0</v>
      </c>
      <c r="V56" s="145"/>
      <c r="W56" s="145"/>
      <c r="X56" s="145"/>
      <c r="Y56" s="145"/>
      <c r="AI56" s="26"/>
      <c r="AK56" s="27"/>
    </row>
    <row r="57" spans="1:37" ht="20.100000000000001" hidden="1" customHeight="1" x14ac:dyDescent="0.25">
      <c r="A57" s="140" t="s">
        <v>87</v>
      </c>
      <c r="B57" s="141" t="s">
        <v>82</v>
      </c>
      <c r="C57" s="141" t="s">
        <v>84</v>
      </c>
      <c r="D57" s="141"/>
      <c r="E57" s="142"/>
      <c r="F57" s="143" t="s">
        <v>83</v>
      </c>
      <c r="G57" s="143" t="s">
        <v>83</v>
      </c>
      <c r="H57" s="143" t="s">
        <v>83</v>
      </c>
      <c r="I57" s="143" t="s">
        <v>83</v>
      </c>
      <c r="J57" s="144">
        <v>2</v>
      </c>
      <c r="K57" s="144"/>
      <c r="L57" s="144"/>
      <c r="M57" s="138">
        <v>68</v>
      </c>
      <c r="N57" s="138"/>
      <c r="O57" s="138"/>
      <c r="P57" s="139">
        <f t="shared" si="0"/>
        <v>136</v>
      </c>
      <c r="Q57" s="139"/>
      <c r="R57" s="139"/>
      <c r="S57" s="139"/>
      <c r="T57" s="139"/>
      <c r="U57" s="145">
        <f t="shared" ref="U57:U58" si="2">M57*($N$29)</f>
        <v>0</v>
      </c>
      <c r="V57" s="145"/>
      <c r="W57" s="145"/>
      <c r="X57" s="145"/>
      <c r="Y57" s="145"/>
      <c r="AI57" s="26"/>
      <c r="AK57" s="27"/>
    </row>
    <row r="58" spans="1:37" ht="20.100000000000001" hidden="1" customHeight="1" x14ac:dyDescent="0.25">
      <c r="A58" s="140" t="s">
        <v>87</v>
      </c>
      <c r="B58" s="141" t="s">
        <v>82</v>
      </c>
      <c r="C58" s="141" t="s">
        <v>86</v>
      </c>
      <c r="D58" s="141"/>
      <c r="E58" s="142"/>
      <c r="F58" s="143" t="s">
        <v>83</v>
      </c>
      <c r="G58" s="143" t="s">
        <v>83</v>
      </c>
      <c r="H58" s="143" t="s">
        <v>83</v>
      </c>
      <c r="I58" s="143" t="s">
        <v>83</v>
      </c>
      <c r="J58" s="144">
        <v>2</v>
      </c>
      <c r="K58" s="144"/>
      <c r="L58" s="144"/>
      <c r="M58" s="138">
        <v>19</v>
      </c>
      <c r="N58" s="138"/>
      <c r="O58" s="138"/>
      <c r="P58" s="139">
        <f t="shared" si="0"/>
        <v>38</v>
      </c>
      <c r="Q58" s="139"/>
      <c r="R58" s="139"/>
      <c r="S58" s="139"/>
      <c r="T58" s="139"/>
      <c r="U58" s="145">
        <f t="shared" si="2"/>
        <v>0</v>
      </c>
      <c r="V58" s="145"/>
      <c r="W58" s="145"/>
      <c r="X58" s="145"/>
      <c r="Y58" s="145"/>
      <c r="AI58" s="26"/>
      <c r="AK58" s="27"/>
    </row>
    <row r="59" spans="1:37" ht="20.100000000000001" hidden="1" customHeight="1" x14ac:dyDescent="0.25">
      <c r="A59" s="140" t="s">
        <v>82</v>
      </c>
      <c r="B59" s="141" t="s">
        <v>82</v>
      </c>
      <c r="C59" s="141" t="s">
        <v>85</v>
      </c>
      <c r="D59" s="141"/>
      <c r="E59" s="142"/>
      <c r="F59" s="136" t="s">
        <v>88</v>
      </c>
      <c r="G59" s="136" t="s">
        <v>83</v>
      </c>
      <c r="H59" s="136" t="s">
        <v>83</v>
      </c>
      <c r="I59" s="136" t="s">
        <v>83</v>
      </c>
      <c r="J59" s="137">
        <v>2</v>
      </c>
      <c r="K59" s="137"/>
      <c r="L59" s="137"/>
      <c r="M59" s="138">
        <v>15</v>
      </c>
      <c r="N59" s="138"/>
      <c r="O59" s="138"/>
      <c r="P59" s="139">
        <f>M59*J59</f>
        <v>30</v>
      </c>
      <c r="Q59" s="139"/>
      <c r="R59" s="139"/>
      <c r="S59" s="139"/>
      <c r="T59" s="139"/>
      <c r="U59" s="131">
        <f>M59*($N$29)</f>
        <v>0</v>
      </c>
      <c r="V59" s="131"/>
      <c r="W59" s="131"/>
      <c r="X59" s="131"/>
      <c r="Y59" s="131"/>
      <c r="AF59"/>
      <c r="AG59"/>
      <c r="AH59"/>
      <c r="AI59" s="26"/>
      <c r="AK59" s="27"/>
    </row>
    <row r="60" spans="1:37" ht="20.100000000000001" hidden="1" customHeight="1" x14ac:dyDescent="0.25">
      <c r="A60" s="140" t="s">
        <v>82</v>
      </c>
      <c r="B60" s="141" t="s">
        <v>82</v>
      </c>
      <c r="C60" s="141" t="s">
        <v>89</v>
      </c>
      <c r="D60" s="141"/>
      <c r="E60" s="142"/>
      <c r="F60" s="143" t="s">
        <v>88</v>
      </c>
      <c r="G60" s="143" t="s">
        <v>83</v>
      </c>
      <c r="H60" s="143" t="s">
        <v>83</v>
      </c>
      <c r="I60" s="143" t="s">
        <v>83</v>
      </c>
      <c r="J60" s="137">
        <v>2</v>
      </c>
      <c r="K60" s="137"/>
      <c r="L60" s="137"/>
      <c r="M60" s="138">
        <v>4</v>
      </c>
      <c r="N60" s="138">
        <v>4</v>
      </c>
      <c r="O60" s="138">
        <v>4</v>
      </c>
      <c r="P60" s="139">
        <f t="shared" si="0"/>
        <v>8</v>
      </c>
      <c r="Q60" s="139"/>
      <c r="R60" s="139"/>
      <c r="S60" s="139"/>
      <c r="T60" s="139"/>
      <c r="U60" s="145">
        <f>M60*($N$29)</f>
        <v>0</v>
      </c>
      <c r="V60" s="145"/>
      <c r="W60" s="145"/>
      <c r="X60" s="145"/>
      <c r="Y60" s="145"/>
      <c r="AA60" s="28" t="e">
        <f>#REF!-#REF!</f>
        <v>#REF!</v>
      </c>
    </row>
    <row r="61" spans="1:37" ht="20.100000000000001" hidden="1" customHeight="1" x14ac:dyDescent="0.25">
      <c r="A61" s="140" t="s">
        <v>82</v>
      </c>
      <c r="B61" s="141" t="s">
        <v>82</v>
      </c>
      <c r="C61" s="141" t="s">
        <v>86</v>
      </c>
      <c r="D61" s="141"/>
      <c r="E61" s="142"/>
      <c r="F61" s="143" t="s">
        <v>88</v>
      </c>
      <c r="G61" s="143" t="s">
        <v>83</v>
      </c>
      <c r="H61" s="143" t="s">
        <v>83</v>
      </c>
      <c r="I61" s="143" t="s">
        <v>83</v>
      </c>
      <c r="J61" s="137">
        <v>2</v>
      </c>
      <c r="K61" s="137"/>
      <c r="L61" s="137"/>
      <c r="M61" s="138">
        <v>4</v>
      </c>
      <c r="N61" s="138"/>
      <c r="O61" s="138"/>
      <c r="P61" s="139">
        <f t="shared" si="0"/>
        <v>8</v>
      </c>
      <c r="Q61" s="139"/>
      <c r="R61" s="139"/>
      <c r="S61" s="139"/>
      <c r="T61" s="139"/>
      <c r="U61" s="145">
        <f t="shared" ref="U61:U67" si="3">M61*($N$29)</f>
        <v>0</v>
      </c>
      <c r="V61" s="145"/>
      <c r="W61" s="145"/>
      <c r="X61" s="145"/>
      <c r="Y61" s="145"/>
      <c r="AA61" s="28"/>
    </row>
    <row r="62" spans="1:37" ht="20.100000000000001" hidden="1" customHeight="1" x14ac:dyDescent="0.25">
      <c r="A62" s="140" t="s">
        <v>82</v>
      </c>
      <c r="B62" s="141" t="s">
        <v>82</v>
      </c>
      <c r="C62" s="141" t="s">
        <v>89</v>
      </c>
      <c r="D62" s="141"/>
      <c r="E62" s="142"/>
      <c r="F62" s="143" t="s">
        <v>83</v>
      </c>
      <c r="G62" s="143" t="s">
        <v>83</v>
      </c>
      <c r="H62" s="143" t="s">
        <v>83</v>
      </c>
      <c r="I62" s="143" t="s">
        <v>83</v>
      </c>
      <c r="J62" s="137">
        <v>2</v>
      </c>
      <c r="K62" s="137"/>
      <c r="L62" s="137"/>
      <c r="M62" s="138">
        <v>19</v>
      </c>
      <c r="N62" s="138">
        <v>4</v>
      </c>
      <c r="O62" s="138">
        <v>4</v>
      </c>
      <c r="P62" s="139">
        <f t="shared" si="0"/>
        <v>38</v>
      </c>
      <c r="Q62" s="139"/>
      <c r="R62" s="139"/>
      <c r="S62" s="139"/>
      <c r="T62" s="139"/>
      <c r="U62" s="145">
        <f t="shared" si="3"/>
        <v>0</v>
      </c>
      <c r="V62" s="145"/>
      <c r="W62" s="145"/>
      <c r="X62" s="145"/>
      <c r="Y62" s="145"/>
      <c r="AA62" s="28"/>
    </row>
    <row r="63" spans="1:37" ht="20.100000000000001" hidden="1" customHeight="1" x14ac:dyDescent="0.25">
      <c r="A63" s="140" t="s">
        <v>82</v>
      </c>
      <c r="B63" s="141" t="s">
        <v>82</v>
      </c>
      <c r="C63" s="141" t="s">
        <v>91</v>
      </c>
      <c r="D63" s="141"/>
      <c r="E63" s="142"/>
      <c r="F63" s="143" t="s">
        <v>88</v>
      </c>
      <c r="G63" s="143"/>
      <c r="H63" s="143"/>
      <c r="I63" s="143"/>
      <c r="J63" s="137">
        <v>2</v>
      </c>
      <c r="K63" s="137"/>
      <c r="L63" s="137"/>
      <c r="M63" s="138">
        <v>4</v>
      </c>
      <c r="N63" s="138"/>
      <c r="O63" s="138"/>
      <c r="P63" s="139">
        <f t="shared" si="0"/>
        <v>8</v>
      </c>
      <c r="Q63" s="139"/>
      <c r="R63" s="139"/>
      <c r="S63" s="139"/>
      <c r="T63" s="139"/>
      <c r="U63" s="145">
        <f>M63*($N$29)</f>
        <v>0</v>
      </c>
      <c r="V63" s="145"/>
      <c r="W63" s="145"/>
      <c r="X63" s="145"/>
      <c r="Y63" s="145"/>
      <c r="AA63" s="28"/>
    </row>
    <row r="64" spans="1:37" ht="20.100000000000001" hidden="1" customHeight="1" x14ac:dyDescent="0.25">
      <c r="A64" s="140" t="s">
        <v>87</v>
      </c>
      <c r="B64" s="141"/>
      <c r="C64" s="141" t="s">
        <v>89</v>
      </c>
      <c r="D64" s="141"/>
      <c r="E64" s="142"/>
      <c r="F64" s="143" t="s">
        <v>88</v>
      </c>
      <c r="G64" s="143"/>
      <c r="H64" s="143"/>
      <c r="I64" s="143"/>
      <c r="J64" s="137">
        <v>2</v>
      </c>
      <c r="K64" s="137"/>
      <c r="L64" s="137"/>
      <c r="M64" s="138">
        <v>2</v>
      </c>
      <c r="N64" s="138"/>
      <c r="O64" s="138"/>
      <c r="P64" s="139">
        <f t="shared" si="0"/>
        <v>4</v>
      </c>
      <c r="Q64" s="139"/>
      <c r="R64" s="139"/>
      <c r="S64" s="139"/>
      <c r="T64" s="139"/>
      <c r="U64" s="145">
        <f t="shared" ref="U64:U66" si="4">M64*($N$29)</f>
        <v>0</v>
      </c>
      <c r="V64" s="145"/>
      <c r="W64" s="145"/>
      <c r="X64" s="145"/>
      <c r="Y64" s="145"/>
      <c r="AA64" s="28"/>
    </row>
    <row r="65" spans="1:34" ht="20.100000000000001" hidden="1" customHeight="1" x14ac:dyDescent="0.25">
      <c r="A65" s="140" t="s">
        <v>87</v>
      </c>
      <c r="B65" s="141"/>
      <c r="C65" s="141" t="s">
        <v>86</v>
      </c>
      <c r="D65" s="141"/>
      <c r="E65" s="142"/>
      <c r="F65" s="143" t="s">
        <v>88</v>
      </c>
      <c r="G65" s="143"/>
      <c r="H65" s="143"/>
      <c r="I65" s="143"/>
      <c r="J65" s="137">
        <v>2</v>
      </c>
      <c r="K65" s="137"/>
      <c r="L65" s="137"/>
      <c r="M65" s="138">
        <v>4</v>
      </c>
      <c r="N65" s="138"/>
      <c r="O65" s="138"/>
      <c r="P65" s="139">
        <f t="shared" si="0"/>
        <v>8</v>
      </c>
      <c r="Q65" s="139"/>
      <c r="R65" s="139"/>
      <c r="S65" s="139"/>
      <c r="T65" s="139"/>
      <c r="U65" s="145">
        <f t="shared" si="4"/>
        <v>0</v>
      </c>
      <c r="V65" s="145"/>
      <c r="W65" s="145"/>
      <c r="X65" s="145"/>
      <c r="Y65" s="145"/>
      <c r="AA65" s="28"/>
    </row>
    <row r="66" spans="1:34" ht="20.100000000000001" hidden="1" customHeight="1" x14ac:dyDescent="0.25">
      <c r="A66" s="140" t="s">
        <v>92</v>
      </c>
      <c r="B66" s="141"/>
      <c r="C66" s="141" t="s">
        <v>93</v>
      </c>
      <c r="D66" s="141"/>
      <c r="E66" s="142"/>
      <c r="F66" s="143" t="s">
        <v>83</v>
      </c>
      <c r="G66" s="143"/>
      <c r="H66" s="143"/>
      <c r="I66" s="143"/>
      <c r="J66" s="137">
        <v>2</v>
      </c>
      <c r="K66" s="137"/>
      <c r="L66" s="137"/>
      <c r="M66" s="138">
        <v>5</v>
      </c>
      <c r="N66" s="138"/>
      <c r="O66" s="138"/>
      <c r="P66" s="139">
        <f t="shared" si="0"/>
        <v>10</v>
      </c>
      <c r="Q66" s="139"/>
      <c r="R66" s="139"/>
      <c r="S66" s="139"/>
      <c r="T66" s="139"/>
      <c r="U66" s="145">
        <f t="shared" si="4"/>
        <v>0</v>
      </c>
      <c r="V66" s="145"/>
      <c r="W66" s="145"/>
      <c r="X66" s="145"/>
      <c r="Y66" s="145"/>
      <c r="AA66" s="28"/>
    </row>
    <row r="67" spans="1:34" ht="8.4499999999999993" hidden="1" customHeight="1" x14ac:dyDescent="0.25">
      <c r="A67" s="140" t="s">
        <v>92</v>
      </c>
      <c r="B67" s="141"/>
      <c r="C67" s="141" t="s">
        <v>94</v>
      </c>
      <c r="D67" s="141"/>
      <c r="E67" s="142"/>
      <c r="F67" s="150" t="s">
        <v>88</v>
      </c>
      <c r="G67" s="151"/>
      <c r="H67" s="151"/>
      <c r="I67" s="135"/>
      <c r="J67" s="152">
        <v>2</v>
      </c>
      <c r="K67" s="153"/>
      <c r="L67" s="154"/>
      <c r="M67" s="155">
        <v>5</v>
      </c>
      <c r="N67" s="156"/>
      <c r="O67" s="157"/>
      <c r="P67" s="158">
        <f t="shared" si="0"/>
        <v>10</v>
      </c>
      <c r="Q67" s="159"/>
      <c r="R67" s="159"/>
      <c r="S67" s="159"/>
      <c r="T67" s="160"/>
      <c r="U67" s="146">
        <f t="shared" si="3"/>
        <v>0</v>
      </c>
      <c r="V67" s="147"/>
      <c r="W67" s="147"/>
      <c r="X67" s="147"/>
      <c r="Y67" s="148"/>
      <c r="AA67" s="28"/>
    </row>
    <row r="68" spans="1:34" ht="23.2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30"/>
      <c r="K68" s="30"/>
      <c r="L68" s="30"/>
      <c r="M68" s="31"/>
      <c r="N68" s="31"/>
      <c r="O68" s="31"/>
      <c r="P68" s="32"/>
      <c r="Q68" s="32"/>
      <c r="R68" s="32"/>
      <c r="S68" s="32"/>
      <c r="T68" s="32"/>
      <c r="U68" s="32"/>
      <c r="V68" s="32"/>
      <c r="W68" s="32"/>
      <c r="X68" s="32"/>
      <c r="Y68" s="32"/>
      <c r="AA68" s="27"/>
      <c r="AF68"/>
      <c r="AG68"/>
      <c r="AH68"/>
    </row>
    <row r="69" spans="1:34" s="3" customFormat="1" ht="23.25" x14ac:dyDescent="0.65">
      <c r="A69" s="3" t="s">
        <v>95</v>
      </c>
    </row>
    <row r="70" spans="1:34" ht="21" x14ac:dyDescent="0.6">
      <c r="A70" s="122" t="s">
        <v>68</v>
      </c>
      <c r="B70" s="123"/>
      <c r="C70" s="123"/>
      <c r="D70" s="123"/>
      <c r="E70" s="124"/>
      <c r="F70" s="122" t="s">
        <v>69</v>
      </c>
      <c r="G70" s="123"/>
      <c r="H70" s="123"/>
      <c r="I70" s="124"/>
      <c r="J70" s="119" t="s">
        <v>96</v>
      </c>
      <c r="K70" s="119"/>
      <c r="L70" s="119"/>
      <c r="M70" s="119"/>
      <c r="N70" s="119"/>
      <c r="O70" s="119"/>
      <c r="P70" s="122" t="s">
        <v>66</v>
      </c>
      <c r="Q70" s="123"/>
      <c r="R70" s="123"/>
      <c r="S70" s="123"/>
      <c r="T70" s="124"/>
      <c r="U70" s="122" t="s">
        <v>97</v>
      </c>
      <c r="V70" s="123"/>
      <c r="W70" s="123"/>
      <c r="X70" s="123"/>
      <c r="Y70" s="124"/>
      <c r="AF70"/>
      <c r="AG70"/>
      <c r="AH70"/>
    </row>
    <row r="71" spans="1:34" ht="21" x14ac:dyDescent="0.6">
      <c r="A71" s="125"/>
      <c r="B71" s="126"/>
      <c r="C71" s="126"/>
      <c r="D71" s="126"/>
      <c r="E71" s="127"/>
      <c r="F71" s="125"/>
      <c r="G71" s="126"/>
      <c r="H71" s="126"/>
      <c r="I71" s="127"/>
      <c r="J71" s="149" t="s">
        <v>98</v>
      </c>
      <c r="K71" s="149"/>
      <c r="L71" s="149"/>
      <c r="M71" s="149"/>
      <c r="N71" s="149"/>
      <c r="O71" s="149"/>
      <c r="P71" s="125"/>
      <c r="Q71" s="126"/>
      <c r="R71" s="126"/>
      <c r="S71" s="126"/>
      <c r="T71" s="127"/>
      <c r="U71" s="125"/>
      <c r="V71" s="126"/>
      <c r="W71" s="126"/>
      <c r="X71" s="126"/>
      <c r="Y71" s="127"/>
      <c r="AF71"/>
      <c r="AG71"/>
      <c r="AH71"/>
    </row>
    <row r="72" spans="1:34" ht="19.5" customHeight="1" x14ac:dyDescent="0.25">
      <c r="A72" s="117" t="s">
        <v>74</v>
      </c>
      <c r="B72" s="117"/>
      <c r="C72" s="117"/>
      <c r="D72" s="117"/>
      <c r="E72" s="117"/>
      <c r="F72" s="117" t="s">
        <v>75</v>
      </c>
      <c r="G72" s="117"/>
      <c r="H72" s="117"/>
      <c r="I72" s="117"/>
      <c r="J72" s="122" t="s">
        <v>99</v>
      </c>
      <c r="K72" s="123"/>
      <c r="L72" s="123"/>
      <c r="M72" s="122" t="s">
        <v>100</v>
      </c>
      <c r="N72" s="123"/>
      <c r="O72" s="123"/>
      <c r="P72" s="117" t="s">
        <v>101</v>
      </c>
      <c r="Q72" s="117"/>
      <c r="R72" s="117"/>
      <c r="S72" s="117"/>
      <c r="T72" s="117"/>
      <c r="U72" s="117" t="s">
        <v>102</v>
      </c>
      <c r="V72" s="117"/>
      <c r="W72" s="117"/>
      <c r="X72" s="117"/>
      <c r="Y72" s="117"/>
      <c r="AF72"/>
      <c r="AG72"/>
      <c r="AH72"/>
    </row>
    <row r="73" spans="1:34" ht="21" x14ac:dyDescent="0.6">
      <c r="A73" s="118"/>
      <c r="B73" s="118"/>
      <c r="C73" s="118"/>
      <c r="D73" s="118"/>
      <c r="E73" s="118"/>
      <c r="F73" s="118"/>
      <c r="G73" s="118"/>
      <c r="H73" s="118"/>
      <c r="I73" s="118"/>
      <c r="J73" s="121" t="s">
        <v>103</v>
      </c>
      <c r="K73" s="121"/>
      <c r="L73" s="121"/>
      <c r="M73" s="121" t="s">
        <v>104</v>
      </c>
      <c r="N73" s="121"/>
      <c r="O73" s="121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AF73"/>
      <c r="AG73"/>
      <c r="AH73"/>
    </row>
    <row r="74" spans="1:34" ht="20.100000000000001" customHeight="1" x14ac:dyDescent="0.25">
      <c r="A74" s="140" t="s">
        <v>127</v>
      </c>
      <c r="B74" s="141" t="s">
        <v>82</v>
      </c>
      <c r="C74" s="141" t="s">
        <v>132</v>
      </c>
      <c r="D74" s="141"/>
      <c r="E74" s="142"/>
      <c r="F74" s="136" t="str">
        <f t="shared" ref="F74:F92" si="5">F49</f>
        <v>WOVEN</v>
      </c>
      <c r="G74" s="136"/>
      <c r="H74" s="136"/>
      <c r="I74" s="136"/>
      <c r="J74" s="158">
        <f>M74*12</f>
        <v>3</v>
      </c>
      <c r="K74" s="159"/>
      <c r="L74" s="160"/>
      <c r="M74" s="165">
        <v>0.25</v>
      </c>
      <c r="N74" s="165"/>
      <c r="O74" s="165"/>
      <c r="P74" s="131">
        <f t="shared" ref="P74:P81" si="6">U49</f>
        <v>9152</v>
      </c>
      <c r="Q74" s="131"/>
      <c r="R74" s="131"/>
      <c r="S74" s="131"/>
      <c r="T74" s="131"/>
      <c r="U74" s="161">
        <f>P74*M74</f>
        <v>2288</v>
      </c>
      <c r="V74" s="161"/>
      <c r="W74" s="161"/>
      <c r="X74" s="161"/>
      <c r="Y74" s="161"/>
      <c r="AF74"/>
      <c r="AG74"/>
      <c r="AH74"/>
    </row>
    <row r="75" spans="1:34" ht="20.100000000000001" customHeight="1" x14ac:dyDescent="0.25">
      <c r="A75" s="132" t="s">
        <v>127</v>
      </c>
      <c r="B75" s="133" t="s">
        <v>82</v>
      </c>
      <c r="C75" s="133" t="s">
        <v>128</v>
      </c>
      <c r="D75" s="133"/>
      <c r="E75" s="134"/>
      <c r="F75" s="136" t="str">
        <f t="shared" si="5"/>
        <v>WOVEN</v>
      </c>
      <c r="G75" s="136"/>
      <c r="H75" s="136"/>
      <c r="I75" s="136"/>
      <c r="J75" s="139">
        <f>M75*12</f>
        <v>2.4000000000000004</v>
      </c>
      <c r="K75" s="139"/>
      <c r="L75" s="139"/>
      <c r="M75" s="162">
        <v>0.2</v>
      </c>
      <c r="N75" s="163"/>
      <c r="O75" s="164"/>
      <c r="P75" s="131">
        <f t="shared" si="6"/>
        <v>3536</v>
      </c>
      <c r="Q75" s="131"/>
      <c r="R75" s="131"/>
      <c r="S75" s="131"/>
      <c r="T75" s="131"/>
      <c r="U75" s="161">
        <f>P75*M75</f>
        <v>707.2</v>
      </c>
      <c r="V75" s="161"/>
      <c r="W75" s="161"/>
      <c r="X75" s="161"/>
      <c r="Y75" s="161"/>
    </row>
    <row r="76" spans="1:34" ht="20.100000000000001" hidden="1" customHeight="1" x14ac:dyDescent="0.25">
      <c r="A76" s="150" t="str">
        <f t="shared" ref="A76:A81" si="7">A51</f>
        <v>MEN</v>
      </c>
      <c r="B76" s="151" t="s">
        <v>82</v>
      </c>
      <c r="C76" s="151" t="str">
        <f t="shared" ref="C76:C81" si="8">C51</f>
        <v xml:space="preserve">PANT </v>
      </c>
      <c r="D76" s="151" t="s">
        <v>90</v>
      </c>
      <c r="E76" s="135" t="s">
        <v>90</v>
      </c>
      <c r="F76" s="136" t="str">
        <f t="shared" si="5"/>
        <v>WOVEN</v>
      </c>
      <c r="G76" s="136"/>
      <c r="H76" s="136"/>
      <c r="I76" s="136"/>
      <c r="J76" s="139">
        <f t="shared" ref="J76:J84" si="9">M76*12</f>
        <v>3.4948368104441316</v>
      </c>
      <c r="K76" s="139"/>
      <c r="L76" s="139"/>
      <c r="M76" s="162">
        <v>0.2912364008703443</v>
      </c>
      <c r="N76" s="163"/>
      <c r="O76" s="164"/>
      <c r="P76" s="131">
        <f t="shared" si="6"/>
        <v>7696</v>
      </c>
      <c r="Q76" s="131"/>
      <c r="R76" s="131"/>
      <c r="S76" s="131"/>
      <c r="T76" s="131"/>
      <c r="U76" s="161">
        <f t="shared" ref="U76:U100" si="10">P76*M76</f>
        <v>2241.3553410981699</v>
      </c>
      <c r="V76" s="161"/>
      <c r="W76" s="161"/>
      <c r="X76" s="161"/>
      <c r="Y76" s="161"/>
    </row>
    <row r="77" spans="1:34" ht="20.100000000000001" hidden="1" customHeight="1" x14ac:dyDescent="0.25">
      <c r="A77" s="150" t="str">
        <f t="shared" si="7"/>
        <v>MEN</v>
      </c>
      <c r="B77" s="151" t="s">
        <v>82</v>
      </c>
      <c r="C77" s="151" t="str">
        <f t="shared" si="8"/>
        <v>SHORT</v>
      </c>
      <c r="D77" s="151" t="s">
        <v>90</v>
      </c>
      <c r="E77" s="135" t="s">
        <v>90</v>
      </c>
      <c r="F77" s="136" t="str">
        <f t="shared" si="5"/>
        <v>WOVEN</v>
      </c>
      <c r="G77" s="136"/>
      <c r="H77" s="136"/>
      <c r="I77" s="136"/>
      <c r="J77" s="139">
        <f t="shared" si="9"/>
        <v>2.1546103038309115</v>
      </c>
      <c r="K77" s="139"/>
      <c r="L77" s="139"/>
      <c r="M77" s="162">
        <v>0.17955085865257597</v>
      </c>
      <c r="N77" s="163"/>
      <c r="O77" s="164"/>
      <c r="P77" s="131">
        <f t="shared" si="6"/>
        <v>1664</v>
      </c>
      <c r="Q77" s="131"/>
      <c r="R77" s="131"/>
      <c r="S77" s="131"/>
      <c r="T77" s="131"/>
      <c r="U77" s="161">
        <f t="shared" si="10"/>
        <v>298.7726287978864</v>
      </c>
      <c r="V77" s="161"/>
      <c r="W77" s="161"/>
      <c r="X77" s="161"/>
      <c r="Y77" s="161"/>
      <c r="AB77" s="33"/>
    </row>
    <row r="78" spans="1:34" ht="20.100000000000001" hidden="1" customHeight="1" x14ac:dyDescent="0.25">
      <c r="A78" s="150" t="str">
        <f t="shared" si="7"/>
        <v>MEN</v>
      </c>
      <c r="B78" s="151" t="s">
        <v>82</v>
      </c>
      <c r="C78" s="151" t="str">
        <f t="shared" si="8"/>
        <v xml:space="preserve">SHIRT </v>
      </c>
      <c r="D78" s="151" t="s">
        <v>90</v>
      </c>
      <c r="E78" s="135" t="s">
        <v>90</v>
      </c>
      <c r="F78" s="136" t="str">
        <f t="shared" si="5"/>
        <v>WOVEN</v>
      </c>
      <c r="G78" s="136"/>
      <c r="H78" s="136"/>
      <c r="I78" s="136"/>
      <c r="J78" s="139">
        <f t="shared" si="9"/>
        <v>3.0224827056110684</v>
      </c>
      <c r="K78" s="139"/>
      <c r="L78" s="139"/>
      <c r="M78" s="162">
        <v>0.25187355880092238</v>
      </c>
      <c r="N78" s="163"/>
      <c r="O78" s="164"/>
      <c r="P78" s="131">
        <f t="shared" si="6"/>
        <v>5200</v>
      </c>
      <c r="Q78" s="131"/>
      <c r="R78" s="131"/>
      <c r="S78" s="131"/>
      <c r="T78" s="131"/>
      <c r="U78" s="161">
        <f t="shared" si="10"/>
        <v>1309.7425057647963</v>
      </c>
      <c r="V78" s="161"/>
      <c r="W78" s="161"/>
      <c r="X78" s="161"/>
      <c r="Y78" s="161"/>
    </row>
    <row r="79" spans="1:34" ht="20.100000000000001" hidden="1" customHeight="1" x14ac:dyDescent="0.25">
      <c r="A79" s="150" t="str">
        <f t="shared" si="7"/>
        <v>WOMEN</v>
      </c>
      <c r="B79" s="151" t="s">
        <v>82</v>
      </c>
      <c r="C79" s="151" t="str">
        <f t="shared" si="8"/>
        <v xml:space="preserve">PANT </v>
      </c>
      <c r="D79" s="151" t="s">
        <v>90</v>
      </c>
      <c r="E79" s="135" t="s">
        <v>90</v>
      </c>
      <c r="F79" s="136" t="str">
        <f t="shared" si="5"/>
        <v>WOVEN</v>
      </c>
      <c r="G79" s="136"/>
      <c r="H79" s="136"/>
      <c r="I79" s="136"/>
      <c r="J79" s="139">
        <f t="shared" si="9"/>
        <v>3.3686633121855176</v>
      </c>
      <c r="K79" s="139"/>
      <c r="L79" s="139"/>
      <c r="M79" s="165">
        <v>0.28072194268212647</v>
      </c>
      <c r="N79" s="165"/>
      <c r="O79" s="165"/>
      <c r="P79" s="131">
        <f t="shared" si="6"/>
        <v>9152</v>
      </c>
      <c r="Q79" s="131"/>
      <c r="R79" s="131"/>
      <c r="S79" s="131"/>
      <c r="T79" s="131"/>
      <c r="U79" s="161">
        <f t="shared" si="10"/>
        <v>2569.1672194268212</v>
      </c>
      <c r="V79" s="161"/>
      <c r="W79" s="161"/>
      <c r="X79" s="161"/>
      <c r="Y79" s="161"/>
    </row>
    <row r="80" spans="1:34" ht="20.100000000000001" hidden="1" customHeight="1" x14ac:dyDescent="0.25">
      <c r="A80" s="150" t="str">
        <f t="shared" si="7"/>
        <v>WOMEN</v>
      </c>
      <c r="B80" s="151" t="s">
        <v>82</v>
      </c>
      <c r="C80" s="151" t="str">
        <f t="shared" si="8"/>
        <v>SHORT</v>
      </c>
      <c r="D80" s="151" t="s">
        <v>90</v>
      </c>
      <c r="E80" s="135" t="s">
        <v>90</v>
      </c>
      <c r="F80" s="136" t="str">
        <f t="shared" si="5"/>
        <v>WOVEN</v>
      </c>
      <c r="G80" s="136"/>
      <c r="H80" s="136"/>
      <c r="I80" s="136"/>
      <c r="J80" s="139">
        <f t="shared" si="9"/>
        <v>2.4068897637795277</v>
      </c>
      <c r="K80" s="139"/>
      <c r="L80" s="139"/>
      <c r="M80" s="165">
        <v>0.20057414698162732</v>
      </c>
      <c r="N80" s="165"/>
      <c r="O80" s="165"/>
      <c r="P80" s="131">
        <f t="shared" si="6"/>
        <v>3120</v>
      </c>
      <c r="Q80" s="131"/>
      <c r="R80" s="131"/>
      <c r="S80" s="131"/>
      <c r="T80" s="131"/>
      <c r="U80" s="161">
        <f t="shared" si="10"/>
        <v>625.79133858267721</v>
      </c>
      <c r="V80" s="161"/>
      <c r="W80" s="161"/>
      <c r="X80" s="161"/>
      <c r="Y80" s="161"/>
    </row>
    <row r="81" spans="1:28" ht="20.100000000000001" hidden="1" customHeight="1" x14ac:dyDescent="0.25">
      <c r="A81" s="150" t="str">
        <f t="shared" si="7"/>
        <v>MEN</v>
      </c>
      <c r="B81" s="151" t="s">
        <v>82</v>
      </c>
      <c r="C81" s="151" t="str">
        <f t="shared" si="8"/>
        <v xml:space="preserve">PANT </v>
      </c>
      <c r="D81" s="151" t="s">
        <v>90</v>
      </c>
      <c r="E81" s="135" t="s">
        <v>90</v>
      </c>
      <c r="F81" s="136" t="str">
        <f t="shared" si="5"/>
        <v>WOVEN</v>
      </c>
      <c r="G81" s="136"/>
      <c r="H81" s="136"/>
      <c r="I81" s="136"/>
      <c r="J81" s="139">
        <f t="shared" si="9"/>
        <v>3.9503122043519392</v>
      </c>
      <c r="K81" s="139"/>
      <c r="L81" s="139"/>
      <c r="M81" s="165">
        <v>0.32919268369599491</v>
      </c>
      <c r="N81" s="165"/>
      <c r="O81" s="165"/>
      <c r="P81" s="131">
        <f t="shared" si="6"/>
        <v>0</v>
      </c>
      <c r="Q81" s="131"/>
      <c r="R81" s="131"/>
      <c r="S81" s="131"/>
      <c r="T81" s="131"/>
      <c r="U81" s="161">
        <f t="shared" si="10"/>
        <v>0</v>
      </c>
      <c r="V81" s="161"/>
      <c r="W81" s="161"/>
      <c r="X81" s="161"/>
      <c r="Y81" s="161"/>
      <c r="AB81"/>
    </row>
    <row r="82" spans="1:28" ht="20.100000000000001" hidden="1" customHeight="1" x14ac:dyDescent="0.25">
      <c r="A82" s="150" t="str">
        <f>A57</f>
        <v>WOMEN</v>
      </c>
      <c r="B82" s="151" t="s">
        <v>82</v>
      </c>
      <c r="C82" s="151" t="str">
        <f>C57</f>
        <v xml:space="preserve">PANT </v>
      </c>
      <c r="D82" s="151" t="s">
        <v>90</v>
      </c>
      <c r="E82" s="135" t="s">
        <v>90</v>
      </c>
      <c r="F82" s="136" t="str">
        <f t="shared" si="5"/>
        <v>WOVEN</v>
      </c>
      <c r="G82" s="136"/>
      <c r="H82" s="136"/>
      <c r="I82" s="136"/>
      <c r="J82" s="139">
        <f t="shared" si="9"/>
        <v>3.3609227389234713</v>
      </c>
      <c r="K82" s="139"/>
      <c r="L82" s="139"/>
      <c r="M82" s="165">
        <v>0.28007689491028925</v>
      </c>
      <c r="N82" s="165"/>
      <c r="O82" s="165"/>
      <c r="P82" s="131">
        <f>U57</f>
        <v>0</v>
      </c>
      <c r="Q82" s="131"/>
      <c r="R82" s="131"/>
      <c r="S82" s="131"/>
      <c r="T82" s="131"/>
      <c r="U82" s="161">
        <f t="shared" si="10"/>
        <v>0</v>
      </c>
      <c r="V82" s="161"/>
      <c r="W82" s="161"/>
      <c r="X82" s="161"/>
      <c r="Y82" s="161"/>
      <c r="AB82"/>
    </row>
    <row r="83" spans="1:28" ht="20.100000000000001" hidden="1" customHeight="1" x14ac:dyDescent="0.25">
      <c r="A83" s="150" t="str">
        <f>A58</f>
        <v>WOMEN</v>
      </c>
      <c r="B83" s="151" t="s">
        <v>82</v>
      </c>
      <c r="C83" s="151" t="str">
        <f>C58</f>
        <v xml:space="preserve">SHIRT </v>
      </c>
      <c r="D83" s="151" t="s">
        <v>90</v>
      </c>
      <c r="E83" s="135" t="s">
        <v>90</v>
      </c>
      <c r="F83" s="136" t="str">
        <f t="shared" si="5"/>
        <v>WOVEN</v>
      </c>
      <c r="G83" s="136"/>
      <c r="H83" s="136"/>
      <c r="I83" s="136"/>
      <c r="J83" s="139">
        <f t="shared" si="9"/>
        <v>2.6565625000000002</v>
      </c>
      <c r="K83" s="139"/>
      <c r="L83" s="139"/>
      <c r="M83" s="165">
        <v>0.22138020833333336</v>
      </c>
      <c r="N83" s="165"/>
      <c r="O83" s="165"/>
      <c r="P83" s="131">
        <f>U58</f>
        <v>0</v>
      </c>
      <c r="Q83" s="131"/>
      <c r="R83" s="131"/>
      <c r="S83" s="131"/>
      <c r="T83" s="131"/>
      <c r="U83" s="161">
        <f t="shared" si="10"/>
        <v>0</v>
      </c>
      <c r="V83" s="161"/>
      <c r="W83" s="161"/>
      <c r="X83" s="161"/>
      <c r="Y83" s="161"/>
      <c r="AB83"/>
    </row>
    <row r="84" spans="1:28" ht="20.100000000000001" hidden="1" customHeight="1" x14ac:dyDescent="0.25">
      <c r="A84" s="150" t="str">
        <f t="shared" ref="A84:A92" si="11">A59</f>
        <v>MEN</v>
      </c>
      <c r="B84" s="151" t="s">
        <v>82</v>
      </c>
      <c r="C84" s="151" t="str">
        <f t="shared" ref="C84:C92" si="12">C59</f>
        <v>SHORT</v>
      </c>
      <c r="D84" s="151" t="s">
        <v>90</v>
      </c>
      <c r="E84" s="135" t="s">
        <v>90</v>
      </c>
      <c r="F84" s="136" t="str">
        <f t="shared" si="5"/>
        <v xml:space="preserve">KNITTED </v>
      </c>
      <c r="G84" s="136"/>
      <c r="H84" s="136"/>
      <c r="I84" s="136"/>
      <c r="J84" s="158">
        <f t="shared" si="9"/>
        <v>2.5230000000000001</v>
      </c>
      <c r="K84" s="159"/>
      <c r="L84" s="160"/>
      <c r="M84" s="165">
        <v>0.21025000000000002</v>
      </c>
      <c r="N84" s="165"/>
      <c r="O84" s="165"/>
      <c r="P84" s="131">
        <f t="shared" ref="P84:P100" si="13">U59</f>
        <v>0</v>
      </c>
      <c r="Q84" s="131"/>
      <c r="R84" s="131"/>
      <c r="S84" s="131"/>
      <c r="T84" s="131"/>
      <c r="U84" s="161">
        <f t="shared" si="10"/>
        <v>0</v>
      </c>
      <c r="V84" s="161"/>
      <c r="W84" s="161"/>
      <c r="X84" s="161"/>
      <c r="Y84" s="161"/>
    </row>
    <row r="85" spans="1:28" ht="20.100000000000001" hidden="1" customHeight="1" x14ac:dyDescent="0.25">
      <c r="A85" s="150" t="str">
        <f t="shared" si="11"/>
        <v>MEN</v>
      </c>
      <c r="B85" s="151" t="s">
        <v>82</v>
      </c>
      <c r="C85" s="151" t="str">
        <f t="shared" si="12"/>
        <v>JECKET</v>
      </c>
      <c r="D85" s="151" t="s">
        <v>90</v>
      </c>
      <c r="E85" s="135" t="s">
        <v>90</v>
      </c>
      <c r="F85" s="136" t="str">
        <f t="shared" si="5"/>
        <v xml:space="preserve">KNITTED </v>
      </c>
      <c r="G85" s="136"/>
      <c r="H85" s="136"/>
      <c r="I85" s="136"/>
      <c r="J85" s="139">
        <f>M85*12</f>
        <v>11.626285714285713</v>
      </c>
      <c r="K85" s="139"/>
      <c r="L85" s="139"/>
      <c r="M85" s="165">
        <v>0.96885714285714275</v>
      </c>
      <c r="N85" s="165"/>
      <c r="O85" s="165"/>
      <c r="P85" s="131">
        <f t="shared" si="13"/>
        <v>0</v>
      </c>
      <c r="Q85" s="131"/>
      <c r="R85" s="131"/>
      <c r="S85" s="131"/>
      <c r="T85" s="131"/>
      <c r="U85" s="161">
        <f t="shared" si="10"/>
        <v>0</v>
      </c>
      <c r="V85" s="161"/>
      <c r="W85" s="161"/>
      <c r="X85" s="161"/>
      <c r="Y85" s="161"/>
    </row>
    <row r="86" spans="1:28" ht="20.100000000000001" hidden="1" customHeight="1" x14ac:dyDescent="0.25">
      <c r="A86" s="150" t="str">
        <f t="shared" si="11"/>
        <v>MEN</v>
      </c>
      <c r="B86" s="151" t="s">
        <v>82</v>
      </c>
      <c r="C86" s="151" t="str">
        <f t="shared" si="12"/>
        <v xml:space="preserve">SHIRT </v>
      </c>
      <c r="D86" s="151" t="s">
        <v>90</v>
      </c>
      <c r="E86" s="135" t="s">
        <v>90</v>
      </c>
      <c r="F86" s="136" t="str">
        <f t="shared" si="5"/>
        <v xml:space="preserve">KNITTED </v>
      </c>
      <c r="G86" s="136"/>
      <c r="H86" s="136"/>
      <c r="I86" s="136"/>
      <c r="J86" s="139">
        <f t="shared" ref="J86:J92" si="14">M86*12</f>
        <v>8.5215189873417714</v>
      </c>
      <c r="K86" s="139"/>
      <c r="L86" s="139"/>
      <c r="M86" s="165">
        <v>0.71012658227848091</v>
      </c>
      <c r="N86" s="165"/>
      <c r="O86" s="165"/>
      <c r="P86" s="131">
        <f t="shared" si="13"/>
        <v>0</v>
      </c>
      <c r="Q86" s="131"/>
      <c r="R86" s="131"/>
      <c r="S86" s="131"/>
      <c r="T86" s="131"/>
      <c r="U86" s="161">
        <f t="shared" si="10"/>
        <v>0</v>
      </c>
      <c r="V86" s="161"/>
      <c r="W86" s="161"/>
      <c r="X86" s="161"/>
      <c r="Y86" s="161"/>
    </row>
    <row r="87" spans="1:28" ht="20.100000000000001" hidden="1" customHeight="1" x14ac:dyDescent="0.25">
      <c r="A87" s="150" t="str">
        <f t="shared" si="11"/>
        <v>MEN</v>
      </c>
      <c r="B87" s="151" t="s">
        <v>82</v>
      </c>
      <c r="C87" s="151" t="str">
        <f t="shared" si="12"/>
        <v>JECKET</v>
      </c>
      <c r="D87" s="151" t="s">
        <v>90</v>
      </c>
      <c r="E87" s="135" t="s">
        <v>90</v>
      </c>
      <c r="F87" s="136" t="str">
        <f t="shared" si="5"/>
        <v>WOVEN</v>
      </c>
      <c r="G87" s="136"/>
      <c r="H87" s="136"/>
      <c r="I87" s="136"/>
      <c r="J87" s="139">
        <f t="shared" si="14"/>
        <v>6.8461538461538458</v>
      </c>
      <c r="K87" s="139"/>
      <c r="L87" s="139"/>
      <c r="M87" s="165">
        <v>0.57051282051282048</v>
      </c>
      <c r="N87" s="165"/>
      <c r="O87" s="165"/>
      <c r="P87" s="131">
        <f t="shared" si="13"/>
        <v>0</v>
      </c>
      <c r="Q87" s="131"/>
      <c r="R87" s="131"/>
      <c r="S87" s="131"/>
      <c r="T87" s="131"/>
      <c r="U87" s="161">
        <f t="shared" si="10"/>
        <v>0</v>
      </c>
      <c r="V87" s="161"/>
      <c r="W87" s="161"/>
      <c r="X87" s="161"/>
      <c r="Y87" s="161"/>
    </row>
    <row r="88" spans="1:28" ht="20.100000000000001" hidden="1" customHeight="1" x14ac:dyDescent="0.25">
      <c r="A88" s="150" t="str">
        <f t="shared" si="11"/>
        <v>MEN</v>
      </c>
      <c r="B88" s="151" t="s">
        <v>82</v>
      </c>
      <c r="C88" s="151" t="str">
        <f t="shared" si="12"/>
        <v>SWEATER</v>
      </c>
      <c r="D88" s="151" t="s">
        <v>90</v>
      </c>
      <c r="E88" s="135" t="s">
        <v>90</v>
      </c>
      <c r="F88" s="136" t="str">
        <f t="shared" si="5"/>
        <v xml:space="preserve">KNITTED </v>
      </c>
      <c r="G88" s="136"/>
      <c r="H88" s="136"/>
      <c r="I88" s="136"/>
      <c r="J88" s="139">
        <f t="shared" si="14"/>
        <v>8.8508571428571443</v>
      </c>
      <c r="K88" s="139"/>
      <c r="L88" s="139"/>
      <c r="M88" s="165">
        <v>0.73757142857142866</v>
      </c>
      <c r="N88" s="165"/>
      <c r="O88" s="165"/>
      <c r="P88" s="131">
        <f t="shared" si="13"/>
        <v>0</v>
      </c>
      <c r="Q88" s="131"/>
      <c r="R88" s="131"/>
      <c r="S88" s="131"/>
      <c r="T88" s="131"/>
      <c r="U88" s="161">
        <f t="shared" si="10"/>
        <v>0</v>
      </c>
      <c r="V88" s="161"/>
      <c r="W88" s="161"/>
      <c r="X88" s="161"/>
      <c r="Y88" s="161"/>
    </row>
    <row r="89" spans="1:28" ht="20.100000000000001" hidden="1" customHeight="1" x14ac:dyDescent="0.25">
      <c r="A89" s="150" t="str">
        <f t="shared" si="11"/>
        <v>WOMEN</v>
      </c>
      <c r="B89" s="151" t="s">
        <v>82</v>
      </c>
      <c r="C89" s="151" t="str">
        <f t="shared" si="12"/>
        <v>JECKET</v>
      </c>
      <c r="D89" s="151" t="s">
        <v>90</v>
      </c>
      <c r="E89" s="135" t="s">
        <v>90</v>
      </c>
      <c r="F89" s="136" t="str">
        <f t="shared" si="5"/>
        <v xml:space="preserve">KNITTED </v>
      </c>
      <c r="G89" s="136"/>
      <c r="H89" s="136"/>
      <c r="I89" s="136"/>
      <c r="J89" s="139">
        <f t="shared" si="14"/>
        <v>9.1687500000000011</v>
      </c>
      <c r="K89" s="139"/>
      <c r="L89" s="139"/>
      <c r="M89" s="165">
        <v>0.76406250000000009</v>
      </c>
      <c r="N89" s="165"/>
      <c r="O89" s="165"/>
      <c r="P89" s="131">
        <f t="shared" si="13"/>
        <v>0</v>
      </c>
      <c r="Q89" s="131"/>
      <c r="R89" s="131"/>
      <c r="S89" s="131"/>
      <c r="T89" s="131"/>
      <c r="U89" s="161">
        <f t="shared" si="10"/>
        <v>0</v>
      </c>
      <c r="V89" s="161"/>
      <c r="W89" s="161"/>
      <c r="X89" s="161"/>
      <c r="Y89" s="161"/>
    </row>
    <row r="90" spans="1:28" ht="20.100000000000001" hidden="1" customHeight="1" x14ac:dyDescent="0.25">
      <c r="A90" s="150" t="str">
        <f t="shared" si="11"/>
        <v>WOMEN</v>
      </c>
      <c r="B90" s="151" t="s">
        <v>82</v>
      </c>
      <c r="C90" s="151" t="str">
        <f t="shared" si="12"/>
        <v xml:space="preserve">SHIRT </v>
      </c>
      <c r="D90" s="151" t="s">
        <v>90</v>
      </c>
      <c r="E90" s="135" t="s">
        <v>90</v>
      </c>
      <c r="F90" s="136" t="str">
        <f t="shared" si="5"/>
        <v xml:space="preserve">KNITTED </v>
      </c>
      <c r="G90" s="136"/>
      <c r="H90" s="136"/>
      <c r="I90" s="136"/>
      <c r="J90" s="139">
        <f t="shared" si="14"/>
        <v>6.6782608695652179</v>
      </c>
      <c r="K90" s="139"/>
      <c r="L90" s="139"/>
      <c r="M90" s="165">
        <v>0.55652173913043479</v>
      </c>
      <c r="N90" s="165"/>
      <c r="O90" s="165"/>
      <c r="P90" s="131">
        <f t="shared" si="13"/>
        <v>0</v>
      </c>
      <c r="Q90" s="131"/>
      <c r="R90" s="131"/>
      <c r="S90" s="131"/>
      <c r="T90" s="131"/>
      <c r="U90" s="161">
        <f t="shared" si="10"/>
        <v>0</v>
      </c>
      <c r="V90" s="161"/>
      <c r="W90" s="161"/>
      <c r="X90" s="161"/>
      <c r="Y90" s="161"/>
    </row>
    <row r="91" spans="1:28" ht="20.100000000000001" hidden="1" customHeight="1" x14ac:dyDescent="0.25">
      <c r="A91" s="150" t="str">
        <f t="shared" si="11"/>
        <v>UNISEX</v>
      </c>
      <c r="B91" s="151" t="s">
        <v>82</v>
      </c>
      <c r="C91" s="151" t="str">
        <f t="shared" si="12"/>
        <v>VEST</v>
      </c>
      <c r="D91" s="151" t="s">
        <v>90</v>
      </c>
      <c r="E91" s="135" t="s">
        <v>90</v>
      </c>
      <c r="F91" s="136" t="str">
        <f t="shared" si="5"/>
        <v>WOVEN</v>
      </c>
      <c r="G91" s="136"/>
      <c r="H91" s="136"/>
      <c r="I91" s="136"/>
      <c r="J91" s="139">
        <f t="shared" si="14"/>
        <v>2.514418604651163</v>
      </c>
      <c r="K91" s="139"/>
      <c r="L91" s="139"/>
      <c r="M91" s="165">
        <v>0.20953488372093027</v>
      </c>
      <c r="N91" s="165"/>
      <c r="O91" s="165"/>
      <c r="P91" s="131">
        <f t="shared" si="13"/>
        <v>0</v>
      </c>
      <c r="Q91" s="131"/>
      <c r="R91" s="131"/>
      <c r="S91" s="131"/>
      <c r="T91" s="131"/>
      <c r="U91" s="161">
        <f t="shared" si="10"/>
        <v>0</v>
      </c>
      <c r="V91" s="161"/>
      <c r="W91" s="161"/>
      <c r="X91" s="161"/>
      <c r="Y91" s="161"/>
    </row>
    <row r="92" spans="1:28" ht="20.100000000000001" hidden="1" customHeight="1" x14ac:dyDescent="0.25">
      <c r="A92" s="150" t="str">
        <f t="shared" si="11"/>
        <v>UNISEX</v>
      </c>
      <c r="B92" s="151" t="s">
        <v>82</v>
      </c>
      <c r="C92" s="151" t="str">
        <f t="shared" si="12"/>
        <v>BELT</v>
      </c>
      <c r="D92" s="151" t="s">
        <v>90</v>
      </c>
      <c r="E92" s="135" t="s">
        <v>90</v>
      </c>
      <c r="F92" s="136" t="str">
        <f t="shared" si="5"/>
        <v xml:space="preserve">KNITTED </v>
      </c>
      <c r="G92" s="136"/>
      <c r="H92" s="136"/>
      <c r="I92" s="136"/>
      <c r="J92" s="139">
        <f t="shared" si="14"/>
        <v>1.1274418604651162</v>
      </c>
      <c r="K92" s="139"/>
      <c r="L92" s="139"/>
      <c r="M92" s="165">
        <v>9.3953488372093025E-2</v>
      </c>
      <c r="N92" s="165"/>
      <c r="O92" s="165"/>
      <c r="P92" s="131">
        <f t="shared" si="13"/>
        <v>0</v>
      </c>
      <c r="Q92" s="131"/>
      <c r="R92" s="131"/>
      <c r="S92" s="131"/>
      <c r="T92" s="131"/>
      <c r="U92" s="161">
        <f t="shared" si="10"/>
        <v>0</v>
      </c>
      <c r="V92" s="161"/>
      <c r="W92" s="161"/>
      <c r="X92" s="161"/>
      <c r="Y92" s="161"/>
    </row>
    <row r="93" spans="1:28" ht="20.100000000000001" hidden="1" customHeight="1" x14ac:dyDescent="0.25">
      <c r="A93" s="150"/>
      <c r="B93" s="151"/>
      <c r="C93" s="151"/>
      <c r="D93" s="151"/>
      <c r="E93" s="135"/>
      <c r="F93" s="136"/>
      <c r="G93" s="136"/>
      <c r="H93" s="136"/>
      <c r="I93" s="136"/>
      <c r="J93" s="139"/>
      <c r="K93" s="139"/>
      <c r="L93" s="139"/>
      <c r="M93" s="166"/>
      <c r="N93" s="166"/>
      <c r="O93" s="166"/>
      <c r="P93" s="131">
        <f t="shared" si="13"/>
        <v>0</v>
      </c>
      <c r="Q93" s="131"/>
      <c r="R93" s="131"/>
      <c r="S93" s="131"/>
      <c r="T93" s="131"/>
      <c r="U93" s="161">
        <f t="shared" si="10"/>
        <v>0</v>
      </c>
      <c r="V93" s="161"/>
      <c r="W93" s="161"/>
      <c r="X93" s="161"/>
      <c r="Y93" s="161"/>
    </row>
    <row r="94" spans="1:28" ht="20.100000000000001" hidden="1" customHeight="1" x14ac:dyDescent="0.25">
      <c r="A94" s="150"/>
      <c r="B94" s="151"/>
      <c r="C94" s="151"/>
      <c r="D94" s="151"/>
      <c r="E94" s="135"/>
      <c r="F94" s="136"/>
      <c r="G94" s="136"/>
      <c r="H94" s="136"/>
      <c r="I94" s="136"/>
      <c r="J94" s="139"/>
      <c r="K94" s="139"/>
      <c r="L94" s="139"/>
      <c r="M94" s="166"/>
      <c r="N94" s="166"/>
      <c r="O94" s="166"/>
      <c r="P94" s="131">
        <f t="shared" si="13"/>
        <v>0</v>
      </c>
      <c r="Q94" s="131"/>
      <c r="R94" s="131"/>
      <c r="S94" s="131"/>
      <c r="T94" s="131"/>
      <c r="U94" s="161">
        <f t="shared" si="10"/>
        <v>0</v>
      </c>
      <c r="V94" s="161"/>
      <c r="W94" s="161"/>
      <c r="X94" s="161"/>
      <c r="Y94" s="161"/>
    </row>
    <row r="95" spans="1:28" ht="20.100000000000001" hidden="1" customHeight="1" x14ac:dyDescent="0.25">
      <c r="A95" s="150"/>
      <c r="B95" s="151"/>
      <c r="C95" s="151"/>
      <c r="D95" s="151"/>
      <c r="E95" s="135"/>
      <c r="F95" s="136"/>
      <c r="G95" s="136"/>
      <c r="H95" s="136"/>
      <c r="I95" s="136"/>
      <c r="J95" s="139"/>
      <c r="K95" s="139"/>
      <c r="L95" s="139"/>
      <c r="M95" s="166"/>
      <c r="N95" s="166"/>
      <c r="O95" s="166"/>
      <c r="P95" s="131" t="str">
        <f t="shared" si="13"/>
        <v>ទម្ងន់សរុប</v>
      </c>
      <c r="Q95" s="131"/>
      <c r="R95" s="131"/>
      <c r="S95" s="131"/>
      <c r="T95" s="131"/>
      <c r="U95" s="161" t="e">
        <f t="shared" si="10"/>
        <v>#VALUE!</v>
      </c>
      <c r="V95" s="161"/>
      <c r="W95" s="161"/>
      <c r="X95" s="161"/>
      <c r="Y95" s="161"/>
    </row>
    <row r="96" spans="1:28" ht="20.100000000000001" hidden="1" customHeight="1" x14ac:dyDescent="0.25">
      <c r="A96" s="150"/>
      <c r="B96" s="151"/>
      <c r="C96" s="151"/>
      <c r="D96" s="151"/>
      <c r="E96" s="135"/>
      <c r="F96" s="136"/>
      <c r="G96" s="136"/>
      <c r="H96" s="136"/>
      <c r="I96" s="136"/>
      <c r="J96" s="139"/>
      <c r="K96" s="139"/>
      <c r="L96" s="139"/>
      <c r="M96" s="166"/>
      <c r="N96" s="166"/>
      <c r="O96" s="166"/>
      <c r="P96" s="131">
        <f t="shared" si="13"/>
        <v>0</v>
      </c>
      <c r="Q96" s="131"/>
      <c r="R96" s="131"/>
      <c r="S96" s="131"/>
      <c r="T96" s="131"/>
      <c r="U96" s="161">
        <f t="shared" si="10"/>
        <v>0</v>
      </c>
      <c r="V96" s="161"/>
      <c r="W96" s="161"/>
      <c r="X96" s="161"/>
      <c r="Y96" s="161"/>
    </row>
    <row r="97" spans="1:25" ht="20.100000000000001" hidden="1" customHeight="1" x14ac:dyDescent="0.25">
      <c r="A97" s="150" t="e">
        <f>#REF!</f>
        <v>#REF!</v>
      </c>
      <c r="B97" s="151" t="s">
        <v>82</v>
      </c>
      <c r="C97" s="151" t="e">
        <f>#REF!</f>
        <v>#REF!</v>
      </c>
      <c r="D97" s="151" t="s">
        <v>90</v>
      </c>
      <c r="E97" s="135" t="s">
        <v>90</v>
      </c>
      <c r="F97" s="136" t="s">
        <v>105</v>
      </c>
      <c r="G97" s="136"/>
      <c r="H97" s="136"/>
      <c r="I97" s="136"/>
      <c r="J97" s="167">
        <f t="shared" ref="J97:J99" si="15">M97*12</f>
        <v>4.9379999999999997</v>
      </c>
      <c r="K97" s="168"/>
      <c r="L97" s="169"/>
      <c r="M97" s="165">
        <v>0.41149999999999998</v>
      </c>
      <c r="N97" s="165">
        <v>0.41149999999999998</v>
      </c>
      <c r="O97" s="165">
        <v>0.41149999999999998</v>
      </c>
      <c r="P97" s="131" t="str">
        <f t="shared" si="13"/>
        <v>Total Weight</v>
      </c>
      <c r="Q97" s="131"/>
      <c r="R97" s="131"/>
      <c r="S97" s="131"/>
      <c r="T97" s="131"/>
      <c r="U97" s="161" t="e">
        <f t="shared" si="10"/>
        <v>#VALUE!</v>
      </c>
      <c r="V97" s="161"/>
      <c r="W97" s="161"/>
      <c r="X97" s="161"/>
      <c r="Y97" s="161"/>
    </row>
    <row r="98" spans="1:25" ht="20.100000000000001" hidden="1" customHeight="1" x14ac:dyDescent="0.25">
      <c r="A98" s="150" t="e">
        <f>#REF!</f>
        <v>#REF!</v>
      </c>
      <c r="B98" s="151" t="s">
        <v>82</v>
      </c>
      <c r="C98" s="151" t="e">
        <f>#REF!</f>
        <v>#REF!</v>
      </c>
      <c r="D98" s="151" t="s">
        <v>90</v>
      </c>
      <c r="E98" s="135" t="s">
        <v>90</v>
      </c>
      <c r="F98" s="136" t="s">
        <v>105</v>
      </c>
      <c r="G98" s="136"/>
      <c r="H98" s="136"/>
      <c r="I98" s="136"/>
      <c r="J98" s="139">
        <f t="shared" si="15"/>
        <v>2.2251499999999997</v>
      </c>
      <c r="K98" s="139"/>
      <c r="L98" s="139"/>
      <c r="M98" s="165">
        <v>0.18542916666666664</v>
      </c>
      <c r="N98" s="165">
        <v>0.18542916666666664</v>
      </c>
      <c r="O98" s="165">
        <v>0.18542916666666664</v>
      </c>
      <c r="P98" s="131">
        <f t="shared" si="13"/>
        <v>0</v>
      </c>
      <c r="Q98" s="131"/>
      <c r="R98" s="131"/>
      <c r="S98" s="131"/>
      <c r="T98" s="131"/>
      <c r="U98" s="161">
        <f t="shared" si="10"/>
        <v>0</v>
      </c>
      <c r="V98" s="161"/>
      <c r="W98" s="161"/>
      <c r="X98" s="161"/>
      <c r="Y98" s="161"/>
    </row>
    <row r="99" spans="1:25" ht="23.25" hidden="1" customHeight="1" x14ac:dyDescent="0.25">
      <c r="A99" s="150" t="e">
        <f>#REF!</f>
        <v>#REF!</v>
      </c>
      <c r="B99" s="151" t="s">
        <v>82</v>
      </c>
      <c r="C99" s="151" t="e">
        <f>#REF!</f>
        <v>#REF!</v>
      </c>
      <c r="D99" s="151" t="s">
        <v>90</v>
      </c>
      <c r="E99" s="135" t="s">
        <v>90</v>
      </c>
      <c r="F99" s="170" t="s">
        <v>105</v>
      </c>
      <c r="G99" s="170"/>
      <c r="H99" s="170"/>
      <c r="I99" s="170"/>
      <c r="J99" s="167">
        <f t="shared" si="15"/>
        <v>0</v>
      </c>
      <c r="K99" s="168"/>
      <c r="L99" s="169"/>
      <c r="M99" s="171"/>
      <c r="N99" s="171"/>
      <c r="O99" s="171"/>
      <c r="P99" s="131">
        <f t="shared" si="13"/>
        <v>2288</v>
      </c>
      <c r="Q99" s="131"/>
      <c r="R99" s="131"/>
      <c r="S99" s="131"/>
      <c r="T99" s="131"/>
      <c r="U99" s="161">
        <f t="shared" si="10"/>
        <v>0</v>
      </c>
      <c r="V99" s="161"/>
      <c r="W99" s="161"/>
      <c r="X99" s="161"/>
      <c r="Y99" s="161"/>
    </row>
    <row r="100" spans="1:25" ht="23.25" hidden="1" customHeight="1" x14ac:dyDescent="0.25">
      <c r="A100" s="150" t="e">
        <f>#REF!</f>
        <v>#REF!</v>
      </c>
      <c r="B100" s="151" t="s">
        <v>82</v>
      </c>
      <c r="C100" s="151" t="e">
        <f>#REF!</f>
        <v>#REF!</v>
      </c>
      <c r="D100" s="151" t="s">
        <v>90</v>
      </c>
      <c r="E100" s="135" t="s">
        <v>90</v>
      </c>
      <c r="F100" s="170" t="s">
        <v>105</v>
      </c>
      <c r="G100" s="170"/>
      <c r="H100" s="170"/>
      <c r="I100" s="170"/>
      <c r="J100" s="139">
        <f>M100*12</f>
        <v>0</v>
      </c>
      <c r="K100" s="139"/>
      <c r="L100" s="139"/>
      <c r="M100" s="171"/>
      <c r="N100" s="171"/>
      <c r="O100" s="171"/>
      <c r="P100" s="131">
        <f t="shared" si="13"/>
        <v>707.2</v>
      </c>
      <c r="Q100" s="131"/>
      <c r="R100" s="131"/>
      <c r="S100" s="131"/>
      <c r="T100" s="131"/>
      <c r="U100" s="161">
        <f t="shared" si="10"/>
        <v>0</v>
      </c>
      <c r="V100" s="161"/>
      <c r="W100" s="161"/>
      <c r="X100" s="161"/>
      <c r="Y100" s="161"/>
    </row>
    <row r="101" spans="1:25" ht="9.9499999999999993" customHeigh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34"/>
      <c r="K101" s="34"/>
      <c r="L101" s="34"/>
      <c r="M101" s="35"/>
      <c r="N101" s="35"/>
      <c r="O101" s="35"/>
      <c r="P101" s="32"/>
      <c r="Q101" s="32"/>
      <c r="R101" s="32"/>
      <c r="S101" s="32"/>
      <c r="T101" s="32"/>
      <c r="U101" s="35"/>
      <c r="V101" s="35"/>
      <c r="W101" s="35"/>
      <c r="X101" s="35"/>
      <c r="Y101" s="35"/>
    </row>
    <row r="102" spans="1:25" ht="23.25" x14ac:dyDescent="0.65">
      <c r="A102" s="3" t="s">
        <v>106</v>
      </c>
      <c r="B102" s="25"/>
      <c r="C102" s="25"/>
      <c r="D102" s="25"/>
      <c r="E102" s="25"/>
      <c r="F102" s="2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0.100000000000001" customHeight="1" x14ac:dyDescent="0.65">
      <c r="A103" s="36"/>
      <c r="B103" s="4" t="s">
        <v>107</v>
      </c>
      <c r="C103" s="25"/>
      <c r="D103" s="25"/>
      <c r="E103" s="25"/>
      <c r="F103" s="2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20.100000000000001" customHeight="1" x14ac:dyDescent="0.65">
      <c r="A104" s="4" t="s">
        <v>108</v>
      </c>
      <c r="B104" s="25"/>
      <c r="C104" s="25"/>
      <c r="D104" s="25"/>
      <c r="E104" s="25"/>
      <c r="F104" s="2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3.25" x14ac:dyDescent="0.65">
      <c r="A105" s="36"/>
      <c r="B105" s="3" t="s">
        <v>109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3.25" x14ac:dyDescent="0.65">
      <c r="A106" s="4" t="s">
        <v>122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23.25" x14ac:dyDescent="0.65">
      <c r="A107" s="3"/>
      <c r="B107" s="3" t="s">
        <v>110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21.95" customHeight="1" x14ac:dyDescent="0.65">
      <c r="A108" s="37" t="s">
        <v>111</v>
      </c>
      <c r="B108" s="38"/>
      <c r="C108" s="38"/>
      <c r="D108" s="38"/>
      <c r="E108" s="38"/>
      <c r="F108" s="38"/>
      <c r="G108" s="37"/>
      <c r="H108" s="3"/>
      <c r="I108" s="3"/>
      <c r="J108" s="3"/>
      <c r="K108" s="3"/>
      <c r="L108" s="3"/>
      <c r="M108" s="3"/>
      <c r="N108" s="3"/>
      <c r="O108" s="3"/>
      <c r="P108" s="176" t="s">
        <v>112</v>
      </c>
      <c r="Q108" s="176"/>
      <c r="R108" s="176"/>
      <c r="S108" s="176"/>
      <c r="T108" s="176"/>
      <c r="U108" s="176"/>
      <c r="V108" s="176"/>
      <c r="W108" s="176"/>
      <c r="X108" s="176"/>
      <c r="Y108" s="176"/>
    </row>
    <row r="109" spans="1:25" ht="21.95" customHeight="1" x14ac:dyDescent="0.65">
      <c r="A109" s="176" t="s">
        <v>113</v>
      </c>
      <c r="B109" s="176"/>
      <c r="C109" s="176"/>
      <c r="D109" s="176"/>
      <c r="E109" s="176"/>
      <c r="F109" s="176"/>
      <c r="G109" s="176"/>
      <c r="H109" s="3"/>
      <c r="I109" s="3"/>
      <c r="J109" s="3"/>
      <c r="K109" s="3"/>
      <c r="L109" s="3"/>
      <c r="M109" s="3"/>
      <c r="N109" s="3"/>
      <c r="O109" s="3"/>
      <c r="P109" s="176" t="s">
        <v>114</v>
      </c>
      <c r="Q109" s="176"/>
      <c r="R109" s="176"/>
      <c r="S109" s="176"/>
      <c r="T109" s="176"/>
      <c r="U109" s="176"/>
      <c r="V109" s="176"/>
      <c r="W109" s="176"/>
      <c r="X109" s="176"/>
      <c r="Y109" s="176"/>
    </row>
    <row r="110" spans="1:25" ht="21.95" customHeight="1" x14ac:dyDescent="0.65">
      <c r="A110" s="176" t="s">
        <v>115</v>
      </c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</row>
    <row r="111" spans="1:25" ht="21.95" customHeight="1" x14ac:dyDescent="0.25">
      <c r="A111" s="177" t="s">
        <v>116</v>
      </c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</row>
    <row r="112" spans="1:25" ht="21" x14ac:dyDescent="0.6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</row>
    <row r="113" spans="1:25" ht="21" x14ac:dyDescent="0.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spans="1:25" ht="21" x14ac:dyDescent="0.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spans="1:25" ht="25.5" x14ac:dyDescent="0.7">
      <c r="A115" s="173" t="s">
        <v>130</v>
      </c>
      <c r="B115" s="173"/>
      <c r="C115" s="173"/>
      <c r="D115" s="173"/>
      <c r="E115" s="173"/>
      <c r="F115" s="17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25.5" x14ac:dyDescent="0.7">
      <c r="A116" s="40"/>
      <c r="B116" s="40"/>
      <c r="C116" s="40"/>
      <c r="D116" s="40"/>
      <c r="E116" s="40"/>
      <c r="F116" s="4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9.25" x14ac:dyDescent="0.7">
      <c r="A117" s="40"/>
      <c r="B117" s="40"/>
      <c r="C117" s="40"/>
      <c r="D117" s="40"/>
      <c r="E117" s="40"/>
      <c r="F117" s="40"/>
      <c r="G117" s="3"/>
      <c r="H117" s="3"/>
      <c r="I117" s="3"/>
      <c r="J117" s="3"/>
      <c r="K117" s="174" t="s">
        <v>131</v>
      </c>
      <c r="L117" s="174"/>
      <c r="M117" s="174"/>
      <c r="N117" s="174"/>
      <c r="O117" s="174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29.25" x14ac:dyDescent="0.8">
      <c r="A118" s="41"/>
      <c r="B118" s="41"/>
      <c r="C118" s="41"/>
      <c r="D118" s="41"/>
      <c r="E118" s="41"/>
      <c r="F118" s="41"/>
      <c r="G118" s="41"/>
      <c r="H118" s="41"/>
      <c r="I118" s="41"/>
      <c r="J118" s="175"/>
      <c r="K118" s="175"/>
      <c r="L118" s="175"/>
      <c r="M118" s="175"/>
      <c r="N118" s="175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</sheetData>
  <mergeCells count="415">
    <mergeCell ref="A112:Y112"/>
    <mergeCell ref="A115:F115"/>
    <mergeCell ref="K117:O117"/>
    <mergeCell ref="J118:N118"/>
    <mergeCell ref="U100:Y100"/>
    <mergeCell ref="P108:Y108"/>
    <mergeCell ref="A109:G109"/>
    <mergeCell ref="P109:Y109"/>
    <mergeCell ref="A110:Y110"/>
    <mergeCell ref="A111:Y111"/>
    <mergeCell ref="A100:B100"/>
    <mergeCell ref="C100:E100"/>
    <mergeCell ref="F100:I100"/>
    <mergeCell ref="J100:L100"/>
    <mergeCell ref="M100:O100"/>
    <mergeCell ref="P100:T100"/>
    <mergeCell ref="U98:Y98"/>
    <mergeCell ref="A99:B99"/>
    <mergeCell ref="C99:E99"/>
    <mergeCell ref="F99:I99"/>
    <mergeCell ref="J99:L99"/>
    <mergeCell ref="M99:O99"/>
    <mergeCell ref="P99:T99"/>
    <mergeCell ref="U99:Y99"/>
    <mergeCell ref="A98:B98"/>
    <mergeCell ref="C98:E98"/>
    <mergeCell ref="F98:I98"/>
    <mergeCell ref="J98:L98"/>
    <mergeCell ref="M98:O98"/>
    <mergeCell ref="P98:T98"/>
    <mergeCell ref="U96:Y96"/>
    <mergeCell ref="A97:B97"/>
    <mergeCell ref="C97:E97"/>
    <mergeCell ref="F97:I97"/>
    <mergeCell ref="J97:L97"/>
    <mergeCell ref="M97:O97"/>
    <mergeCell ref="P97:T97"/>
    <mergeCell ref="U97:Y97"/>
    <mergeCell ref="A96:B96"/>
    <mergeCell ref="C96:E96"/>
    <mergeCell ref="F96:I96"/>
    <mergeCell ref="J96:L96"/>
    <mergeCell ref="M96:O96"/>
    <mergeCell ref="P96:T96"/>
    <mergeCell ref="U94:Y94"/>
    <mergeCell ref="A95:B95"/>
    <mergeCell ref="C95:E95"/>
    <mergeCell ref="F95:I95"/>
    <mergeCell ref="J95:L95"/>
    <mergeCell ref="M95:O95"/>
    <mergeCell ref="P95:T95"/>
    <mergeCell ref="U95:Y95"/>
    <mergeCell ref="A94:B94"/>
    <mergeCell ref="C94:E94"/>
    <mergeCell ref="F94:I94"/>
    <mergeCell ref="J94:L94"/>
    <mergeCell ref="M94:O94"/>
    <mergeCell ref="P94:T94"/>
    <mergeCell ref="U92:Y92"/>
    <mergeCell ref="A93:B93"/>
    <mergeCell ref="C93:E93"/>
    <mergeCell ref="F93:I93"/>
    <mergeCell ref="J93:L93"/>
    <mergeCell ref="M93:O93"/>
    <mergeCell ref="P93:T93"/>
    <mergeCell ref="U93:Y93"/>
    <mergeCell ref="A92:B92"/>
    <mergeCell ref="C92:E92"/>
    <mergeCell ref="F92:I92"/>
    <mergeCell ref="J92:L92"/>
    <mergeCell ref="M92:O92"/>
    <mergeCell ref="P92:T92"/>
    <mergeCell ref="U90:Y90"/>
    <mergeCell ref="A91:B91"/>
    <mergeCell ref="C91:E91"/>
    <mergeCell ref="F91:I91"/>
    <mergeCell ref="J91:L91"/>
    <mergeCell ref="M91:O91"/>
    <mergeCell ref="P91:T91"/>
    <mergeCell ref="U91:Y91"/>
    <mergeCell ref="A90:B90"/>
    <mergeCell ref="C90:E90"/>
    <mergeCell ref="F90:I90"/>
    <mergeCell ref="J90:L90"/>
    <mergeCell ref="M90:O90"/>
    <mergeCell ref="P90:T90"/>
    <mergeCell ref="U88:Y88"/>
    <mergeCell ref="A89:B89"/>
    <mergeCell ref="C89:E89"/>
    <mergeCell ref="F89:I89"/>
    <mergeCell ref="J89:L89"/>
    <mergeCell ref="M89:O89"/>
    <mergeCell ref="P89:T89"/>
    <mergeCell ref="U89:Y89"/>
    <mergeCell ref="A88:B88"/>
    <mergeCell ref="C88:E88"/>
    <mergeCell ref="F88:I88"/>
    <mergeCell ref="J88:L88"/>
    <mergeCell ref="M88:O88"/>
    <mergeCell ref="P88:T88"/>
    <mergeCell ref="U86:Y86"/>
    <mergeCell ref="A87:B87"/>
    <mergeCell ref="C87:E87"/>
    <mergeCell ref="F87:I87"/>
    <mergeCell ref="J87:L87"/>
    <mergeCell ref="M87:O87"/>
    <mergeCell ref="P87:T87"/>
    <mergeCell ref="U87:Y87"/>
    <mergeCell ref="A86:B86"/>
    <mergeCell ref="C86:E86"/>
    <mergeCell ref="F86:I86"/>
    <mergeCell ref="J86:L86"/>
    <mergeCell ref="M86:O86"/>
    <mergeCell ref="P86:T86"/>
    <mergeCell ref="U84:Y84"/>
    <mergeCell ref="A85:B85"/>
    <mergeCell ref="C85:E85"/>
    <mergeCell ref="F85:I85"/>
    <mergeCell ref="J85:L85"/>
    <mergeCell ref="M85:O85"/>
    <mergeCell ref="P85:T85"/>
    <mergeCell ref="U85:Y85"/>
    <mergeCell ref="A84:B84"/>
    <mergeCell ref="C84:E84"/>
    <mergeCell ref="F84:I84"/>
    <mergeCell ref="J84:L84"/>
    <mergeCell ref="M84:O84"/>
    <mergeCell ref="P84:T84"/>
    <mergeCell ref="U82:Y82"/>
    <mergeCell ref="A83:B83"/>
    <mergeCell ref="C83:E83"/>
    <mergeCell ref="F83:I83"/>
    <mergeCell ref="J83:L83"/>
    <mergeCell ref="M83:O83"/>
    <mergeCell ref="P83:T83"/>
    <mergeCell ref="U83:Y83"/>
    <mergeCell ref="A82:B82"/>
    <mergeCell ref="C82:E82"/>
    <mergeCell ref="F82:I82"/>
    <mergeCell ref="J82:L82"/>
    <mergeCell ref="M82:O82"/>
    <mergeCell ref="P82:T82"/>
    <mergeCell ref="U80:Y80"/>
    <mergeCell ref="A81:B81"/>
    <mergeCell ref="C81:E81"/>
    <mergeCell ref="F81:I81"/>
    <mergeCell ref="J81:L81"/>
    <mergeCell ref="M81:O81"/>
    <mergeCell ref="P81:T81"/>
    <mergeCell ref="U81:Y81"/>
    <mergeCell ref="A80:B80"/>
    <mergeCell ref="C80:E80"/>
    <mergeCell ref="F80:I80"/>
    <mergeCell ref="J80:L80"/>
    <mergeCell ref="M80:O80"/>
    <mergeCell ref="P80:T80"/>
    <mergeCell ref="U78:Y78"/>
    <mergeCell ref="A79:B79"/>
    <mergeCell ref="C79:E79"/>
    <mergeCell ref="F79:I79"/>
    <mergeCell ref="J79:L79"/>
    <mergeCell ref="M79:O79"/>
    <mergeCell ref="P79:T79"/>
    <mergeCell ref="U79:Y79"/>
    <mergeCell ref="A78:B78"/>
    <mergeCell ref="C78:E78"/>
    <mergeCell ref="F78:I78"/>
    <mergeCell ref="J78:L78"/>
    <mergeCell ref="M78:O78"/>
    <mergeCell ref="P78:T78"/>
    <mergeCell ref="U76:Y76"/>
    <mergeCell ref="A77:B77"/>
    <mergeCell ref="C77:E77"/>
    <mergeCell ref="F77:I77"/>
    <mergeCell ref="J77:L77"/>
    <mergeCell ref="M77:O77"/>
    <mergeCell ref="P77:T77"/>
    <mergeCell ref="U77:Y77"/>
    <mergeCell ref="A76:B76"/>
    <mergeCell ref="C76:E76"/>
    <mergeCell ref="F76:I76"/>
    <mergeCell ref="J76:L76"/>
    <mergeCell ref="M76:O76"/>
    <mergeCell ref="P76:T76"/>
    <mergeCell ref="U74:Y74"/>
    <mergeCell ref="A75:B75"/>
    <mergeCell ref="C75:E75"/>
    <mergeCell ref="F75:I75"/>
    <mergeCell ref="J75:L75"/>
    <mergeCell ref="M75:O75"/>
    <mergeCell ref="P75:T75"/>
    <mergeCell ref="U75:Y75"/>
    <mergeCell ref="A74:B74"/>
    <mergeCell ref="C74:E74"/>
    <mergeCell ref="F74:I74"/>
    <mergeCell ref="J74:L74"/>
    <mergeCell ref="M74:O74"/>
    <mergeCell ref="P74:T74"/>
    <mergeCell ref="A72:E73"/>
    <mergeCell ref="F72:I73"/>
    <mergeCell ref="J72:L72"/>
    <mergeCell ref="M72:O72"/>
    <mergeCell ref="P72:T73"/>
    <mergeCell ref="U72:Y73"/>
    <mergeCell ref="J73:L73"/>
    <mergeCell ref="M73:O73"/>
    <mergeCell ref="U67:Y67"/>
    <mergeCell ref="A70:E71"/>
    <mergeCell ref="F70:I71"/>
    <mergeCell ref="J70:O70"/>
    <mergeCell ref="P70:T71"/>
    <mergeCell ref="U70:Y71"/>
    <mergeCell ref="J71:O71"/>
    <mergeCell ref="A67:B67"/>
    <mergeCell ref="C67:E67"/>
    <mergeCell ref="F67:I67"/>
    <mergeCell ref="J67:L67"/>
    <mergeCell ref="M67:O67"/>
    <mergeCell ref="P67:T67"/>
    <mergeCell ref="U65:Y65"/>
    <mergeCell ref="A66:B66"/>
    <mergeCell ref="C66:E66"/>
    <mergeCell ref="F66:I66"/>
    <mergeCell ref="J66:L66"/>
    <mergeCell ref="M66:O66"/>
    <mergeCell ref="P66:T66"/>
    <mergeCell ref="U66:Y66"/>
    <mergeCell ref="A65:B65"/>
    <mergeCell ref="C65:E65"/>
    <mergeCell ref="F65:I65"/>
    <mergeCell ref="J65:L65"/>
    <mergeCell ref="M65:O65"/>
    <mergeCell ref="P65:T65"/>
    <mergeCell ref="U63:Y63"/>
    <mergeCell ref="A64:B64"/>
    <mergeCell ref="C64:E64"/>
    <mergeCell ref="F64:I64"/>
    <mergeCell ref="J64:L64"/>
    <mergeCell ref="M64:O64"/>
    <mergeCell ref="P64:T64"/>
    <mergeCell ref="U64:Y64"/>
    <mergeCell ref="A63:B63"/>
    <mergeCell ref="C63:E63"/>
    <mergeCell ref="F63:I63"/>
    <mergeCell ref="J63:L63"/>
    <mergeCell ref="M63:O63"/>
    <mergeCell ref="P63:T63"/>
    <mergeCell ref="U61:Y61"/>
    <mergeCell ref="A62:B62"/>
    <mergeCell ref="C62:E62"/>
    <mergeCell ref="F62:I62"/>
    <mergeCell ref="J62:L62"/>
    <mergeCell ref="M62:O62"/>
    <mergeCell ref="P62:T62"/>
    <mergeCell ref="U62:Y62"/>
    <mergeCell ref="A61:B61"/>
    <mergeCell ref="C61:E61"/>
    <mergeCell ref="F61:I61"/>
    <mergeCell ref="J61:L61"/>
    <mergeCell ref="M61:O61"/>
    <mergeCell ref="P61:T61"/>
    <mergeCell ref="U59:Y59"/>
    <mergeCell ref="A60:B60"/>
    <mergeCell ref="C60:E60"/>
    <mergeCell ref="F60:I60"/>
    <mergeCell ref="J60:L60"/>
    <mergeCell ref="M60:O60"/>
    <mergeCell ref="P60:T60"/>
    <mergeCell ref="U60:Y60"/>
    <mergeCell ref="A59:B59"/>
    <mergeCell ref="C59:E59"/>
    <mergeCell ref="F59:I59"/>
    <mergeCell ref="J59:L59"/>
    <mergeCell ref="M59:O59"/>
    <mergeCell ref="P59:T59"/>
    <mergeCell ref="U57:Y57"/>
    <mergeCell ref="A58:B58"/>
    <mergeCell ref="C58:E58"/>
    <mergeCell ref="F58:I58"/>
    <mergeCell ref="J58:L58"/>
    <mergeCell ref="M58:O58"/>
    <mergeCell ref="P58:T58"/>
    <mergeCell ref="U58:Y58"/>
    <mergeCell ref="A57:B57"/>
    <mergeCell ref="C57:E57"/>
    <mergeCell ref="F57:I57"/>
    <mergeCell ref="J57:L57"/>
    <mergeCell ref="M57:O57"/>
    <mergeCell ref="P57:T57"/>
    <mergeCell ref="U55:Y55"/>
    <mergeCell ref="A56:B56"/>
    <mergeCell ref="C56:E56"/>
    <mergeCell ref="F56:I56"/>
    <mergeCell ref="J56:L56"/>
    <mergeCell ref="M56:O56"/>
    <mergeCell ref="P56:T56"/>
    <mergeCell ref="U56:Y56"/>
    <mergeCell ref="A55:B55"/>
    <mergeCell ref="C55:E55"/>
    <mergeCell ref="F55:I55"/>
    <mergeCell ref="J55:L55"/>
    <mergeCell ref="M55:O55"/>
    <mergeCell ref="P55:T55"/>
    <mergeCell ref="U53:Y53"/>
    <mergeCell ref="A54:B54"/>
    <mergeCell ref="C54:E54"/>
    <mergeCell ref="F54:I54"/>
    <mergeCell ref="J54:L54"/>
    <mergeCell ref="M54:O54"/>
    <mergeCell ref="P54:T54"/>
    <mergeCell ref="U54:Y54"/>
    <mergeCell ref="A53:B53"/>
    <mergeCell ref="C53:E53"/>
    <mergeCell ref="F53:I53"/>
    <mergeCell ref="J53:L53"/>
    <mergeCell ref="M53:O53"/>
    <mergeCell ref="P53:T53"/>
    <mergeCell ref="U51:Y51"/>
    <mergeCell ref="A52:B52"/>
    <mergeCell ref="C52:E52"/>
    <mergeCell ref="F52:I52"/>
    <mergeCell ref="J52:L52"/>
    <mergeCell ref="M52:O52"/>
    <mergeCell ref="P52:T52"/>
    <mergeCell ref="U52:Y52"/>
    <mergeCell ref="A51:B51"/>
    <mergeCell ref="C51:E51"/>
    <mergeCell ref="F51:I51"/>
    <mergeCell ref="J51:L51"/>
    <mergeCell ref="M51:O51"/>
    <mergeCell ref="P51:T51"/>
    <mergeCell ref="U49:Y49"/>
    <mergeCell ref="A50:B50"/>
    <mergeCell ref="C50:E50"/>
    <mergeCell ref="F50:I50"/>
    <mergeCell ref="J50:L50"/>
    <mergeCell ref="M50:O50"/>
    <mergeCell ref="P50:T50"/>
    <mergeCell ref="U50:Y50"/>
    <mergeCell ref="A49:B49"/>
    <mergeCell ref="C49:E49"/>
    <mergeCell ref="F49:I49"/>
    <mergeCell ref="J49:L49"/>
    <mergeCell ref="M49:O49"/>
    <mergeCell ref="P49:T49"/>
    <mergeCell ref="A47:E48"/>
    <mergeCell ref="F47:I48"/>
    <mergeCell ref="J47:L47"/>
    <mergeCell ref="M47:O47"/>
    <mergeCell ref="P47:T48"/>
    <mergeCell ref="U47:Y48"/>
    <mergeCell ref="J48:L48"/>
    <mergeCell ref="M48:O48"/>
    <mergeCell ref="A45:E46"/>
    <mergeCell ref="F45:I46"/>
    <mergeCell ref="J45:O45"/>
    <mergeCell ref="P45:T46"/>
    <mergeCell ref="U45:Y46"/>
    <mergeCell ref="J46:O46"/>
    <mergeCell ref="N41:O41"/>
    <mergeCell ref="V41:W41"/>
    <mergeCell ref="N42:O42"/>
    <mergeCell ref="S42:U42"/>
    <mergeCell ref="V42:W42"/>
    <mergeCell ref="N38:O38"/>
    <mergeCell ref="V38:W38"/>
    <mergeCell ref="N39:O39"/>
    <mergeCell ref="V39:W39"/>
    <mergeCell ref="N40:O40"/>
    <mergeCell ref="V40:W40"/>
    <mergeCell ref="U28:Y28"/>
    <mergeCell ref="N29:R29"/>
    <mergeCell ref="N36:O36"/>
    <mergeCell ref="V36:W36"/>
    <mergeCell ref="N37:O37"/>
    <mergeCell ref="V37:W37"/>
    <mergeCell ref="I21:J21"/>
    <mergeCell ref="G22:I22"/>
    <mergeCell ref="G23:I23"/>
    <mergeCell ref="G24:I24"/>
    <mergeCell ref="G25:I25"/>
    <mergeCell ref="G26:I26"/>
    <mergeCell ref="I20:J20"/>
    <mergeCell ref="O20:P20"/>
    <mergeCell ref="V20:W20"/>
    <mergeCell ref="I17:J17"/>
    <mergeCell ref="L17:M17"/>
    <mergeCell ref="O17:P17"/>
    <mergeCell ref="R17:S17"/>
    <mergeCell ref="V17:W17"/>
    <mergeCell ref="I18:J18"/>
    <mergeCell ref="L18:M18"/>
    <mergeCell ref="O18:P18"/>
    <mergeCell ref="R18:S18"/>
    <mergeCell ref="V18:W18"/>
    <mergeCell ref="P14:S14"/>
    <mergeCell ref="I16:J16"/>
    <mergeCell ref="L16:M16"/>
    <mergeCell ref="O16:P16"/>
    <mergeCell ref="R16:S16"/>
    <mergeCell ref="V16:W16"/>
    <mergeCell ref="I19:J19"/>
    <mergeCell ref="L19:M19"/>
    <mergeCell ref="O19:P19"/>
    <mergeCell ref="R19:S19"/>
    <mergeCell ref="V19:W19"/>
    <mergeCell ref="A3:H3"/>
    <mergeCell ref="A4:H4"/>
    <mergeCell ref="A5:H5"/>
    <mergeCell ref="A8:Y8"/>
    <mergeCell ref="P13:S13"/>
    <mergeCell ref="A6:Y6"/>
    <mergeCell ref="A7:Y7"/>
    <mergeCell ref="A1:Y1"/>
    <mergeCell ref="A2:Y2"/>
  </mergeCells>
  <conditionalFormatting sqref="AF49:AH67">
    <cfRule type="duplicateValues" dxfId="13" priority="1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2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8"/>
  <sheetViews>
    <sheetView view="pageBreakPreview" zoomScale="145" zoomScaleNormal="100" zoomScaleSheetLayoutView="145" workbookViewId="0">
      <selection activeCell="J5" sqref="J5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1.28515625" style="2" bestFit="1" customWidth="1"/>
    <col min="27" max="27" width="11.5703125" style="2" bestFit="1" customWidth="1"/>
    <col min="28" max="28" width="13.7109375" style="2" customWidth="1"/>
    <col min="29" max="34" width="9.140625" style="2"/>
    <col min="35" max="35" width="10.5703125" style="2" bestFit="1" customWidth="1"/>
    <col min="36" max="16384" width="9.140625" style="2"/>
  </cols>
  <sheetData>
    <row r="1" spans="1:28" ht="25.5" x14ac:dyDescent="0.7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 spans="1:28" ht="25.5" x14ac:dyDescent="0.7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28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8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8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28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28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28" ht="23.25" customHeight="1" x14ac:dyDescent="0.25">
      <c r="A8" s="105" t="s">
        <v>123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28" ht="21.95" customHeight="1" x14ac:dyDescent="0.25">
      <c r="A9" s="5" t="s">
        <v>8</v>
      </c>
      <c r="B9" s="6"/>
      <c r="C9" s="7"/>
      <c r="D9" s="7"/>
      <c r="E9" s="7"/>
      <c r="F9" s="7" t="s">
        <v>117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8" ht="21.95" customHeight="1" x14ac:dyDescent="0.25">
      <c r="A10" s="7"/>
      <c r="B10" s="6" t="s">
        <v>9</v>
      </c>
      <c r="C10" s="7"/>
      <c r="D10" s="7"/>
      <c r="E10" s="7"/>
      <c r="F10" s="7" t="s">
        <v>118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8" ht="21.95" customHeight="1" x14ac:dyDescent="0.25">
      <c r="A11" s="7"/>
      <c r="B11" s="7"/>
      <c r="C11" s="7"/>
      <c r="D11" s="7"/>
      <c r="E11" s="7"/>
      <c r="F11" s="7" t="s">
        <v>119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8" ht="21.95" customHeight="1" x14ac:dyDescent="0.25">
      <c r="A12" s="6" t="s">
        <v>10</v>
      </c>
      <c r="B12" s="6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8" ht="21.95" customHeight="1" x14ac:dyDescent="0.25">
      <c r="A13" s="6" t="s">
        <v>11</v>
      </c>
      <c r="B13" s="6"/>
      <c r="C13" s="6"/>
      <c r="D13" s="7"/>
      <c r="E13" s="7"/>
      <c r="F13" s="7"/>
      <c r="G13" s="7"/>
      <c r="H13" s="7" t="s">
        <v>121</v>
      </c>
      <c r="I13" s="7"/>
      <c r="J13" s="7"/>
      <c r="K13" s="7"/>
      <c r="L13" s="7"/>
      <c r="M13" s="7"/>
      <c r="N13" s="7"/>
      <c r="O13" s="7" t="s">
        <v>12</v>
      </c>
      <c r="P13" s="106">
        <v>46014</v>
      </c>
      <c r="Q13" s="106"/>
      <c r="R13" s="106"/>
      <c r="S13" s="106"/>
      <c r="T13" s="7"/>
      <c r="U13" s="7"/>
      <c r="V13" s="7"/>
      <c r="W13" s="7"/>
      <c r="X13" s="7"/>
      <c r="Y13" s="7"/>
    </row>
    <row r="14" spans="1:28" ht="21.95" customHeight="1" x14ac:dyDescent="0.65">
      <c r="A14" s="8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</row>
    <row r="15" spans="1:28" ht="21.95" customHeight="1" x14ac:dyDescent="0.65">
      <c r="A15" s="6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8" ht="21" customHeight="1" x14ac:dyDescent="0.25">
      <c r="A16" s="7"/>
      <c r="B16" s="6" t="s">
        <v>15</v>
      </c>
      <c r="C16" s="7"/>
      <c r="D16" s="7"/>
      <c r="E16" s="7"/>
      <c r="F16" s="7" t="s">
        <v>14</v>
      </c>
      <c r="G16" s="9"/>
      <c r="H16" s="6" t="s">
        <v>16</v>
      </c>
      <c r="I16" s="105">
        <v>2</v>
      </c>
      <c r="J16" s="105">
        <v>3</v>
      </c>
      <c r="K16" s="7" t="s">
        <v>17</v>
      </c>
      <c r="L16" s="105"/>
      <c r="M16" s="105"/>
      <c r="N16" s="6" t="s">
        <v>18</v>
      </c>
      <c r="O16" s="105">
        <v>2</v>
      </c>
      <c r="P16" s="105">
        <v>6</v>
      </c>
      <c r="Q16" s="6" t="s">
        <v>17</v>
      </c>
      <c r="R16" s="105"/>
      <c r="S16" s="105"/>
      <c r="T16" s="6" t="s">
        <v>19</v>
      </c>
      <c r="U16" s="6"/>
      <c r="V16" s="109">
        <f>O16+I16</f>
        <v>4</v>
      </c>
      <c r="W16" s="109"/>
      <c r="X16" s="6" t="s">
        <v>17</v>
      </c>
      <c r="Y16" s="6"/>
      <c r="AB16" s="10">
        <v>11700</v>
      </c>
    </row>
    <row r="17" spans="1:28" ht="21" customHeight="1" x14ac:dyDescent="0.25">
      <c r="A17" s="7"/>
      <c r="B17" s="6" t="s">
        <v>20</v>
      </c>
      <c r="C17" s="7"/>
      <c r="D17" s="7"/>
      <c r="E17" s="7"/>
      <c r="F17" s="7" t="s">
        <v>14</v>
      </c>
      <c r="G17" s="7"/>
      <c r="H17" s="6" t="s">
        <v>16</v>
      </c>
      <c r="I17" s="105"/>
      <c r="J17" s="105"/>
      <c r="K17" s="7" t="s">
        <v>17</v>
      </c>
      <c r="L17" s="105"/>
      <c r="M17" s="105"/>
      <c r="N17" s="6" t="s">
        <v>18</v>
      </c>
      <c r="O17" s="105">
        <v>2</v>
      </c>
      <c r="P17" s="105">
        <v>61</v>
      </c>
      <c r="Q17" s="6" t="s">
        <v>17</v>
      </c>
      <c r="R17" s="105"/>
      <c r="S17" s="105"/>
      <c r="T17" s="6" t="s">
        <v>19</v>
      </c>
      <c r="U17" s="6"/>
      <c r="V17" s="109">
        <f>O17+I17</f>
        <v>2</v>
      </c>
      <c r="W17" s="109"/>
      <c r="X17" s="6" t="s">
        <v>17</v>
      </c>
      <c r="Y17" s="6"/>
      <c r="AB17" s="10">
        <v>31298.12</v>
      </c>
    </row>
    <row r="18" spans="1:28" ht="21" customHeight="1" x14ac:dyDescent="0.25">
      <c r="A18" s="7"/>
      <c r="B18" s="6" t="s">
        <v>21</v>
      </c>
      <c r="C18" s="7"/>
      <c r="D18" s="7"/>
      <c r="E18" s="7"/>
      <c r="F18" s="7" t="s">
        <v>14</v>
      </c>
      <c r="G18" s="7"/>
      <c r="H18" s="6" t="s">
        <v>16</v>
      </c>
      <c r="I18" s="105">
        <v>36</v>
      </c>
      <c r="J18" s="105"/>
      <c r="K18" s="8" t="s">
        <v>17</v>
      </c>
      <c r="L18" s="110"/>
      <c r="M18" s="110"/>
      <c r="N18" s="6" t="s">
        <v>18</v>
      </c>
      <c r="O18" s="105">
        <v>93</v>
      </c>
      <c r="P18" s="105"/>
      <c r="Q18" s="6" t="s">
        <v>17</v>
      </c>
      <c r="R18" s="110"/>
      <c r="S18" s="110"/>
      <c r="T18" s="6" t="s">
        <v>19</v>
      </c>
      <c r="U18" s="6"/>
      <c r="V18" s="109">
        <f>O18+I18</f>
        <v>129</v>
      </c>
      <c r="W18" s="109"/>
      <c r="X18" s="6" t="s">
        <v>17</v>
      </c>
      <c r="Y18" s="6"/>
      <c r="AB18" s="10">
        <v>143072.10999999999</v>
      </c>
    </row>
    <row r="19" spans="1:28" ht="21" customHeight="1" x14ac:dyDescent="0.25">
      <c r="A19" s="7"/>
      <c r="B19" s="11" t="s">
        <v>22</v>
      </c>
      <c r="C19" s="6"/>
      <c r="D19" s="6"/>
      <c r="E19" s="7"/>
      <c r="F19" s="7" t="s">
        <v>14</v>
      </c>
      <c r="G19" s="7"/>
      <c r="H19" s="6" t="s">
        <v>16</v>
      </c>
      <c r="I19" s="105">
        <v>22</v>
      </c>
      <c r="J19" s="105"/>
      <c r="K19" s="8" t="s">
        <v>17</v>
      </c>
      <c r="L19" s="110"/>
      <c r="M19" s="110"/>
      <c r="N19" s="6" t="s">
        <v>18</v>
      </c>
      <c r="O19" s="105">
        <v>24</v>
      </c>
      <c r="P19" s="105">
        <v>683</v>
      </c>
      <c r="Q19" s="6" t="s">
        <v>17</v>
      </c>
      <c r="R19" s="110"/>
      <c r="S19" s="110"/>
      <c r="T19" s="6" t="s">
        <v>19</v>
      </c>
      <c r="U19" s="6"/>
      <c r="V19" s="109">
        <f>O19+I19</f>
        <v>46</v>
      </c>
      <c r="W19" s="109"/>
      <c r="X19" s="6" t="s">
        <v>17</v>
      </c>
      <c r="Y19" s="6"/>
      <c r="Z19" s="12">
        <f>V16+V17+V18+V19</f>
        <v>181</v>
      </c>
      <c r="AB19" s="10">
        <v>62861.24</v>
      </c>
    </row>
    <row r="20" spans="1:28" ht="21" customHeight="1" x14ac:dyDescent="0.25">
      <c r="A20" s="7"/>
      <c r="B20" s="11" t="s">
        <v>23</v>
      </c>
      <c r="C20" s="6"/>
      <c r="D20" s="6"/>
      <c r="E20" s="7"/>
      <c r="F20" s="7" t="s">
        <v>14</v>
      </c>
      <c r="G20" s="7"/>
      <c r="H20" s="6" t="s">
        <v>16</v>
      </c>
      <c r="I20" s="105">
        <f>I18+I19</f>
        <v>58</v>
      </c>
      <c r="J20" s="105"/>
      <c r="K20" s="8" t="s">
        <v>17</v>
      </c>
      <c r="L20" s="13"/>
      <c r="M20" s="13"/>
      <c r="N20" s="6" t="s">
        <v>18</v>
      </c>
      <c r="O20" s="105">
        <f>O18+O19</f>
        <v>117</v>
      </c>
      <c r="P20" s="105"/>
      <c r="Q20" s="6" t="s">
        <v>17</v>
      </c>
      <c r="R20" s="13"/>
      <c r="S20" s="13"/>
      <c r="T20" s="6" t="s">
        <v>19</v>
      </c>
      <c r="U20" s="6"/>
      <c r="V20" s="109">
        <f>V18+V19</f>
        <v>175</v>
      </c>
      <c r="W20" s="109"/>
      <c r="X20" s="6" t="s">
        <v>17</v>
      </c>
      <c r="Y20" s="6"/>
      <c r="AB20" s="10"/>
    </row>
    <row r="21" spans="1:28" ht="21.95" customHeight="1" x14ac:dyDescent="0.25">
      <c r="A21" s="6" t="s">
        <v>24</v>
      </c>
      <c r="B21" s="7"/>
      <c r="C21" s="7"/>
      <c r="D21" s="7"/>
      <c r="E21" s="7"/>
      <c r="F21" s="7" t="s">
        <v>14</v>
      </c>
      <c r="G21" s="8"/>
      <c r="H21" s="7"/>
      <c r="I21" s="114"/>
      <c r="J21" s="11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8" ht="21.95" customHeight="1" x14ac:dyDescent="0.25">
      <c r="A22" s="7"/>
      <c r="B22" s="6" t="s">
        <v>15</v>
      </c>
      <c r="C22" s="6"/>
      <c r="D22" s="6"/>
      <c r="E22" s="7"/>
      <c r="F22" s="7" t="s">
        <v>14</v>
      </c>
      <c r="G22" s="115">
        <v>6700</v>
      </c>
      <c r="H22" s="115">
        <v>35255</v>
      </c>
      <c r="I22" s="115">
        <v>35255</v>
      </c>
      <c r="J22" s="14"/>
      <c r="K22" s="6" t="s">
        <v>25</v>
      </c>
      <c r="L22" s="6"/>
      <c r="M22" s="14"/>
      <c r="N22" s="1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8" ht="21.95" customHeight="1" x14ac:dyDescent="0.25">
      <c r="A23" s="7"/>
      <c r="B23" s="6" t="s">
        <v>20</v>
      </c>
      <c r="C23" s="6"/>
      <c r="D23" s="6"/>
      <c r="E23" s="7"/>
      <c r="F23" s="7" t="s">
        <v>14</v>
      </c>
      <c r="G23" s="115">
        <v>1079.55</v>
      </c>
      <c r="H23" s="115">
        <v>15646.4375</v>
      </c>
      <c r="I23" s="115">
        <v>15646.4375</v>
      </c>
      <c r="J23" s="14"/>
      <c r="K23" s="6" t="s">
        <v>25</v>
      </c>
      <c r="L23" s="6"/>
      <c r="M23" s="14"/>
      <c r="N23" s="1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8" ht="21.95" customHeight="1" x14ac:dyDescent="0.25">
      <c r="A24" s="7"/>
      <c r="B24" s="6" t="s">
        <v>21</v>
      </c>
      <c r="C24" s="6"/>
      <c r="D24" s="6"/>
      <c r="E24" s="7"/>
      <c r="F24" s="7" t="s">
        <v>14</v>
      </c>
      <c r="G24" s="115">
        <v>38482.879999999997</v>
      </c>
      <c r="H24" s="115"/>
      <c r="I24" s="115"/>
      <c r="J24" s="14"/>
      <c r="K24" s="6" t="s">
        <v>25</v>
      </c>
      <c r="L24" s="6"/>
      <c r="M24" s="14"/>
      <c r="N24" s="1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8" ht="21.95" customHeight="1" x14ac:dyDescent="0.25">
      <c r="A25" s="7"/>
      <c r="B25" s="6" t="s">
        <v>22</v>
      </c>
      <c r="C25" s="6"/>
      <c r="D25" s="6"/>
      <c r="E25" s="7"/>
      <c r="F25" s="7" t="s">
        <v>14</v>
      </c>
      <c r="G25" s="115">
        <v>12340.08</v>
      </c>
      <c r="H25" s="115">
        <v>205933.34999999998</v>
      </c>
      <c r="I25" s="115">
        <v>205933.34999999998</v>
      </c>
      <c r="J25" s="14"/>
      <c r="K25" s="6" t="s">
        <v>25</v>
      </c>
      <c r="L25" s="6"/>
      <c r="M25" s="14"/>
      <c r="N25" s="14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28" ht="21.6" customHeight="1" x14ac:dyDescent="0.25">
      <c r="A26" s="7"/>
      <c r="B26" s="11" t="s">
        <v>23</v>
      </c>
      <c r="C26" s="6"/>
      <c r="D26" s="6"/>
      <c r="E26" s="7"/>
      <c r="F26" s="7" t="s">
        <v>14</v>
      </c>
      <c r="G26" s="115">
        <v>50822.96</v>
      </c>
      <c r="H26" s="115"/>
      <c r="I26" s="115"/>
      <c r="J26" s="14"/>
      <c r="K26" s="6" t="s">
        <v>25</v>
      </c>
      <c r="L26" s="6"/>
      <c r="M26" s="14"/>
      <c r="N26" s="14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8" ht="21.95" customHeight="1" x14ac:dyDescent="0.65">
      <c r="A27" s="6" t="s">
        <v>26</v>
      </c>
      <c r="B27" s="3"/>
      <c r="C27" s="3"/>
      <c r="D27" s="3"/>
      <c r="E27" s="3"/>
      <c r="F27" s="3" t="s">
        <v>14</v>
      </c>
      <c r="G27" s="3"/>
      <c r="H27" s="17"/>
      <c r="I27" s="3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8" ht="23.25" x14ac:dyDescent="0.65">
      <c r="A28" s="3"/>
      <c r="B28" s="6" t="s">
        <v>27</v>
      </c>
      <c r="C28" s="6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6"/>
      <c r="O28" s="6" t="s">
        <v>30</v>
      </c>
      <c r="P28" s="3"/>
      <c r="Q28" s="3"/>
      <c r="R28" s="3"/>
      <c r="S28" s="3"/>
      <c r="T28" s="3"/>
      <c r="U28" s="111">
        <v>208</v>
      </c>
      <c r="V28" s="111"/>
      <c r="W28" s="111"/>
      <c r="X28" s="111"/>
      <c r="Y28" s="111"/>
    </row>
    <row r="29" spans="1:28" ht="23.25" x14ac:dyDescent="0.65">
      <c r="A29" s="3"/>
      <c r="B29" s="6" t="s">
        <v>31</v>
      </c>
      <c r="C29" s="6"/>
      <c r="D29" s="3"/>
      <c r="E29" s="3" t="s">
        <v>32</v>
      </c>
      <c r="F29" s="3"/>
      <c r="G29" s="3"/>
      <c r="H29" s="3"/>
      <c r="I29" s="6" t="s">
        <v>33</v>
      </c>
      <c r="J29" s="3"/>
      <c r="K29" s="3"/>
      <c r="L29" s="3"/>
      <c r="M29" s="3"/>
      <c r="N29" s="112">
        <v>30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28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18">
        <f>U28+N29</f>
        <v>238</v>
      </c>
    </row>
    <row r="31" spans="1:28" ht="23.25" x14ac:dyDescent="0.65">
      <c r="A31" s="7"/>
      <c r="B31" s="3" t="s">
        <v>35</v>
      </c>
      <c r="C31" s="7"/>
      <c r="D31" s="7" t="s">
        <v>36</v>
      </c>
      <c r="E31" s="7"/>
      <c r="F31" s="7"/>
      <c r="G31" s="7"/>
      <c r="H31" s="7"/>
      <c r="I31" s="7"/>
      <c r="J31" s="7"/>
      <c r="K31" s="7"/>
      <c r="L31" s="3" t="s">
        <v>37</v>
      </c>
      <c r="M31" s="7"/>
      <c r="N31" s="7"/>
      <c r="O31" s="7"/>
      <c r="P31" s="7" t="s">
        <v>38</v>
      </c>
      <c r="Q31" s="7"/>
      <c r="R31" s="7" t="s">
        <v>39</v>
      </c>
      <c r="S31" s="7"/>
      <c r="T31" s="7"/>
      <c r="U31" s="7"/>
      <c r="V31" s="7"/>
      <c r="W31" s="7"/>
      <c r="X31" s="7"/>
      <c r="Y31" s="7"/>
    </row>
    <row r="32" spans="1:28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6" ht="23.25" x14ac:dyDescent="0.25">
      <c r="A33" s="9"/>
      <c r="B33" s="19" t="s">
        <v>41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6" ht="23.25" x14ac:dyDescent="0.65">
      <c r="A34" s="9"/>
      <c r="B34" s="19" t="s">
        <v>42</v>
      </c>
      <c r="C34" s="7"/>
      <c r="D34" s="7"/>
      <c r="E34" s="20" t="s">
        <v>43</v>
      </c>
      <c r="F34" s="7" t="s">
        <v>44</v>
      </c>
      <c r="G34" s="7" t="s">
        <v>45</v>
      </c>
      <c r="H34" s="7" t="s">
        <v>46</v>
      </c>
      <c r="I34" s="7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6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6" ht="23.25" x14ac:dyDescent="0.65">
      <c r="A36" s="3"/>
      <c r="B36" s="3" t="s">
        <v>49</v>
      </c>
      <c r="C36" s="3"/>
      <c r="D36" s="3"/>
      <c r="E36" s="3"/>
      <c r="F36" s="3"/>
      <c r="G36" s="3" t="s">
        <v>50</v>
      </c>
      <c r="H36" s="3"/>
      <c r="I36" s="3"/>
      <c r="J36" s="3"/>
      <c r="K36" s="3"/>
      <c r="L36" s="3"/>
      <c r="M36" s="3" t="s">
        <v>19</v>
      </c>
      <c r="N36" s="113">
        <v>2</v>
      </c>
      <c r="O36" s="113"/>
      <c r="P36" s="3" t="s">
        <v>51</v>
      </c>
      <c r="Q36" s="21"/>
      <c r="R36" s="3"/>
      <c r="S36" s="3" t="s">
        <v>52</v>
      </c>
      <c r="T36" s="3"/>
      <c r="U36" s="3"/>
      <c r="V36" s="113">
        <v>1</v>
      </c>
      <c r="W36" s="113"/>
      <c r="X36" s="3" t="s">
        <v>53</v>
      </c>
      <c r="Y36" s="3"/>
    </row>
    <row r="37" spans="1:26" ht="23.25" x14ac:dyDescent="0.65">
      <c r="A37" s="3"/>
      <c r="B37" s="3" t="s">
        <v>54</v>
      </c>
      <c r="C37" s="3"/>
      <c r="D37" s="3"/>
      <c r="E37" s="3"/>
      <c r="F37" s="3"/>
      <c r="G37" s="4" t="s">
        <v>55</v>
      </c>
      <c r="H37" s="3"/>
      <c r="I37" s="3"/>
      <c r="J37" s="3"/>
      <c r="K37" s="3"/>
      <c r="L37" s="3"/>
      <c r="M37" s="3" t="s">
        <v>19</v>
      </c>
      <c r="N37" s="113">
        <v>1</v>
      </c>
      <c r="O37" s="113"/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2">
        <f>SUM(V37:W41)</f>
        <v>165</v>
      </c>
    </row>
    <row r="38" spans="1:26" ht="23.25" x14ac:dyDescent="0.65">
      <c r="A38" s="3"/>
      <c r="B38" s="3" t="s">
        <v>56</v>
      </c>
      <c r="C38" s="3"/>
      <c r="D38" s="3"/>
      <c r="E38" s="3"/>
      <c r="F38" s="3"/>
      <c r="G38" s="3" t="s">
        <v>57</v>
      </c>
      <c r="H38" s="3"/>
      <c r="I38" s="3"/>
      <c r="J38" s="3"/>
      <c r="K38" s="3"/>
      <c r="L38" s="3"/>
      <c r="M38" s="3" t="s">
        <v>19</v>
      </c>
      <c r="N38" s="113">
        <v>3</v>
      </c>
      <c r="O38" s="113"/>
      <c r="P38" s="3" t="s">
        <v>53</v>
      </c>
      <c r="Q38" s="3"/>
      <c r="R38" s="3"/>
      <c r="S38" s="3" t="s">
        <v>52</v>
      </c>
      <c r="T38" s="3"/>
      <c r="U38" s="3"/>
      <c r="V38" s="113">
        <v>2</v>
      </c>
      <c r="W38" s="113"/>
      <c r="X38" s="3" t="s">
        <v>53</v>
      </c>
      <c r="Y38" s="3"/>
    </row>
    <row r="39" spans="1:26" ht="23.25" x14ac:dyDescent="0.65">
      <c r="A39" s="3"/>
      <c r="B39" s="3" t="s">
        <v>58</v>
      </c>
      <c r="C39" s="3"/>
      <c r="D39" s="3"/>
      <c r="E39" s="3"/>
      <c r="F39" s="3"/>
      <c r="G39" s="3" t="s">
        <v>59</v>
      </c>
      <c r="H39" s="3"/>
      <c r="I39" s="3"/>
      <c r="J39" s="3"/>
      <c r="K39" s="3"/>
      <c r="L39" s="3"/>
      <c r="M39" s="3" t="s">
        <v>19</v>
      </c>
      <c r="N39" s="113">
        <v>141</v>
      </c>
      <c r="O39" s="113"/>
      <c r="P39" s="3" t="s">
        <v>53</v>
      </c>
      <c r="Q39" s="3"/>
      <c r="R39" s="3"/>
      <c r="S39" s="3" t="s">
        <v>52</v>
      </c>
      <c r="T39" s="3"/>
      <c r="U39" s="3"/>
      <c r="V39" s="113">
        <v>136</v>
      </c>
      <c r="W39" s="113"/>
      <c r="X39" s="3" t="s">
        <v>53</v>
      </c>
      <c r="Y39" s="3"/>
    </row>
    <row r="40" spans="1:26" ht="23.25" x14ac:dyDescent="0.65">
      <c r="A40" s="3"/>
      <c r="B40" s="3" t="s">
        <v>60</v>
      </c>
      <c r="C40" s="3"/>
      <c r="D40" s="3"/>
      <c r="E40" s="3"/>
      <c r="F40" s="3"/>
      <c r="G40" s="3" t="s">
        <v>61</v>
      </c>
      <c r="H40" s="3"/>
      <c r="I40" s="3"/>
      <c r="J40" s="3"/>
      <c r="K40" s="3"/>
      <c r="L40" s="3"/>
      <c r="M40" s="3" t="s">
        <v>19</v>
      </c>
      <c r="N40" s="113">
        <v>22</v>
      </c>
      <c r="O40" s="113"/>
      <c r="P40" s="3" t="s">
        <v>53</v>
      </c>
      <c r="Q40" s="3"/>
      <c r="R40" s="3"/>
      <c r="S40" s="3" t="s">
        <v>52</v>
      </c>
      <c r="T40" s="3"/>
      <c r="U40" s="3"/>
      <c r="V40" s="113">
        <v>11</v>
      </c>
      <c r="W40" s="113"/>
      <c r="X40" s="3" t="s">
        <v>53</v>
      </c>
      <c r="Y40" s="3"/>
    </row>
    <row r="41" spans="1:26" ht="23.25" x14ac:dyDescent="0.65">
      <c r="A41" s="3"/>
      <c r="B41" s="3" t="s">
        <v>64</v>
      </c>
      <c r="C41" s="3"/>
      <c r="D41" s="3"/>
      <c r="E41" s="3"/>
      <c r="F41" s="3"/>
      <c r="G41" s="3" t="s">
        <v>65</v>
      </c>
      <c r="H41" s="3"/>
      <c r="I41" s="3"/>
      <c r="J41" s="3"/>
      <c r="K41" s="3"/>
      <c r="L41" s="3"/>
      <c r="M41" s="3" t="s">
        <v>19</v>
      </c>
      <c r="N41" s="113">
        <v>43</v>
      </c>
      <c r="O41" s="113"/>
      <c r="P41" s="3" t="s">
        <v>53</v>
      </c>
      <c r="Q41" s="3"/>
      <c r="R41" s="3"/>
      <c r="S41" s="3" t="s">
        <v>52</v>
      </c>
      <c r="T41" s="3"/>
      <c r="U41" s="3"/>
      <c r="V41" s="113">
        <v>15</v>
      </c>
      <c r="W41" s="113"/>
      <c r="X41" s="3" t="s">
        <v>53</v>
      </c>
      <c r="Y41" s="3"/>
    </row>
    <row r="42" spans="1:26" ht="23.25" x14ac:dyDescent="0.6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 t="s">
        <v>66</v>
      </c>
      <c r="M42" s="22"/>
      <c r="N42" s="116">
        <f>SUM(N36:O41)</f>
        <v>212</v>
      </c>
      <c r="O42" s="116"/>
      <c r="P42" s="24" t="s">
        <v>53</v>
      </c>
      <c r="Q42" s="22"/>
      <c r="R42" s="22"/>
      <c r="S42" s="116" t="s">
        <v>52</v>
      </c>
      <c r="T42" s="116"/>
      <c r="U42" s="116"/>
      <c r="V42" s="116">
        <f>SUM(V36:W41)</f>
        <v>166</v>
      </c>
      <c r="W42" s="116"/>
      <c r="X42" s="24" t="s">
        <v>53</v>
      </c>
      <c r="Y42" s="23"/>
      <c r="Z42" s="12">
        <f>V42-V19</f>
        <v>120</v>
      </c>
    </row>
    <row r="43" spans="1:26" ht="23.25" x14ac:dyDescent="0.65">
      <c r="A43" s="3" t="s">
        <v>67</v>
      </c>
      <c r="B43" s="25"/>
      <c r="C43" s="25"/>
      <c r="D43" s="25"/>
      <c r="E43" s="25"/>
      <c r="F43" s="2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6" ht="9.9499999999999993" customHeight="1" x14ac:dyDescent="0.6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6" ht="21" x14ac:dyDescent="0.6">
      <c r="A45" s="122" t="s">
        <v>68</v>
      </c>
      <c r="B45" s="123"/>
      <c r="C45" s="123"/>
      <c r="D45" s="123"/>
      <c r="E45" s="124"/>
      <c r="F45" s="122" t="s">
        <v>69</v>
      </c>
      <c r="G45" s="123"/>
      <c r="H45" s="123"/>
      <c r="I45" s="124"/>
      <c r="J45" s="119" t="s">
        <v>70</v>
      </c>
      <c r="K45" s="119"/>
      <c r="L45" s="119"/>
      <c r="M45" s="119"/>
      <c r="N45" s="119"/>
      <c r="O45" s="119"/>
      <c r="P45" s="128" t="s">
        <v>71</v>
      </c>
      <c r="Q45" s="128"/>
      <c r="R45" s="128"/>
      <c r="S45" s="128"/>
      <c r="T45" s="128"/>
      <c r="U45" s="128" t="s">
        <v>72</v>
      </c>
      <c r="V45" s="128"/>
      <c r="W45" s="128"/>
      <c r="X45" s="128"/>
      <c r="Y45" s="128"/>
    </row>
    <row r="46" spans="1:26" ht="19.5" x14ac:dyDescent="0.55000000000000004">
      <c r="A46" s="125"/>
      <c r="B46" s="126"/>
      <c r="C46" s="126"/>
      <c r="D46" s="126"/>
      <c r="E46" s="127"/>
      <c r="F46" s="125"/>
      <c r="G46" s="126"/>
      <c r="H46" s="126"/>
      <c r="I46" s="127"/>
      <c r="J46" s="130" t="s">
        <v>73</v>
      </c>
      <c r="K46" s="130"/>
      <c r="L46" s="130"/>
      <c r="M46" s="130"/>
      <c r="N46" s="130"/>
      <c r="O46" s="130"/>
      <c r="P46" s="129"/>
      <c r="Q46" s="129"/>
      <c r="R46" s="129"/>
      <c r="S46" s="129"/>
      <c r="T46" s="129"/>
      <c r="U46" s="129"/>
      <c r="V46" s="129"/>
      <c r="W46" s="129"/>
      <c r="X46" s="129"/>
      <c r="Y46" s="129"/>
    </row>
    <row r="47" spans="1:26" ht="21" x14ac:dyDescent="0.6">
      <c r="A47" s="117" t="s">
        <v>74</v>
      </c>
      <c r="B47" s="117"/>
      <c r="C47" s="117"/>
      <c r="D47" s="117"/>
      <c r="E47" s="117"/>
      <c r="F47" s="117" t="s">
        <v>75</v>
      </c>
      <c r="G47" s="117"/>
      <c r="H47" s="117"/>
      <c r="I47" s="117"/>
      <c r="J47" s="119" t="s">
        <v>76</v>
      </c>
      <c r="K47" s="119"/>
      <c r="L47" s="119"/>
      <c r="M47" s="119" t="s">
        <v>77</v>
      </c>
      <c r="N47" s="119"/>
      <c r="O47" s="119"/>
      <c r="P47" s="120" t="s">
        <v>78</v>
      </c>
      <c r="Q47" s="117"/>
      <c r="R47" s="117"/>
      <c r="S47" s="117"/>
      <c r="T47" s="117"/>
      <c r="U47" s="117" t="s">
        <v>79</v>
      </c>
      <c r="V47" s="117"/>
      <c r="W47" s="117"/>
      <c r="X47" s="117"/>
      <c r="Y47" s="117"/>
    </row>
    <row r="48" spans="1:26" ht="21" x14ac:dyDescent="0.6">
      <c r="A48" s="118"/>
      <c r="B48" s="118"/>
      <c r="C48" s="118"/>
      <c r="D48" s="118"/>
      <c r="E48" s="118"/>
      <c r="F48" s="118"/>
      <c r="G48" s="118"/>
      <c r="H48" s="118"/>
      <c r="I48" s="118"/>
      <c r="J48" s="121" t="s">
        <v>80</v>
      </c>
      <c r="K48" s="121"/>
      <c r="L48" s="121"/>
      <c r="M48" s="121" t="s">
        <v>81</v>
      </c>
      <c r="N48" s="121"/>
      <c r="O48" s="121"/>
      <c r="P48" s="118"/>
      <c r="Q48" s="118"/>
      <c r="R48" s="118"/>
      <c r="S48" s="118"/>
      <c r="T48" s="118"/>
      <c r="U48" s="118"/>
      <c r="V48" s="118"/>
      <c r="W48" s="118"/>
      <c r="X48" s="118"/>
      <c r="Y48" s="118"/>
    </row>
    <row r="49" spans="1:37" ht="20.100000000000001" hidden="1" customHeight="1" x14ac:dyDescent="0.25">
      <c r="A49" s="178" t="s">
        <v>127</v>
      </c>
      <c r="B49" s="179"/>
      <c r="C49" s="179" t="s">
        <v>83</v>
      </c>
      <c r="D49" s="179"/>
      <c r="E49" s="180"/>
      <c r="F49" s="181" t="s">
        <v>83</v>
      </c>
      <c r="G49" s="181"/>
      <c r="H49" s="181"/>
      <c r="I49" s="181"/>
      <c r="J49" s="144">
        <v>8</v>
      </c>
      <c r="K49" s="144"/>
      <c r="L49" s="144"/>
      <c r="M49" s="182">
        <v>12</v>
      </c>
      <c r="N49" s="182"/>
      <c r="O49" s="182"/>
      <c r="P49" s="139">
        <f>M49*J49</f>
        <v>96</v>
      </c>
      <c r="Q49" s="139"/>
      <c r="R49" s="139"/>
      <c r="S49" s="139"/>
      <c r="T49" s="139"/>
      <c r="U49" s="145">
        <f>M49*($U$28)</f>
        <v>2496</v>
      </c>
      <c r="V49" s="145"/>
      <c r="W49" s="145"/>
      <c r="X49" s="145"/>
      <c r="Y49" s="145"/>
      <c r="Z49" s="2">
        <v>101</v>
      </c>
      <c r="AI49" s="26"/>
      <c r="AK49" s="27"/>
    </row>
    <row r="50" spans="1:37" ht="20.100000000000001" customHeight="1" x14ac:dyDescent="0.25">
      <c r="A50" s="140" t="s">
        <v>127</v>
      </c>
      <c r="B50" s="141"/>
      <c r="C50" s="141" t="s">
        <v>132</v>
      </c>
      <c r="D50" s="141"/>
      <c r="E50" s="142"/>
      <c r="F50" s="143" t="s">
        <v>83</v>
      </c>
      <c r="G50" s="143"/>
      <c r="H50" s="143"/>
      <c r="I50" s="143"/>
      <c r="J50" s="144">
        <v>8</v>
      </c>
      <c r="K50" s="144"/>
      <c r="L50" s="144"/>
      <c r="M50" s="138">
        <v>96</v>
      </c>
      <c r="N50" s="138"/>
      <c r="O50" s="138"/>
      <c r="P50" s="139">
        <f>M50*J50</f>
        <v>768</v>
      </c>
      <c r="Q50" s="139"/>
      <c r="R50" s="139"/>
      <c r="S50" s="139"/>
      <c r="T50" s="139"/>
      <c r="U50" s="145">
        <f>M50*($U$28)</f>
        <v>19968</v>
      </c>
      <c r="V50" s="145"/>
      <c r="W50" s="145"/>
      <c r="X50" s="145"/>
      <c r="Y50" s="145"/>
      <c r="Z50" s="43">
        <v>21349</v>
      </c>
      <c r="AA50" s="28">
        <f>Z50-1330</f>
        <v>20019</v>
      </c>
      <c r="AB50" s="2">
        <f>AA50/U28</f>
        <v>96.245192307692307</v>
      </c>
      <c r="AC50" s="2">
        <f>1330/N29</f>
        <v>44.333333333333336</v>
      </c>
      <c r="AI50" s="26"/>
      <c r="AK50" s="27"/>
    </row>
    <row r="51" spans="1:37" ht="20.100000000000001" customHeight="1" x14ac:dyDescent="0.25">
      <c r="A51" s="140" t="s">
        <v>127</v>
      </c>
      <c r="B51" s="141"/>
      <c r="C51" s="141" t="s">
        <v>128</v>
      </c>
      <c r="D51" s="141"/>
      <c r="E51" s="142"/>
      <c r="F51" s="136" t="s">
        <v>83</v>
      </c>
      <c r="G51" s="136" t="s">
        <v>83</v>
      </c>
      <c r="H51" s="136" t="s">
        <v>83</v>
      </c>
      <c r="I51" s="136" t="s">
        <v>83</v>
      </c>
      <c r="J51" s="137">
        <v>8</v>
      </c>
      <c r="K51" s="137"/>
      <c r="L51" s="137"/>
      <c r="M51" s="138">
        <v>16</v>
      </c>
      <c r="N51" s="138"/>
      <c r="O51" s="138"/>
      <c r="P51" s="139">
        <f t="shared" ref="P51:P67" si="0">M51*J51</f>
        <v>128</v>
      </c>
      <c r="Q51" s="139"/>
      <c r="R51" s="139"/>
      <c r="S51" s="139"/>
      <c r="T51" s="139"/>
      <c r="U51" s="131">
        <f>M51*($U$28)</f>
        <v>3328</v>
      </c>
      <c r="V51" s="131"/>
      <c r="W51" s="131"/>
      <c r="X51" s="131"/>
      <c r="Y51" s="131"/>
      <c r="Z51" s="43">
        <v>3396</v>
      </c>
      <c r="AA51" s="2">
        <f>Z51/208</f>
        <v>16.326923076923077</v>
      </c>
      <c r="AI51" s="26"/>
      <c r="AK51" s="27"/>
    </row>
    <row r="52" spans="1:37" ht="20.100000000000001" customHeight="1" x14ac:dyDescent="0.25">
      <c r="A52" s="140" t="s">
        <v>127</v>
      </c>
      <c r="B52" s="141"/>
      <c r="C52" s="141" t="s">
        <v>85</v>
      </c>
      <c r="D52" s="141"/>
      <c r="E52" s="142"/>
      <c r="F52" s="143" t="s">
        <v>83</v>
      </c>
      <c r="G52" s="143" t="s">
        <v>83</v>
      </c>
      <c r="H52" s="143" t="s">
        <v>83</v>
      </c>
      <c r="I52" s="143" t="s">
        <v>83</v>
      </c>
      <c r="J52" s="144">
        <v>8</v>
      </c>
      <c r="K52" s="144"/>
      <c r="L52" s="144"/>
      <c r="M52" s="138">
        <v>9</v>
      </c>
      <c r="N52" s="138"/>
      <c r="O52" s="138"/>
      <c r="P52" s="139">
        <f t="shared" si="0"/>
        <v>72</v>
      </c>
      <c r="Q52" s="139"/>
      <c r="R52" s="139"/>
      <c r="S52" s="139"/>
      <c r="T52" s="139"/>
      <c r="U52" s="145">
        <f t="shared" ref="U52:U54" si="1">M52*($U$28)</f>
        <v>1872</v>
      </c>
      <c r="V52" s="145"/>
      <c r="W52" s="145"/>
      <c r="X52" s="145"/>
      <c r="Y52" s="145"/>
      <c r="Z52" s="43">
        <v>1848</v>
      </c>
      <c r="AA52" s="2">
        <f>Z52/208</f>
        <v>8.884615384615385</v>
      </c>
      <c r="AC52" s="2" t="s">
        <v>135</v>
      </c>
      <c r="AI52" s="26"/>
      <c r="AK52" s="27"/>
    </row>
    <row r="53" spans="1:37" ht="20.100000000000001" customHeight="1" x14ac:dyDescent="0.25">
      <c r="A53" s="140" t="s">
        <v>127</v>
      </c>
      <c r="B53" s="141"/>
      <c r="C53" s="141" t="s">
        <v>129</v>
      </c>
      <c r="D53" s="141"/>
      <c r="E53" s="142"/>
      <c r="F53" s="143" t="s">
        <v>83</v>
      </c>
      <c r="G53" s="143" t="s">
        <v>83</v>
      </c>
      <c r="H53" s="143" t="s">
        <v>83</v>
      </c>
      <c r="I53" s="143" t="s">
        <v>83</v>
      </c>
      <c r="J53" s="144">
        <v>8</v>
      </c>
      <c r="K53" s="144"/>
      <c r="L53" s="144"/>
      <c r="M53" s="138">
        <v>18</v>
      </c>
      <c r="N53" s="138"/>
      <c r="O53" s="138"/>
      <c r="P53" s="139">
        <f t="shared" si="0"/>
        <v>144</v>
      </c>
      <c r="Q53" s="139"/>
      <c r="R53" s="139"/>
      <c r="S53" s="139"/>
      <c r="T53" s="139"/>
      <c r="U53" s="145">
        <f t="shared" si="1"/>
        <v>3744</v>
      </c>
      <c r="V53" s="145"/>
      <c r="W53" s="145"/>
      <c r="X53" s="145"/>
      <c r="Y53" s="145"/>
      <c r="Z53" s="43">
        <v>4026</v>
      </c>
      <c r="AA53" s="28">
        <f>Z53-230</f>
        <v>3796</v>
      </c>
      <c r="AB53" s="2">
        <f>AA53/U28</f>
        <v>18.25</v>
      </c>
      <c r="AC53" s="2">
        <f>230/N29</f>
        <v>7.666666666666667</v>
      </c>
      <c r="AI53" s="26"/>
      <c r="AK53" s="27"/>
    </row>
    <row r="54" spans="1:37" ht="20.100000000000001" customHeight="1" x14ac:dyDescent="0.25">
      <c r="A54" s="140" t="s">
        <v>127</v>
      </c>
      <c r="B54" s="141"/>
      <c r="C54" s="141" t="s">
        <v>126</v>
      </c>
      <c r="D54" s="141"/>
      <c r="E54" s="142"/>
      <c r="F54" s="136" t="s">
        <v>83</v>
      </c>
      <c r="G54" s="136" t="s">
        <v>83</v>
      </c>
      <c r="H54" s="136" t="s">
        <v>83</v>
      </c>
      <c r="I54" s="136" t="s">
        <v>83</v>
      </c>
      <c r="J54" s="137">
        <v>8</v>
      </c>
      <c r="K54" s="137"/>
      <c r="L54" s="137"/>
      <c r="M54" s="138">
        <v>8</v>
      </c>
      <c r="N54" s="138"/>
      <c r="O54" s="138"/>
      <c r="P54" s="139">
        <f t="shared" si="0"/>
        <v>64</v>
      </c>
      <c r="Q54" s="139"/>
      <c r="R54" s="139"/>
      <c r="S54" s="139"/>
      <c r="T54" s="139"/>
      <c r="U54" s="131">
        <f t="shared" si="1"/>
        <v>1664</v>
      </c>
      <c r="V54" s="131"/>
      <c r="W54" s="131"/>
      <c r="X54" s="131"/>
      <c r="Y54" s="131"/>
      <c r="Z54" s="43">
        <v>1635</v>
      </c>
      <c r="AA54" s="2">
        <f>Z54/208</f>
        <v>7.8605769230769234</v>
      </c>
      <c r="AI54" s="26"/>
      <c r="AK54" s="27"/>
    </row>
    <row r="55" spans="1:37" ht="20.100000000000001" customHeight="1" x14ac:dyDescent="0.25">
      <c r="A55" s="140" t="s">
        <v>127</v>
      </c>
      <c r="B55" s="141"/>
      <c r="C55" s="141" t="s">
        <v>132</v>
      </c>
      <c r="D55" s="141"/>
      <c r="E55" s="142"/>
      <c r="F55" s="143" t="s">
        <v>83</v>
      </c>
      <c r="G55" s="143"/>
      <c r="H55" s="143"/>
      <c r="I55" s="143"/>
      <c r="J55" s="144">
        <v>2</v>
      </c>
      <c r="K55" s="144"/>
      <c r="L55" s="144"/>
      <c r="M55" s="138">
        <v>44</v>
      </c>
      <c r="N55" s="138"/>
      <c r="O55" s="138"/>
      <c r="P55" s="139">
        <f t="shared" si="0"/>
        <v>88</v>
      </c>
      <c r="Q55" s="139"/>
      <c r="R55" s="139"/>
      <c r="S55" s="139"/>
      <c r="T55" s="139"/>
      <c r="U55" s="131">
        <f>M55*($N$29)</f>
        <v>1320</v>
      </c>
      <c r="V55" s="131"/>
      <c r="W55" s="131"/>
      <c r="X55" s="131"/>
      <c r="Y55" s="131"/>
      <c r="AI55" s="26"/>
      <c r="AK55" s="27"/>
    </row>
    <row r="56" spans="1:37" ht="20.100000000000001" customHeight="1" x14ac:dyDescent="0.25">
      <c r="A56" s="140" t="s">
        <v>127</v>
      </c>
      <c r="B56" s="141"/>
      <c r="C56" s="141" t="s">
        <v>129</v>
      </c>
      <c r="D56" s="141"/>
      <c r="E56" s="142"/>
      <c r="F56" s="136" t="s">
        <v>83</v>
      </c>
      <c r="G56" s="136" t="s">
        <v>83</v>
      </c>
      <c r="H56" s="136" t="s">
        <v>83</v>
      </c>
      <c r="I56" s="136" t="s">
        <v>83</v>
      </c>
      <c r="J56" s="137">
        <v>2</v>
      </c>
      <c r="K56" s="137"/>
      <c r="L56" s="137"/>
      <c r="M56" s="138">
        <v>8</v>
      </c>
      <c r="N56" s="138"/>
      <c r="O56" s="138"/>
      <c r="P56" s="139">
        <f t="shared" si="0"/>
        <v>16</v>
      </c>
      <c r="Q56" s="139"/>
      <c r="R56" s="139"/>
      <c r="S56" s="139"/>
      <c r="T56" s="139"/>
      <c r="U56" s="131">
        <f>M56*($N$29)</f>
        <v>240</v>
      </c>
      <c r="V56" s="131"/>
      <c r="W56" s="131"/>
      <c r="X56" s="131"/>
      <c r="Y56" s="131"/>
      <c r="Z56" s="28">
        <f>SUM(Z50:Z54)</f>
        <v>32254</v>
      </c>
      <c r="AI56" s="26"/>
      <c r="AK56" s="27"/>
    </row>
    <row r="57" spans="1:37" ht="20.100000000000001" hidden="1" customHeight="1" x14ac:dyDescent="0.25">
      <c r="A57" s="178"/>
      <c r="B57" s="179"/>
      <c r="C57" s="179"/>
      <c r="D57" s="179"/>
      <c r="E57" s="180"/>
      <c r="F57" s="181" t="s">
        <v>83</v>
      </c>
      <c r="G57" s="181" t="s">
        <v>83</v>
      </c>
      <c r="H57" s="181" t="s">
        <v>83</v>
      </c>
      <c r="I57" s="181" t="s">
        <v>83</v>
      </c>
      <c r="J57" s="144">
        <v>2</v>
      </c>
      <c r="K57" s="144"/>
      <c r="L57" s="144"/>
      <c r="M57" s="182">
        <v>68</v>
      </c>
      <c r="N57" s="182"/>
      <c r="O57" s="182"/>
      <c r="P57" s="139">
        <f t="shared" si="0"/>
        <v>136</v>
      </c>
      <c r="Q57" s="139"/>
      <c r="R57" s="139"/>
      <c r="S57" s="139"/>
      <c r="T57" s="139"/>
      <c r="U57" s="145">
        <f t="shared" ref="U57:U58" si="2">M57*($N$29)</f>
        <v>2040</v>
      </c>
      <c r="V57" s="145"/>
      <c r="W57" s="145"/>
      <c r="X57" s="145"/>
      <c r="Y57" s="145"/>
      <c r="AI57" s="26"/>
      <c r="AK57" s="27"/>
    </row>
    <row r="58" spans="1:37" ht="19.5" hidden="1" customHeight="1" x14ac:dyDescent="0.25">
      <c r="A58" s="178"/>
      <c r="B58" s="179"/>
      <c r="C58" s="179"/>
      <c r="D58" s="179"/>
      <c r="E58" s="180"/>
      <c r="F58" s="181" t="s">
        <v>83</v>
      </c>
      <c r="G58" s="181" t="s">
        <v>83</v>
      </c>
      <c r="H58" s="181" t="s">
        <v>83</v>
      </c>
      <c r="I58" s="181" t="s">
        <v>83</v>
      </c>
      <c r="J58" s="144">
        <v>2</v>
      </c>
      <c r="K58" s="144"/>
      <c r="L58" s="144"/>
      <c r="M58" s="182">
        <v>19</v>
      </c>
      <c r="N58" s="182"/>
      <c r="O58" s="182"/>
      <c r="P58" s="139">
        <f t="shared" si="0"/>
        <v>38</v>
      </c>
      <c r="Q58" s="139"/>
      <c r="R58" s="139"/>
      <c r="S58" s="139"/>
      <c r="T58" s="139"/>
      <c r="U58" s="145">
        <f t="shared" si="2"/>
        <v>570</v>
      </c>
      <c r="V58" s="145"/>
      <c r="W58" s="145"/>
      <c r="X58" s="145"/>
      <c r="Y58" s="145"/>
      <c r="AI58" s="26"/>
      <c r="AK58" s="27"/>
    </row>
    <row r="59" spans="1:37" ht="20.100000000000001" hidden="1" customHeight="1" x14ac:dyDescent="0.25">
      <c r="A59" s="178"/>
      <c r="B59" s="179"/>
      <c r="C59" s="179"/>
      <c r="D59" s="179"/>
      <c r="E59" s="180"/>
      <c r="F59" s="183" t="s">
        <v>88</v>
      </c>
      <c r="G59" s="183" t="s">
        <v>83</v>
      </c>
      <c r="H59" s="183" t="s">
        <v>83</v>
      </c>
      <c r="I59" s="183" t="s">
        <v>83</v>
      </c>
      <c r="J59" s="137">
        <v>2</v>
      </c>
      <c r="K59" s="137"/>
      <c r="L59" s="137"/>
      <c r="M59" s="182">
        <v>15</v>
      </c>
      <c r="N59" s="182"/>
      <c r="O59" s="182"/>
      <c r="P59" s="139">
        <f>M59*J59</f>
        <v>30</v>
      </c>
      <c r="Q59" s="139"/>
      <c r="R59" s="139"/>
      <c r="S59" s="139"/>
      <c r="T59" s="139"/>
      <c r="U59" s="131">
        <f>M59*($N$29)</f>
        <v>450</v>
      </c>
      <c r="V59" s="131"/>
      <c r="W59" s="131"/>
      <c r="X59" s="131"/>
      <c r="Y59" s="131"/>
      <c r="AF59"/>
      <c r="AG59"/>
      <c r="AH59"/>
      <c r="AI59" s="26"/>
      <c r="AK59" s="27"/>
    </row>
    <row r="60" spans="1:37" ht="20.100000000000001" hidden="1" customHeight="1" x14ac:dyDescent="0.25">
      <c r="A60" s="140" t="s">
        <v>82</v>
      </c>
      <c r="B60" s="141" t="s">
        <v>82</v>
      </c>
      <c r="C60" s="141" t="s">
        <v>89</v>
      </c>
      <c r="D60" s="141"/>
      <c r="E60" s="142"/>
      <c r="F60" s="143" t="s">
        <v>88</v>
      </c>
      <c r="G60" s="143" t="s">
        <v>83</v>
      </c>
      <c r="H60" s="143" t="s">
        <v>83</v>
      </c>
      <c r="I60" s="143" t="s">
        <v>83</v>
      </c>
      <c r="J60" s="137">
        <v>2</v>
      </c>
      <c r="K60" s="137"/>
      <c r="L60" s="137"/>
      <c r="M60" s="138">
        <v>4</v>
      </c>
      <c r="N60" s="138">
        <v>4</v>
      </c>
      <c r="O60" s="138">
        <v>4</v>
      </c>
      <c r="P60" s="139">
        <f t="shared" si="0"/>
        <v>8</v>
      </c>
      <c r="Q60" s="139"/>
      <c r="R60" s="139"/>
      <c r="S60" s="139"/>
      <c r="T60" s="139"/>
      <c r="U60" s="145">
        <f>M60*($N$29)</f>
        <v>120</v>
      </c>
      <c r="V60" s="145"/>
      <c r="W60" s="145"/>
      <c r="X60" s="145"/>
      <c r="Y60" s="145"/>
      <c r="AA60" s="28" t="e">
        <f>#REF!-#REF!</f>
        <v>#REF!</v>
      </c>
    </row>
    <row r="61" spans="1:37" ht="20.100000000000001" hidden="1" customHeight="1" x14ac:dyDescent="0.25">
      <c r="A61" s="140" t="s">
        <v>82</v>
      </c>
      <c r="B61" s="141" t="s">
        <v>82</v>
      </c>
      <c r="C61" s="141" t="s">
        <v>86</v>
      </c>
      <c r="D61" s="141"/>
      <c r="E61" s="142"/>
      <c r="F61" s="143" t="s">
        <v>88</v>
      </c>
      <c r="G61" s="143" t="s">
        <v>83</v>
      </c>
      <c r="H61" s="143" t="s">
        <v>83</v>
      </c>
      <c r="I61" s="143" t="s">
        <v>83</v>
      </c>
      <c r="J61" s="137">
        <v>2</v>
      </c>
      <c r="K61" s="137"/>
      <c r="L61" s="137"/>
      <c r="M61" s="138">
        <v>4</v>
      </c>
      <c r="N61" s="138"/>
      <c r="O61" s="138"/>
      <c r="P61" s="139">
        <f t="shared" si="0"/>
        <v>8</v>
      </c>
      <c r="Q61" s="139"/>
      <c r="R61" s="139"/>
      <c r="S61" s="139"/>
      <c r="T61" s="139"/>
      <c r="U61" s="145">
        <f t="shared" ref="U61:U67" si="3">M61*($N$29)</f>
        <v>120</v>
      </c>
      <c r="V61" s="145"/>
      <c r="W61" s="145"/>
      <c r="X61" s="145"/>
      <c r="Y61" s="145"/>
      <c r="AA61" s="28"/>
    </row>
    <row r="62" spans="1:37" ht="20.100000000000001" hidden="1" customHeight="1" x14ac:dyDescent="0.25">
      <c r="A62" s="140" t="s">
        <v>82</v>
      </c>
      <c r="B62" s="141" t="s">
        <v>82</v>
      </c>
      <c r="C62" s="141" t="s">
        <v>89</v>
      </c>
      <c r="D62" s="141"/>
      <c r="E62" s="142"/>
      <c r="F62" s="143" t="s">
        <v>83</v>
      </c>
      <c r="G62" s="143" t="s">
        <v>83</v>
      </c>
      <c r="H62" s="143" t="s">
        <v>83</v>
      </c>
      <c r="I62" s="143" t="s">
        <v>83</v>
      </c>
      <c r="J62" s="137">
        <v>2</v>
      </c>
      <c r="K62" s="137"/>
      <c r="L62" s="137"/>
      <c r="M62" s="138">
        <v>19</v>
      </c>
      <c r="N62" s="138">
        <v>4</v>
      </c>
      <c r="O62" s="138">
        <v>4</v>
      </c>
      <c r="P62" s="139">
        <f t="shared" si="0"/>
        <v>38</v>
      </c>
      <c r="Q62" s="139"/>
      <c r="R62" s="139"/>
      <c r="S62" s="139"/>
      <c r="T62" s="139"/>
      <c r="U62" s="145">
        <f t="shared" si="3"/>
        <v>570</v>
      </c>
      <c r="V62" s="145"/>
      <c r="W62" s="145"/>
      <c r="X62" s="145"/>
      <c r="Y62" s="145"/>
      <c r="AA62" s="28"/>
    </row>
    <row r="63" spans="1:37" ht="20.100000000000001" hidden="1" customHeight="1" x14ac:dyDescent="0.25">
      <c r="A63" s="140" t="s">
        <v>82</v>
      </c>
      <c r="B63" s="141" t="s">
        <v>82</v>
      </c>
      <c r="C63" s="141" t="s">
        <v>91</v>
      </c>
      <c r="D63" s="141"/>
      <c r="E63" s="142"/>
      <c r="F63" s="143" t="s">
        <v>88</v>
      </c>
      <c r="G63" s="143"/>
      <c r="H63" s="143"/>
      <c r="I63" s="143"/>
      <c r="J63" s="137">
        <v>2</v>
      </c>
      <c r="K63" s="137"/>
      <c r="L63" s="137"/>
      <c r="M63" s="138">
        <v>4</v>
      </c>
      <c r="N63" s="138"/>
      <c r="O63" s="138"/>
      <c r="P63" s="139">
        <f t="shared" si="0"/>
        <v>8</v>
      </c>
      <c r="Q63" s="139"/>
      <c r="R63" s="139"/>
      <c r="S63" s="139"/>
      <c r="T63" s="139"/>
      <c r="U63" s="145">
        <f>M63*($N$29)</f>
        <v>120</v>
      </c>
      <c r="V63" s="145"/>
      <c r="W63" s="145"/>
      <c r="X63" s="145"/>
      <c r="Y63" s="145"/>
      <c r="AA63" s="28"/>
    </row>
    <row r="64" spans="1:37" ht="20.100000000000001" hidden="1" customHeight="1" x14ac:dyDescent="0.25">
      <c r="A64" s="140" t="s">
        <v>87</v>
      </c>
      <c r="B64" s="141"/>
      <c r="C64" s="141" t="s">
        <v>89</v>
      </c>
      <c r="D64" s="141"/>
      <c r="E64" s="142"/>
      <c r="F64" s="143" t="s">
        <v>88</v>
      </c>
      <c r="G64" s="143"/>
      <c r="H64" s="143"/>
      <c r="I64" s="143"/>
      <c r="J64" s="137">
        <v>2</v>
      </c>
      <c r="K64" s="137"/>
      <c r="L64" s="137"/>
      <c r="M64" s="138">
        <v>2</v>
      </c>
      <c r="N64" s="138"/>
      <c r="O64" s="138"/>
      <c r="P64" s="139">
        <f t="shared" si="0"/>
        <v>4</v>
      </c>
      <c r="Q64" s="139"/>
      <c r="R64" s="139"/>
      <c r="S64" s="139"/>
      <c r="T64" s="139"/>
      <c r="U64" s="145">
        <f t="shared" ref="U64:U66" si="4">M64*($N$29)</f>
        <v>60</v>
      </c>
      <c r="V64" s="145"/>
      <c r="W64" s="145"/>
      <c r="X64" s="145"/>
      <c r="Y64" s="145"/>
      <c r="AA64" s="28"/>
    </row>
    <row r="65" spans="1:34" ht="20.100000000000001" hidden="1" customHeight="1" x14ac:dyDescent="0.25">
      <c r="A65" s="140" t="s">
        <v>87</v>
      </c>
      <c r="B65" s="141"/>
      <c r="C65" s="141" t="s">
        <v>86</v>
      </c>
      <c r="D65" s="141"/>
      <c r="E65" s="142"/>
      <c r="F65" s="143" t="s">
        <v>88</v>
      </c>
      <c r="G65" s="143"/>
      <c r="H65" s="143"/>
      <c r="I65" s="143"/>
      <c r="J65" s="137">
        <v>2</v>
      </c>
      <c r="K65" s="137"/>
      <c r="L65" s="137"/>
      <c r="M65" s="138">
        <v>4</v>
      </c>
      <c r="N65" s="138"/>
      <c r="O65" s="138"/>
      <c r="P65" s="139">
        <f t="shared" si="0"/>
        <v>8</v>
      </c>
      <c r="Q65" s="139"/>
      <c r="R65" s="139"/>
      <c r="S65" s="139"/>
      <c r="T65" s="139"/>
      <c r="U65" s="145">
        <f t="shared" si="4"/>
        <v>120</v>
      </c>
      <c r="V65" s="145"/>
      <c r="W65" s="145"/>
      <c r="X65" s="145"/>
      <c r="Y65" s="145"/>
      <c r="AA65" s="28"/>
    </row>
    <row r="66" spans="1:34" ht="20.100000000000001" hidden="1" customHeight="1" x14ac:dyDescent="0.25">
      <c r="A66" s="140" t="s">
        <v>92</v>
      </c>
      <c r="B66" s="141"/>
      <c r="C66" s="141" t="s">
        <v>93</v>
      </c>
      <c r="D66" s="141"/>
      <c r="E66" s="142"/>
      <c r="F66" s="143" t="s">
        <v>83</v>
      </c>
      <c r="G66" s="143"/>
      <c r="H66" s="143"/>
      <c r="I66" s="143"/>
      <c r="J66" s="137">
        <v>2</v>
      </c>
      <c r="K66" s="137"/>
      <c r="L66" s="137"/>
      <c r="M66" s="138">
        <v>5</v>
      </c>
      <c r="N66" s="138"/>
      <c r="O66" s="138"/>
      <c r="P66" s="139">
        <f t="shared" si="0"/>
        <v>10</v>
      </c>
      <c r="Q66" s="139"/>
      <c r="R66" s="139"/>
      <c r="S66" s="139"/>
      <c r="T66" s="139"/>
      <c r="U66" s="145">
        <f t="shared" si="4"/>
        <v>150</v>
      </c>
      <c r="V66" s="145"/>
      <c r="W66" s="145"/>
      <c r="X66" s="145"/>
      <c r="Y66" s="145"/>
      <c r="AA66" s="28"/>
    </row>
    <row r="67" spans="1:34" ht="8.4499999999999993" hidden="1" customHeight="1" x14ac:dyDescent="0.25">
      <c r="A67" s="140" t="s">
        <v>92</v>
      </c>
      <c r="B67" s="141"/>
      <c r="C67" s="141" t="s">
        <v>94</v>
      </c>
      <c r="D67" s="141"/>
      <c r="E67" s="142"/>
      <c r="F67" s="150" t="s">
        <v>88</v>
      </c>
      <c r="G67" s="151"/>
      <c r="H67" s="151"/>
      <c r="I67" s="135"/>
      <c r="J67" s="152">
        <v>2</v>
      </c>
      <c r="K67" s="153"/>
      <c r="L67" s="154"/>
      <c r="M67" s="155">
        <v>5</v>
      </c>
      <c r="N67" s="156"/>
      <c r="O67" s="157"/>
      <c r="P67" s="158">
        <f t="shared" si="0"/>
        <v>10</v>
      </c>
      <c r="Q67" s="159"/>
      <c r="R67" s="159"/>
      <c r="S67" s="159"/>
      <c r="T67" s="160"/>
      <c r="U67" s="146">
        <f t="shared" si="3"/>
        <v>150</v>
      </c>
      <c r="V67" s="147"/>
      <c r="W67" s="147"/>
      <c r="X67" s="147"/>
      <c r="Y67" s="148"/>
      <c r="AA67" s="28"/>
    </row>
    <row r="68" spans="1:34" ht="23.2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30"/>
      <c r="K68" s="30"/>
      <c r="L68" s="30"/>
      <c r="M68" s="31"/>
      <c r="N68" s="31"/>
      <c r="O68" s="31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28">
        <f>SUM(U50:Y56)</f>
        <v>32136</v>
      </c>
      <c r="AA68" s="27"/>
      <c r="AF68"/>
      <c r="AG68"/>
      <c r="AH68"/>
    </row>
    <row r="69" spans="1:34" s="3" customFormat="1" ht="23.25" x14ac:dyDescent="0.65">
      <c r="A69" s="3" t="s">
        <v>95</v>
      </c>
    </row>
    <row r="70" spans="1:34" ht="21" x14ac:dyDescent="0.6">
      <c r="A70" s="122" t="s">
        <v>68</v>
      </c>
      <c r="B70" s="123"/>
      <c r="C70" s="123"/>
      <c r="D70" s="123"/>
      <c r="E70" s="124"/>
      <c r="F70" s="122" t="s">
        <v>69</v>
      </c>
      <c r="G70" s="123"/>
      <c r="H70" s="123"/>
      <c r="I70" s="124"/>
      <c r="J70" s="119" t="s">
        <v>96</v>
      </c>
      <c r="K70" s="119"/>
      <c r="L70" s="119"/>
      <c r="M70" s="119"/>
      <c r="N70" s="119"/>
      <c r="O70" s="119"/>
      <c r="P70" s="122" t="s">
        <v>66</v>
      </c>
      <c r="Q70" s="123"/>
      <c r="R70" s="123"/>
      <c r="S70" s="123"/>
      <c r="T70" s="124"/>
      <c r="U70" s="122" t="s">
        <v>97</v>
      </c>
      <c r="V70" s="123"/>
      <c r="W70" s="123"/>
      <c r="X70" s="123"/>
      <c r="Y70" s="124"/>
      <c r="AA70" s="28"/>
      <c r="AF70"/>
      <c r="AG70"/>
      <c r="AH70"/>
    </row>
    <row r="71" spans="1:34" ht="21" x14ac:dyDescent="0.6">
      <c r="A71" s="125"/>
      <c r="B71" s="126"/>
      <c r="C71" s="126"/>
      <c r="D71" s="126"/>
      <c r="E71" s="127"/>
      <c r="F71" s="125"/>
      <c r="G71" s="126"/>
      <c r="H71" s="126"/>
      <c r="I71" s="127"/>
      <c r="J71" s="149" t="s">
        <v>98</v>
      </c>
      <c r="K71" s="149"/>
      <c r="L71" s="149"/>
      <c r="M71" s="149"/>
      <c r="N71" s="149"/>
      <c r="O71" s="149"/>
      <c r="P71" s="125"/>
      <c r="Q71" s="126"/>
      <c r="R71" s="126"/>
      <c r="S71" s="126"/>
      <c r="T71" s="127"/>
      <c r="U71" s="125"/>
      <c r="V71" s="126"/>
      <c r="W71" s="126"/>
      <c r="X71" s="126"/>
      <c r="Y71" s="127"/>
      <c r="AF71"/>
      <c r="AG71"/>
      <c r="AH71"/>
    </row>
    <row r="72" spans="1:34" ht="19.5" customHeight="1" x14ac:dyDescent="0.25">
      <c r="A72" s="117" t="s">
        <v>74</v>
      </c>
      <c r="B72" s="117"/>
      <c r="C72" s="117"/>
      <c r="D72" s="117"/>
      <c r="E72" s="117"/>
      <c r="F72" s="117" t="s">
        <v>75</v>
      </c>
      <c r="G72" s="117"/>
      <c r="H72" s="117"/>
      <c r="I72" s="117"/>
      <c r="J72" s="122" t="s">
        <v>99</v>
      </c>
      <c r="K72" s="123"/>
      <c r="L72" s="123"/>
      <c r="M72" s="122" t="s">
        <v>100</v>
      </c>
      <c r="N72" s="123"/>
      <c r="O72" s="123"/>
      <c r="P72" s="117" t="s">
        <v>101</v>
      </c>
      <c r="Q72" s="117"/>
      <c r="R72" s="117"/>
      <c r="S72" s="117"/>
      <c r="T72" s="117"/>
      <c r="U72" s="117" t="s">
        <v>102</v>
      </c>
      <c r="V72" s="117"/>
      <c r="W72" s="117"/>
      <c r="X72" s="117"/>
      <c r="Y72" s="117"/>
      <c r="AF72"/>
      <c r="AG72"/>
      <c r="AH72"/>
    </row>
    <row r="73" spans="1:34" ht="21" x14ac:dyDescent="0.6">
      <c r="A73" s="118"/>
      <c r="B73" s="118"/>
      <c r="C73" s="118"/>
      <c r="D73" s="118"/>
      <c r="E73" s="118"/>
      <c r="F73" s="118"/>
      <c r="G73" s="118"/>
      <c r="H73" s="118"/>
      <c r="I73" s="118"/>
      <c r="J73" s="121" t="s">
        <v>103</v>
      </c>
      <c r="K73" s="121"/>
      <c r="L73" s="121"/>
      <c r="M73" s="121" t="s">
        <v>104</v>
      </c>
      <c r="N73" s="121"/>
      <c r="O73" s="121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AF73"/>
      <c r="AG73"/>
      <c r="AH73"/>
    </row>
    <row r="74" spans="1:34" ht="20.100000000000001" hidden="1" customHeight="1" x14ac:dyDescent="0.25">
      <c r="A74" s="150" t="str">
        <f>A49</f>
        <v>LADIES</v>
      </c>
      <c r="B74" s="151" t="s">
        <v>82</v>
      </c>
      <c r="C74" s="151" t="str">
        <f>C49</f>
        <v>WOVEN</v>
      </c>
      <c r="D74" s="151" t="s">
        <v>90</v>
      </c>
      <c r="E74" s="135" t="s">
        <v>90</v>
      </c>
      <c r="F74" s="136" t="str">
        <f>F49</f>
        <v>WOVEN</v>
      </c>
      <c r="G74" s="136"/>
      <c r="H74" s="136"/>
      <c r="I74" s="136"/>
      <c r="J74" s="158">
        <f>M74*12</f>
        <v>3</v>
      </c>
      <c r="K74" s="159"/>
      <c r="L74" s="160"/>
      <c r="M74" s="165">
        <v>0.25</v>
      </c>
      <c r="N74" s="165"/>
      <c r="O74" s="165"/>
      <c r="P74" s="131">
        <f>U49</f>
        <v>2496</v>
      </c>
      <c r="Q74" s="131"/>
      <c r="R74" s="131"/>
      <c r="S74" s="131"/>
      <c r="T74" s="131"/>
      <c r="U74" s="161">
        <f>P74*M74</f>
        <v>624</v>
      </c>
      <c r="V74" s="161"/>
      <c r="W74" s="161"/>
      <c r="X74" s="161"/>
      <c r="Y74" s="161"/>
      <c r="AF74"/>
      <c r="AG74"/>
      <c r="AH74"/>
    </row>
    <row r="75" spans="1:34" ht="20.100000000000001" customHeight="1" x14ac:dyDescent="0.25">
      <c r="A75" s="150" t="str">
        <f t="shared" ref="A75:A81" si="5">A50</f>
        <v>LADIES</v>
      </c>
      <c r="B75" s="151" t="s">
        <v>82</v>
      </c>
      <c r="C75" s="151" t="str">
        <f t="shared" ref="C75:C81" si="6">C50</f>
        <v>PANTS</v>
      </c>
      <c r="D75" s="151" t="s">
        <v>90</v>
      </c>
      <c r="E75" s="135" t="s">
        <v>90</v>
      </c>
      <c r="F75" s="136" t="str">
        <f t="shared" ref="F75:F92" si="7">F50</f>
        <v>WOVEN</v>
      </c>
      <c r="G75" s="136"/>
      <c r="H75" s="136"/>
      <c r="I75" s="136"/>
      <c r="J75" s="139">
        <f>M75*12</f>
        <v>3</v>
      </c>
      <c r="K75" s="139"/>
      <c r="L75" s="139"/>
      <c r="M75" s="162">
        <v>0.25</v>
      </c>
      <c r="N75" s="163"/>
      <c r="O75" s="164"/>
      <c r="P75" s="131">
        <f t="shared" ref="P75:P81" si="8">U50</f>
        <v>19968</v>
      </c>
      <c r="Q75" s="131"/>
      <c r="R75" s="131"/>
      <c r="S75" s="131"/>
      <c r="T75" s="131"/>
      <c r="U75" s="161">
        <f>P75*M75</f>
        <v>4992</v>
      </c>
      <c r="V75" s="161"/>
      <c r="W75" s="161"/>
      <c r="X75" s="161"/>
      <c r="Y75" s="161"/>
    </row>
    <row r="76" spans="1:34" ht="20.100000000000001" customHeight="1" x14ac:dyDescent="0.25">
      <c r="A76" s="150" t="str">
        <f t="shared" si="5"/>
        <v>LADIES</v>
      </c>
      <c r="B76" s="151" t="s">
        <v>82</v>
      </c>
      <c r="C76" s="151" t="str">
        <f t="shared" si="6"/>
        <v>TANK</v>
      </c>
      <c r="D76" s="151" t="s">
        <v>90</v>
      </c>
      <c r="E76" s="135" t="s">
        <v>90</v>
      </c>
      <c r="F76" s="136" t="str">
        <f t="shared" si="7"/>
        <v>WOVEN</v>
      </c>
      <c r="G76" s="136"/>
      <c r="H76" s="136"/>
      <c r="I76" s="136"/>
      <c r="J76" s="139">
        <f t="shared" ref="J76:J84" si="9">M76*12</f>
        <v>2.4000000000000004</v>
      </c>
      <c r="K76" s="139"/>
      <c r="L76" s="139"/>
      <c r="M76" s="162">
        <v>0.2</v>
      </c>
      <c r="N76" s="163"/>
      <c r="O76" s="164"/>
      <c r="P76" s="131">
        <f t="shared" si="8"/>
        <v>3328</v>
      </c>
      <c r="Q76" s="131"/>
      <c r="R76" s="131"/>
      <c r="S76" s="131"/>
      <c r="T76" s="131"/>
      <c r="U76" s="161">
        <f t="shared" ref="U76:U100" si="10">P76*M76</f>
        <v>665.6</v>
      </c>
      <c r="V76" s="161"/>
      <c r="W76" s="161"/>
      <c r="X76" s="161"/>
      <c r="Y76" s="161"/>
    </row>
    <row r="77" spans="1:34" ht="20.100000000000001" customHeight="1" x14ac:dyDescent="0.25">
      <c r="A77" s="150" t="str">
        <f t="shared" si="5"/>
        <v>LADIES</v>
      </c>
      <c r="B77" s="151" t="s">
        <v>82</v>
      </c>
      <c r="C77" s="151" t="str">
        <f t="shared" si="6"/>
        <v>SHORT</v>
      </c>
      <c r="D77" s="151" t="s">
        <v>90</v>
      </c>
      <c r="E77" s="135" t="s">
        <v>90</v>
      </c>
      <c r="F77" s="136" t="str">
        <f t="shared" si="7"/>
        <v>WOVEN</v>
      </c>
      <c r="G77" s="136"/>
      <c r="H77" s="136"/>
      <c r="I77" s="136"/>
      <c r="J77" s="139">
        <f t="shared" si="9"/>
        <v>2.1546103038309115</v>
      </c>
      <c r="K77" s="139"/>
      <c r="L77" s="139"/>
      <c r="M77" s="162">
        <v>0.17955085865257597</v>
      </c>
      <c r="N77" s="163"/>
      <c r="O77" s="164"/>
      <c r="P77" s="131">
        <f t="shared" si="8"/>
        <v>1872</v>
      </c>
      <c r="Q77" s="131"/>
      <c r="R77" s="131"/>
      <c r="S77" s="131"/>
      <c r="T77" s="131"/>
      <c r="U77" s="161">
        <f t="shared" si="10"/>
        <v>336.11920739762223</v>
      </c>
      <c r="V77" s="161"/>
      <c r="W77" s="161"/>
      <c r="X77" s="161"/>
      <c r="Y77" s="161"/>
      <c r="AB77" s="33"/>
    </row>
    <row r="78" spans="1:34" ht="20.100000000000001" customHeight="1" x14ac:dyDescent="0.25">
      <c r="A78" s="150" t="str">
        <f t="shared" si="5"/>
        <v>LADIES</v>
      </c>
      <c r="B78" s="151" t="s">
        <v>82</v>
      </c>
      <c r="C78" s="151" t="str">
        <f t="shared" si="6"/>
        <v>PAJAMAS</v>
      </c>
      <c r="D78" s="151" t="s">
        <v>90</v>
      </c>
      <c r="E78" s="135" t="s">
        <v>90</v>
      </c>
      <c r="F78" s="136" t="str">
        <f t="shared" si="7"/>
        <v>WOVEN</v>
      </c>
      <c r="G78" s="136"/>
      <c r="H78" s="136"/>
      <c r="I78" s="136"/>
      <c r="J78" s="139">
        <f t="shared" si="9"/>
        <v>1.6800000000000002</v>
      </c>
      <c r="K78" s="139"/>
      <c r="L78" s="139"/>
      <c r="M78" s="162">
        <v>0.14000000000000001</v>
      </c>
      <c r="N78" s="163"/>
      <c r="O78" s="164"/>
      <c r="P78" s="131">
        <f t="shared" si="8"/>
        <v>3744</v>
      </c>
      <c r="Q78" s="131"/>
      <c r="R78" s="131"/>
      <c r="S78" s="131"/>
      <c r="T78" s="131"/>
      <c r="U78" s="161">
        <f t="shared" si="10"/>
        <v>524.16000000000008</v>
      </c>
      <c r="V78" s="161"/>
      <c r="W78" s="161"/>
      <c r="X78" s="161"/>
      <c r="Y78" s="161"/>
    </row>
    <row r="79" spans="1:34" ht="20.100000000000001" customHeight="1" x14ac:dyDescent="0.25">
      <c r="A79" s="150" t="str">
        <f t="shared" si="5"/>
        <v>LADIES</v>
      </c>
      <c r="B79" s="151" t="s">
        <v>82</v>
      </c>
      <c r="C79" s="151" t="str">
        <f t="shared" si="6"/>
        <v>SKIRT</v>
      </c>
      <c r="D79" s="151" t="s">
        <v>90</v>
      </c>
      <c r="E79" s="135" t="s">
        <v>90</v>
      </c>
      <c r="F79" s="136" t="str">
        <f t="shared" si="7"/>
        <v>WOVEN</v>
      </c>
      <c r="G79" s="136"/>
      <c r="H79" s="136"/>
      <c r="I79" s="136"/>
      <c r="J79" s="139">
        <f t="shared" si="9"/>
        <v>3</v>
      </c>
      <c r="K79" s="139"/>
      <c r="L79" s="139"/>
      <c r="M79" s="165">
        <v>0.25</v>
      </c>
      <c r="N79" s="165"/>
      <c r="O79" s="165"/>
      <c r="P79" s="131">
        <f t="shared" si="8"/>
        <v>1664</v>
      </c>
      <c r="Q79" s="131"/>
      <c r="R79" s="131"/>
      <c r="S79" s="131"/>
      <c r="T79" s="131"/>
      <c r="U79" s="161">
        <f t="shared" si="10"/>
        <v>416</v>
      </c>
      <c r="V79" s="161"/>
      <c r="W79" s="161"/>
      <c r="X79" s="161"/>
      <c r="Y79" s="161"/>
    </row>
    <row r="80" spans="1:34" ht="20.100000000000001" customHeight="1" x14ac:dyDescent="0.25">
      <c r="A80" s="150" t="str">
        <f t="shared" si="5"/>
        <v>LADIES</v>
      </c>
      <c r="B80" s="151" t="s">
        <v>82</v>
      </c>
      <c r="C80" s="151" t="str">
        <f t="shared" si="6"/>
        <v>PANTS</v>
      </c>
      <c r="D80" s="151" t="s">
        <v>90</v>
      </c>
      <c r="E80" s="135" t="s">
        <v>90</v>
      </c>
      <c r="F80" s="136" t="str">
        <f t="shared" si="7"/>
        <v>WOVEN</v>
      </c>
      <c r="G80" s="136"/>
      <c r="H80" s="136"/>
      <c r="I80" s="136"/>
      <c r="J80" s="139">
        <f t="shared" si="9"/>
        <v>2.4068897637795277</v>
      </c>
      <c r="K80" s="139"/>
      <c r="L80" s="139"/>
      <c r="M80" s="165">
        <v>0.20057414698162732</v>
      </c>
      <c r="N80" s="165"/>
      <c r="O80" s="165"/>
      <c r="P80" s="131">
        <f t="shared" si="8"/>
        <v>1320</v>
      </c>
      <c r="Q80" s="131"/>
      <c r="R80" s="131"/>
      <c r="S80" s="131"/>
      <c r="T80" s="131"/>
      <c r="U80" s="161">
        <f t="shared" si="10"/>
        <v>264.75787401574803</v>
      </c>
      <c r="V80" s="161"/>
      <c r="W80" s="161"/>
      <c r="X80" s="161"/>
      <c r="Y80" s="161"/>
    </row>
    <row r="81" spans="1:28" ht="20.100000000000001" customHeight="1" x14ac:dyDescent="0.25">
      <c r="A81" s="150" t="str">
        <f t="shared" si="5"/>
        <v>LADIES</v>
      </c>
      <c r="B81" s="151" t="s">
        <v>82</v>
      </c>
      <c r="C81" s="151" t="str">
        <f t="shared" si="6"/>
        <v>PAJAMAS</v>
      </c>
      <c r="D81" s="151" t="s">
        <v>90</v>
      </c>
      <c r="E81" s="135" t="s">
        <v>90</v>
      </c>
      <c r="F81" s="136" t="str">
        <f t="shared" si="7"/>
        <v>WOVEN</v>
      </c>
      <c r="G81" s="136"/>
      <c r="H81" s="136"/>
      <c r="I81" s="136"/>
      <c r="J81" s="139">
        <f t="shared" si="9"/>
        <v>3.9503122043519392</v>
      </c>
      <c r="K81" s="139"/>
      <c r="L81" s="139"/>
      <c r="M81" s="165">
        <v>0.32919268369599491</v>
      </c>
      <c r="N81" s="165"/>
      <c r="O81" s="165"/>
      <c r="P81" s="131">
        <f t="shared" si="8"/>
        <v>240</v>
      </c>
      <c r="Q81" s="131"/>
      <c r="R81" s="131"/>
      <c r="S81" s="131"/>
      <c r="T81" s="131"/>
      <c r="U81" s="161">
        <f t="shared" si="10"/>
        <v>79.00624408703878</v>
      </c>
      <c r="V81" s="161"/>
      <c r="W81" s="161"/>
      <c r="X81" s="161"/>
      <c r="Y81" s="161"/>
      <c r="AB81"/>
    </row>
    <row r="82" spans="1:28" ht="20.100000000000001" hidden="1" customHeight="1" x14ac:dyDescent="0.25">
      <c r="A82" s="185">
        <f>A57</f>
        <v>0</v>
      </c>
      <c r="B82" s="186" t="s">
        <v>82</v>
      </c>
      <c r="C82" s="186">
        <f>C57</f>
        <v>0</v>
      </c>
      <c r="D82" s="186" t="s">
        <v>90</v>
      </c>
      <c r="E82" s="187" t="s">
        <v>90</v>
      </c>
      <c r="F82" s="188" t="str">
        <f t="shared" si="7"/>
        <v>WOVEN</v>
      </c>
      <c r="G82" s="188"/>
      <c r="H82" s="188"/>
      <c r="I82" s="188"/>
      <c r="J82" s="189">
        <f t="shared" si="9"/>
        <v>3.3609227389234713</v>
      </c>
      <c r="K82" s="189"/>
      <c r="L82" s="189"/>
      <c r="M82" s="190">
        <v>0.28007689491028925</v>
      </c>
      <c r="N82" s="190"/>
      <c r="O82" s="190"/>
      <c r="P82" s="191">
        <f>U57</f>
        <v>2040</v>
      </c>
      <c r="Q82" s="191"/>
      <c r="R82" s="191"/>
      <c r="S82" s="191"/>
      <c r="T82" s="191"/>
      <c r="U82" s="184">
        <f t="shared" si="10"/>
        <v>571.35686561699004</v>
      </c>
      <c r="V82" s="184"/>
      <c r="W82" s="184"/>
      <c r="X82" s="184"/>
      <c r="Y82" s="184"/>
      <c r="AB82"/>
    </row>
    <row r="83" spans="1:28" ht="20.100000000000001" hidden="1" customHeight="1" x14ac:dyDescent="0.25">
      <c r="A83" s="185">
        <f>A58</f>
        <v>0</v>
      </c>
      <c r="B83" s="186" t="s">
        <v>82</v>
      </c>
      <c r="C83" s="186">
        <f>C58</f>
        <v>0</v>
      </c>
      <c r="D83" s="186" t="s">
        <v>90</v>
      </c>
      <c r="E83" s="187" t="s">
        <v>90</v>
      </c>
      <c r="F83" s="188" t="str">
        <f t="shared" si="7"/>
        <v>WOVEN</v>
      </c>
      <c r="G83" s="188"/>
      <c r="H83" s="188"/>
      <c r="I83" s="188"/>
      <c r="J83" s="189">
        <f t="shared" si="9"/>
        <v>2.6565625000000002</v>
      </c>
      <c r="K83" s="189"/>
      <c r="L83" s="189"/>
      <c r="M83" s="190">
        <v>0.22138020833333336</v>
      </c>
      <c r="N83" s="190"/>
      <c r="O83" s="190"/>
      <c r="P83" s="191">
        <f>U58</f>
        <v>570</v>
      </c>
      <c r="Q83" s="191"/>
      <c r="R83" s="191"/>
      <c r="S83" s="191"/>
      <c r="T83" s="191"/>
      <c r="U83" s="184">
        <f t="shared" si="10"/>
        <v>126.18671875000001</v>
      </c>
      <c r="V83" s="184"/>
      <c r="W83" s="184"/>
      <c r="X83" s="184"/>
      <c r="Y83" s="184"/>
      <c r="AB83"/>
    </row>
    <row r="84" spans="1:28" ht="20.100000000000001" hidden="1" customHeight="1" x14ac:dyDescent="0.25">
      <c r="A84" s="185">
        <f t="shared" ref="A84:A92" si="11">A59</f>
        <v>0</v>
      </c>
      <c r="B84" s="186" t="s">
        <v>82</v>
      </c>
      <c r="C84" s="186">
        <f t="shared" ref="C84:C92" si="12">C59</f>
        <v>0</v>
      </c>
      <c r="D84" s="186" t="s">
        <v>90</v>
      </c>
      <c r="E84" s="187" t="s">
        <v>90</v>
      </c>
      <c r="F84" s="188" t="str">
        <f t="shared" si="7"/>
        <v xml:space="preserve">KNITTED </v>
      </c>
      <c r="G84" s="188"/>
      <c r="H84" s="188"/>
      <c r="I84" s="188"/>
      <c r="J84" s="192">
        <f t="shared" si="9"/>
        <v>2.5230000000000001</v>
      </c>
      <c r="K84" s="193"/>
      <c r="L84" s="194"/>
      <c r="M84" s="190">
        <v>0.21025000000000002</v>
      </c>
      <c r="N84" s="190"/>
      <c r="O84" s="190"/>
      <c r="P84" s="191">
        <f t="shared" ref="P84:P100" si="13">U59</f>
        <v>450</v>
      </c>
      <c r="Q84" s="191"/>
      <c r="R84" s="191"/>
      <c r="S84" s="191"/>
      <c r="T84" s="191"/>
      <c r="U84" s="184">
        <f t="shared" si="10"/>
        <v>94.612500000000011</v>
      </c>
      <c r="V84" s="184"/>
      <c r="W84" s="184"/>
      <c r="X84" s="184"/>
      <c r="Y84" s="184"/>
    </row>
    <row r="85" spans="1:28" ht="20.100000000000001" hidden="1" customHeight="1" x14ac:dyDescent="0.25">
      <c r="A85" s="150" t="str">
        <f t="shared" si="11"/>
        <v>MEN</v>
      </c>
      <c r="B85" s="151" t="s">
        <v>82</v>
      </c>
      <c r="C85" s="151" t="str">
        <f t="shared" si="12"/>
        <v>JECKET</v>
      </c>
      <c r="D85" s="151" t="s">
        <v>90</v>
      </c>
      <c r="E85" s="135" t="s">
        <v>90</v>
      </c>
      <c r="F85" s="136" t="str">
        <f t="shared" si="7"/>
        <v xml:space="preserve">KNITTED </v>
      </c>
      <c r="G85" s="136"/>
      <c r="H85" s="136"/>
      <c r="I85" s="136"/>
      <c r="J85" s="139">
        <f>M85*12</f>
        <v>11.626285714285713</v>
      </c>
      <c r="K85" s="139"/>
      <c r="L85" s="139"/>
      <c r="M85" s="165">
        <v>0.96885714285714275</v>
      </c>
      <c r="N85" s="165"/>
      <c r="O85" s="165"/>
      <c r="P85" s="131">
        <f t="shared" si="13"/>
        <v>120</v>
      </c>
      <c r="Q85" s="131"/>
      <c r="R85" s="131"/>
      <c r="S85" s="131"/>
      <c r="T85" s="131"/>
      <c r="U85" s="161">
        <f t="shared" si="10"/>
        <v>116.26285714285713</v>
      </c>
      <c r="V85" s="161"/>
      <c r="W85" s="161"/>
      <c r="X85" s="161"/>
      <c r="Y85" s="161"/>
    </row>
    <row r="86" spans="1:28" ht="20.100000000000001" hidden="1" customHeight="1" x14ac:dyDescent="0.25">
      <c r="A86" s="150" t="str">
        <f t="shared" si="11"/>
        <v>MEN</v>
      </c>
      <c r="B86" s="151" t="s">
        <v>82</v>
      </c>
      <c r="C86" s="151" t="str">
        <f t="shared" si="12"/>
        <v xml:space="preserve">SHIRT </v>
      </c>
      <c r="D86" s="151" t="s">
        <v>90</v>
      </c>
      <c r="E86" s="135" t="s">
        <v>90</v>
      </c>
      <c r="F86" s="136" t="str">
        <f t="shared" si="7"/>
        <v xml:space="preserve">KNITTED </v>
      </c>
      <c r="G86" s="136"/>
      <c r="H86" s="136"/>
      <c r="I86" s="136"/>
      <c r="J86" s="139">
        <f t="shared" ref="J86:J92" si="14">M86*12</f>
        <v>8.5215189873417714</v>
      </c>
      <c r="K86" s="139"/>
      <c r="L86" s="139"/>
      <c r="M86" s="165">
        <v>0.71012658227848091</v>
      </c>
      <c r="N86" s="165"/>
      <c r="O86" s="165"/>
      <c r="P86" s="131">
        <f t="shared" si="13"/>
        <v>120</v>
      </c>
      <c r="Q86" s="131"/>
      <c r="R86" s="131"/>
      <c r="S86" s="131"/>
      <c r="T86" s="131"/>
      <c r="U86" s="161">
        <f t="shared" si="10"/>
        <v>85.215189873417714</v>
      </c>
      <c r="V86" s="161"/>
      <c r="W86" s="161"/>
      <c r="X86" s="161"/>
      <c r="Y86" s="161"/>
    </row>
    <row r="87" spans="1:28" ht="20.100000000000001" hidden="1" customHeight="1" x14ac:dyDescent="0.25">
      <c r="A87" s="150" t="str">
        <f t="shared" si="11"/>
        <v>MEN</v>
      </c>
      <c r="B87" s="151" t="s">
        <v>82</v>
      </c>
      <c r="C87" s="151" t="str">
        <f t="shared" si="12"/>
        <v>JECKET</v>
      </c>
      <c r="D87" s="151" t="s">
        <v>90</v>
      </c>
      <c r="E87" s="135" t="s">
        <v>90</v>
      </c>
      <c r="F87" s="136" t="str">
        <f t="shared" si="7"/>
        <v>WOVEN</v>
      </c>
      <c r="G87" s="136"/>
      <c r="H87" s="136"/>
      <c r="I87" s="136"/>
      <c r="J87" s="139">
        <f t="shared" si="14"/>
        <v>6.8461538461538458</v>
      </c>
      <c r="K87" s="139"/>
      <c r="L87" s="139"/>
      <c r="M87" s="165">
        <v>0.57051282051282048</v>
      </c>
      <c r="N87" s="165"/>
      <c r="O87" s="165"/>
      <c r="P87" s="131">
        <f t="shared" si="13"/>
        <v>570</v>
      </c>
      <c r="Q87" s="131"/>
      <c r="R87" s="131"/>
      <c r="S87" s="131"/>
      <c r="T87" s="131"/>
      <c r="U87" s="161">
        <f t="shared" si="10"/>
        <v>325.19230769230768</v>
      </c>
      <c r="V87" s="161"/>
      <c r="W87" s="161"/>
      <c r="X87" s="161"/>
      <c r="Y87" s="161"/>
    </row>
    <row r="88" spans="1:28" ht="20.100000000000001" hidden="1" customHeight="1" x14ac:dyDescent="0.25">
      <c r="A88" s="150" t="str">
        <f t="shared" si="11"/>
        <v>MEN</v>
      </c>
      <c r="B88" s="151" t="s">
        <v>82</v>
      </c>
      <c r="C88" s="151" t="str">
        <f t="shared" si="12"/>
        <v>SWEATER</v>
      </c>
      <c r="D88" s="151" t="s">
        <v>90</v>
      </c>
      <c r="E88" s="135" t="s">
        <v>90</v>
      </c>
      <c r="F88" s="136" t="str">
        <f t="shared" si="7"/>
        <v xml:space="preserve">KNITTED </v>
      </c>
      <c r="G88" s="136"/>
      <c r="H88" s="136"/>
      <c r="I88" s="136"/>
      <c r="J88" s="139">
        <f t="shared" si="14"/>
        <v>8.8508571428571443</v>
      </c>
      <c r="K88" s="139"/>
      <c r="L88" s="139"/>
      <c r="M88" s="165">
        <v>0.73757142857142866</v>
      </c>
      <c r="N88" s="165"/>
      <c r="O88" s="165"/>
      <c r="P88" s="131">
        <f t="shared" si="13"/>
        <v>120</v>
      </c>
      <c r="Q88" s="131"/>
      <c r="R88" s="131"/>
      <c r="S88" s="131"/>
      <c r="T88" s="131"/>
      <c r="U88" s="161">
        <f t="shared" si="10"/>
        <v>88.508571428571443</v>
      </c>
      <c r="V88" s="161"/>
      <c r="W88" s="161"/>
      <c r="X88" s="161"/>
      <c r="Y88" s="161"/>
    </row>
    <row r="89" spans="1:28" ht="20.100000000000001" hidden="1" customHeight="1" x14ac:dyDescent="0.25">
      <c r="A89" s="150" t="str">
        <f t="shared" si="11"/>
        <v>WOMEN</v>
      </c>
      <c r="B89" s="151" t="s">
        <v>82</v>
      </c>
      <c r="C89" s="151" t="str">
        <f t="shared" si="12"/>
        <v>JECKET</v>
      </c>
      <c r="D89" s="151" t="s">
        <v>90</v>
      </c>
      <c r="E89" s="135" t="s">
        <v>90</v>
      </c>
      <c r="F89" s="136" t="str">
        <f t="shared" si="7"/>
        <v xml:space="preserve">KNITTED </v>
      </c>
      <c r="G89" s="136"/>
      <c r="H89" s="136"/>
      <c r="I89" s="136"/>
      <c r="J89" s="139">
        <f t="shared" si="14"/>
        <v>9.1687500000000011</v>
      </c>
      <c r="K89" s="139"/>
      <c r="L89" s="139"/>
      <c r="M89" s="165">
        <v>0.76406250000000009</v>
      </c>
      <c r="N89" s="165"/>
      <c r="O89" s="165"/>
      <c r="P89" s="131">
        <f t="shared" si="13"/>
        <v>60</v>
      </c>
      <c r="Q89" s="131"/>
      <c r="R89" s="131"/>
      <c r="S89" s="131"/>
      <c r="T89" s="131"/>
      <c r="U89" s="161">
        <f t="shared" si="10"/>
        <v>45.843750000000007</v>
      </c>
      <c r="V89" s="161"/>
      <c r="W89" s="161"/>
      <c r="X89" s="161"/>
      <c r="Y89" s="161"/>
    </row>
    <row r="90" spans="1:28" ht="20.100000000000001" hidden="1" customHeight="1" x14ac:dyDescent="0.25">
      <c r="A90" s="150" t="str">
        <f t="shared" si="11"/>
        <v>WOMEN</v>
      </c>
      <c r="B90" s="151" t="s">
        <v>82</v>
      </c>
      <c r="C90" s="151" t="str">
        <f t="shared" si="12"/>
        <v xml:space="preserve">SHIRT </v>
      </c>
      <c r="D90" s="151" t="s">
        <v>90</v>
      </c>
      <c r="E90" s="135" t="s">
        <v>90</v>
      </c>
      <c r="F90" s="136" t="str">
        <f t="shared" si="7"/>
        <v xml:space="preserve">KNITTED </v>
      </c>
      <c r="G90" s="136"/>
      <c r="H90" s="136"/>
      <c r="I90" s="136"/>
      <c r="J90" s="139">
        <f t="shared" si="14"/>
        <v>6.6782608695652179</v>
      </c>
      <c r="K90" s="139"/>
      <c r="L90" s="139"/>
      <c r="M90" s="165">
        <v>0.55652173913043479</v>
      </c>
      <c r="N90" s="165"/>
      <c r="O90" s="165"/>
      <c r="P90" s="131">
        <f t="shared" si="13"/>
        <v>120</v>
      </c>
      <c r="Q90" s="131"/>
      <c r="R90" s="131"/>
      <c r="S90" s="131"/>
      <c r="T90" s="131"/>
      <c r="U90" s="161">
        <f t="shared" si="10"/>
        <v>66.782608695652172</v>
      </c>
      <c r="V90" s="161"/>
      <c r="W90" s="161"/>
      <c r="X90" s="161"/>
      <c r="Y90" s="161"/>
    </row>
    <row r="91" spans="1:28" ht="20.100000000000001" hidden="1" customHeight="1" x14ac:dyDescent="0.25">
      <c r="A91" s="150" t="str">
        <f t="shared" si="11"/>
        <v>UNISEX</v>
      </c>
      <c r="B91" s="151" t="s">
        <v>82</v>
      </c>
      <c r="C91" s="151" t="str">
        <f t="shared" si="12"/>
        <v>VEST</v>
      </c>
      <c r="D91" s="151" t="s">
        <v>90</v>
      </c>
      <c r="E91" s="135" t="s">
        <v>90</v>
      </c>
      <c r="F91" s="136" t="str">
        <f t="shared" si="7"/>
        <v>WOVEN</v>
      </c>
      <c r="G91" s="136"/>
      <c r="H91" s="136"/>
      <c r="I91" s="136"/>
      <c r="J91" s="139">
        <f t="shared" si="14"/>
        <v>2.514418604651163</v>
      </c>
      <c r="K91" s="139"/>
      <c r="L91" s="139"/>
      <c r="M91" s="165">
        <v>0.20953488372093027</v>
      </c>
      <c r="N91" s="165"/>
      <c r="O91" s="165"/>
      <c r="P91" s="131">
        <f t="shared" si="13"/>
        <v>150</v>
      </c>
      <c r="Q91" s="131"/>
      <c r="R91" s="131"/>
      <c r="S91" s="131"/>
      <c r="T91" s="131"/>
      <c r="U91" s="161">
        <f t="shared" si="10"/>
        <v>31.43023255813954</v>
      </c>
      <c r="V91" s="161"/>
      <c r="W91" s="161"/>
      <c r="X91" s="161"/>
      <c r="Y91" s="161"/>
    </row>
    <row r="92" spans="1:28" ht="20.100000000000001" hidden="1" customHeight="1" x14ac:dyDescent="0.25">
      <c r="A92" s="150" t="str">
        <f t="shared" si="11"/>
        <v>UNISEX</v>
      </c>
      <c r="B92" s="151" t="s">
        <v>82</v>
      </c>
      <c r="C92" s="151" t="str">
        <f t="shared" si="12"/>
        <v>BELT</v>
      </c>
      <c r="D92" s="151" t="s">
        <v>90</v>
      </c>
      <c r="E92" s="135" t="s">
        <v>90</v>
      </c>
      <c r="F92" s="136" t="str">
        <f t="shared" si="7"/>
        <v xml:space="preserve">KNITTED </v>
      </c>
      <c r="G92" s="136"/>
      <c r="H92" s="136"/>
      <c r="I92" s="136"/>
      <c r="J92" s="139">
        <f t="shared" si="14"/>
        <v>1.1274418604651162</v>
      </c>
      <c r="K92" s="139"/>
      <c r="L92" s="139"/>
      <c r="M92" s="165">
        <v>9.3953488372093025E-2</v>
      </c>
      <c r="N92" s="165"/>
      <c r="O92" s="165"/>
      <c r="P92" s="131">
        <f t="shared" si="13"/>
        <v>150</v>
      </c>
      <c r="Q92" s="131"/>
      <c r="R92" s="131"/>
      <c r="S92" s="131"/>
      <c r="T92" s="131"/>
      <c r="U92" s="161">
        <f t="shared" si="10"/>
        <v>14.093023255813954</v>
      </c>
      <c r="V92" s="161"/>
      <c r="W92" s="161"/>
      <c r="X92" s="161"/>
      <c r="Y92" s="161"/>
    </row>
    <row r="93" spans="1:28" ht="20.100000000000001" hidden="1" customHeight="1" x14ac:dyDescent="0.25">
      <c r="A93" s="150"/>
      <c r="B93" s="151"/>
      <c r="C93" s="151"/>
      <c r="D93" s="151"/>
      <c r="E93" s="135"/>
      <c r="F93" s="136"/>
      <c r="G93" s="136"/>
      <c r="H93" s="136"/>
      <c r="I93" s="136"/>
      <c r="J93" s="139"/>
      <c r="K93" s="139"/>
      <c r="L93" s="139"/>
      <c r="M93" s="166"/>
      <c r="N93" s="166"/>
      <c r="O93" s="166"/>
      <c r="P93" s="131">
        <f t="shared" si="13"/>
        <v>0</v>
      </c>
      <c r="Q93" s="131"/>
      <c r="R93" s="131"/>
      <c r="S93" s="131"/>
      <c r="T93" s="131"/>
      <c r="U93" s="161">
        <f t="shared" si="10"/>
        <v>0</v>
      </c>
      <c r="V93" s="161"/>
      <c r="W93" s="161"/>
      <c r="X93" s="161"/>
      <c r="Y93" s="161"/>
    </row>
    <row r="94" spans="1:28" ht="20.100000000000001" hidden="1" customHeight="1" x14ac:dyDescent="0.25">
      <c r="A94" s="150"/>
      <c r="B94" s="151"/>
      <c r="C94" s="151"/>
      <c r="D94" s="151"/>
      <c r="E94" s="135"/>
      <c r="F94" s="136"/>
      <c r="G94" s="136"/>
      <c r="H94" s="136"/>
      <c r="I94" s="136"/>
      <c r="J94" s="139"/>
      <c r="K94" s="139"/>
      <c r="L94" s="139"/>
      <c r="M94" s="166"/>
      <c r="N94" s="166"/>
      <c r="O94" s="166"/>
      <c r="P94" s="131">
        <f t="shared" si="13"/>
        <v>0</v>
      </c>
      <c r="Q94" s="131"/>
      <c r="R94" s="131"/>
      <c r="S94" s="131"/>
      <c r="T94" s="131"/>
      <c r="U94" s="161">
        <f t="shared" si="10"/>
        <v>0</v>
      </c>
      <c r="V94" s="161"/>
      <c r="W94" s="161"/>
      <c r="X94" s="161"/>
      <c r="Y94" s="161"/>
    </row>
    <row r="95" spans="1:28" ht="20.100000000000001" hidden="1" customHeight="1" x14ac:dyDescent="0.25">
      <c r="A95" s="150"/>
      <c r="B95" s="151"/>
      <c r="C95" s="151"/>
      <c r="D95" s="151"/>
      <c r="E95" s="135"/>
      <c r="F95" s="136"/>
      <c r="G95" s="136"/>
      <c r="H95" s="136"/>
      <c r="I95" s="136"/>
      <c r="J95" s="139"/>
      <c r="K95" s="139"/>
      <c r="L95" s="139"/>
      <c r="M95" s="166"/>
      <c r="N95" s="166"/>
      <c r="O95" s="166"/>
      <c r="P95" s="131" t="str">
        <f t="shared" si="13"/>
        <v>ទម្ងន់សរុប</v>
      </c>
      <c r="Q95" s="131"/>
      <c r="R95" s="131"/>
      <c r="S95" s="131"/>
      <c r="T95" s="131"/>
      <c r="U95" s="161" t="e">
        <f t="shared" si="10"/>
        <v>#VALUE!</v>
      </c>
      <c r="V95" s="161"/>
      <c r="W95" s="161"/>
      <c r="X95" s="161"/>
      <c r="Y95" s="161"/>
    </row>
    <row r="96" spans="1:28" ht="20.100000000000001" hidden="1" customHeight="1" x14ac:dyDescent="0.25">
      <c r="A96" s="150"/>
      <c r="B96" s="151"/>
      <c r="C96" s="151"/>
      <c r="D96" s="151"/>
      <c r="E96" s="135"/>
      <c r="F96" s="136"/>
      <c r="G96" s="136"/>
      <c r="H96" s="136"/>
      <c r="I96" s="136"/>
      <c r="J96" s="139"/>
      <c r="K96" s="139"/>
      <c r="L96" s="139"/>
      <c r="M96" s="166"/>
      <c r="N96" s="166"/>
      <c r="O96" s="166"/>
      <c r="P96" s="131">
        <f t="shared" si="13"/>
        <v>0</v>
      </c>
      <c r="Q96" s="131"/>
      <c r="R96" s="131"/>
      <c r="S96" s="131"/>
      <c r="T96" s="131"/>
      <c r="U96" s="161">
        <f t="shared" si="10"/>
        <v>0</v>
      </c>
      <c r="V96" s="161"/>
      <c r="W96" s="161"/>
      <c r="X96" s="161"/>
      <c r="Y96" s="161"/>
    </row>
    <row r="97" spans="1:25" ht="20.100000000000001" hidden="1" customHeight="1" x14ac:dyDescent="0.25">
      <c r="A97" s="150" t="e">
        <f>#REF!</f>
        <v>#REF!</v>
      </c>
      <c r="B97" s="151" t="s">
        <v>82</v>
      </c>
      <c r="C97" s="151" t="e">
        <f>#REF!</f>
        <v>#REF!</v>
      </c>
      <c r="D97" s="151" t="s">
        <v>90</v>
      </c>
      <c r="E97" s="135" t="s">
        <v>90</v>
      </c>
      <c r="F97" s="136" t="s">
        <v>105</v>
      </c>
      <c r="G97" s="136"/>
      <c r="H97" s="136"/>
      <c r="I97" s="136"/>
      <c r="J97" s="167">
        <f t="shared" ref="J97:J99" si="15">M97*12</f>
        <v>4.9379999999999997</v>
      </c>
      <c r="K97" s="168"/>
      <c r="L97" s="169"/>
      <c r="M97" s="165">
        <v>0.41149999999999998</v>
      </c>
      <c r="N97" s="165">
        <v>0.41149999999999998</v>
      </c>
      <c r="O97" s="165">
        <v>0.41149999999999998</v>
      </c>
      <c r="P97" s="131" t="str">
        <f t="shared" si="13"/>
        <v>Total Weight</v>
      </c>
      <c r="Q97" s="131"/>
      <c r="R97" s="131"/>
      <c r="S97" s="131"/>
      <c r="T97" s="131"/>
      <c r="U97" s="161" t="e">
        <f t="shared" si="10"/>
        <v>#VALUE!</v>
      </c>
      <c r="V97" s="161"/>
      <c r="W97" s="161"/>
      <c r="X97" s="161"/>
      <c r="Y97" s="161"/>
    </row>
    <row r="98" spans="1:25" ht="20.100000000000001" hidden="1" customHeight="1" x14ac:dyDescent="0.25">
      <c r="A98" s="150" t="e">
        <f>#REF!</f>
        <v>#REF!</v>
      </c>
      <c r="B98" s="151" t="s">
        <v>82</v>
      </c>
      <c r="C98" s="151" t="e">
        <f>#REF!</f>
        <v>#REF!</v>
      </c>
      <c r="D98" s="151" t="s">
        <v>90</v>
      </c>
      <c r="E98" s="135" t="s">
        <v>90</v>
      </c>
      <c r="F98" s="136" t="s">
        <v>105</v>
      </c>
      <c r="G98" s="136"/>
      <c r="H98" s="136"/>
      <c r="I98" s="136"/>
      <c r="J98" s="139">
        <f t="shared" si="15"/>
        <v>2.2251499999999997</v>
      </c>
      <c r="K98" s="139"/>
      <c r="L98" s="139"/>
      <c r="M98" s="165">
        <v>0.18542916666666664</v>
      </c>
      <c r="N98" s="165">
        <v>0.18542916666666664</v>
      </c>
      <c r="O98" s="165">
        <v>0.18542916666666664</v>
      </c>
      <c r="P98" s="131">
        <f t="shared" si="13"/>
        <v>0</v>
      </c>
      <c r="Q98" s="131"/>
      <c r="R98" s="131"/>
      <c r="S98" s="131"/>
      <c r="T98" s="131"/>
      <c r="U98" s="161">
        <f t="shared" si="10"/>
        <v>0</v>
      </c>
      <c r="V98" s="161"/>
      <c r="W98" s="161"/>
      <c r="X98" s="161"/>
      <c r="Y98" s="161"/>
    </row>
    <row r="99" spans="1:25" ht="23.25" hidden="1" customHeight="1" x14ac:dyDescent="0.25">
      <c r="A99" s="150" t="e">
        <f>#REF!</f>
        <v>#REF!</v>
      </c>
      <c r="B99" s="151" t="s">
        <v>82</v>
      </c>
      <c r="C99" s="151" t="e">
        <f>#REF!</f>
        <v>#REF!</v>
      </c>
      <c r="D99" s="151" t="s">
        <v>90</v>
      </c>
      <c r="E99" s="135" t="s">
        <v>90</v>
      </c>
      <c r="F99" s="170" t="s">
        <v>105</v>
      </c>
      <c r="G99" s="170"/>
      <c r="H99" s="170"/>
      <c r="I99" s="170"/>
      <c r="J99" s="167">
        <f t="shared" si="15"/>
        <v>0</v>
      </c>
      <c r="K99" s="168"/>
      <c r="L99" s="169"/>
      <c r="M99" s="171"/>
      <c r="N99" s="171"/>
      <c r="O99" s="171"/>
      <c r="P99" s="131">
        <f t="shared" si="13"/>
        <v>624</v>
      </c>
      <c r="Q99" s="131"/>
      <c r="R99" s="131"/>
      <c r="S99" s="131"/>
      <c r="T99" s="131"/>
      <c r="U99" s="161">
        <f t="shared" si="10"/>
        <v>0</v>
      </c>
      <c r="V99" s="161"/>
      <c r="W99" s="161"/>
      <c r="X99" s="161"/>
      <c r="Y99" s="161"/>
    </row>
    <row r="100" spans="1:25" ht="23.25" hidden="1" customHeight="1" x14ac:dyDescent="0.25">
      <c r="A100" s="150" t="e">
        <f>#REF!</f>
        <v>#REF!</v>
      </c>
      <c r="B100" s="151" t="s">
        <v>82</v>
      </c>
      <c r="C100" s="151" t="e">
        <f>#REF!</f>
        <v>#REF!</v>
      </c>
      <c r="D100" s="151" t="s">
        <v>90</v>
      </c>
      <c r="E100" s="135" t="s">
        <v>90</v>
      </c>
      <c r="F100" s="170" t="s">
        <v>105</v>
      </c>
      <c r="G100" s="170"/>
      <c r="H100" s="170"/>
      <c r="I100" s="170"/>
      <c r="J100" s="139">
        <f>M100*12</f>
        <v>0</v>
      </c>
      <c r="K100" s="139"/>
      <c r="L100" s="139"/>
      <c r="M100" s="171"/>
      <c r="N100" s="171"/>
      <c r="O100" s="171"/>
      <c r="P100" s="131">
        <f t="shared" si="13"/>
        <v>4992</v>
      </c>
      <c r="Q100" s="131"/>
      <c r="R100" s="131"/>
      <c r="S100" s="131"/>
      <c r="T100" s="131"/>
      <c r="U100" s="161">
        <f t="shared" si="10"/>
        <v>0</v>
      </c>
      <c r="V100" s="161"/>
      <c r="W100" s="161"/>
      <c r="X100" s="161"/>
      <c r="Y100" s="161"/>
    </row>
    <row r="101" spans="1:25" ht="9.9499999999999993" customHeigh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34"/>
      <c r="K101" s="34"/>
      <c r="L101" s="34"/>
      <c r="M101" s="35"/>
      <c r="N101" s="35"/>
      <c r="O101" s="35"/>
      <c r="P101" s="32"/>
      <c r="Q101" s="32"/>
      <c r="R101" s="32"/>
      <c r="S101" s="32"/>
      <c r="T101" s="32"/>
      <c r="U101" s="35"/>
      <c r="V101" s="35"/>
      <c r="W101" s="35"/>
      <c r="X101" s="35"/>
      <c r="Y101" s="35"/>
    </row>
    <row r="102" spans="1:25" ht="23.25" x14ac:dyDescent="0.65">
      <c r="A102" s="3" t="s">
        <v>106</v>
      </c>
      <c r="B102" s="25"/>
      <c r="C102" s="25"/>
      <c r="D102" s="25"/>
      <c r="E102" s="25"/>
      <c r="F102" s="2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0.100000000000001" customHeight="1" x14ac:dyDescent="0.65">
      <c r="A103" s="36"/>
      <c r="B103" s="4" t="s">
        <v>107</v>
      </c>
      <c r="C103" s="25"/>
      <c r="D103" s="25"/>
      <c r="E103" s="25"/>
      <c r="F103" s="2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20.100000000000001" customHeight="1" x14ac:dyDescent="0.65">
      <c r="A104" s="4" t="s">
        <v>108</v>
      </c>
      <c r="B104" s="25"/>
      <c r="C104" s="25"/>
      <c r="D104" s="25"/>
      <c r="E104" s="25"/>
      <c r="F104" s="2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3.25" x14ac:dyDescent="0.65">
      <c r="A105" s="36"/>
      <c r="B105" s="3" t="s">
        <v>109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3.25" x14ac:dyDescent="0.65">
      <c r="A106" s="4" t="s">
        <v>122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23.25" x14ac:dyDescent="0.65">
      <c r="A107" s="3"/>
      <c r="B107" s="3" t="s">
        <v>110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21.95" customHeight="1" x14ac:dyDescent="0.65">
      <c r="A108" s="37" t="s">
        <v>111</v>
      </c>
      <c r="B108" s="38"/>
      <c r="C108" s="38"/>
      <c r="D108" s="38"/>
      <c r="E108" s="38"/>
      <c r="F108" s="38"/>
      <c r="G108" s="37"/>
      <c r="H108" s="3"/>
      <c r="I108" s="3"/>
      <c r="J108" s="3"/>
      <c r="K108" s="3"/>
      <c r="L108" s="3"/>
      <c r="M108" s="3"/>
      <c r="N108" s="3"/>
      <c r="O108" s="3"/>
      <c r="P108" s="176" t="s">
        <v>112</v>
      </c>
      <c r="Q108" s="176"/>
      <c r="R108" s="176"/>
      <c r="S108" s="176"/>
      <c r="T108" s="176"/>
      <c r="U108" s="176"/>
      <c r="V108" s="176"/>
      <c r="W108" s="176"/>
      <c r="X108" s="176"/>
      <c r="Y108" s="176"/>
    </row>
    <row r="109" spans="1:25" ht="21.95" customHeight="1" x14ac:dyDescent="0.65">
      <c r="A109" s="176" t="s">
        <v>113</v>
      </c>
      <c r="B109" s="176"/>
      <c r="C109" s="176"/>
      <c r="D109" s="176"/>
      <c r="E109" s="176"/>
      <c r="F109" s="176"/>
      <c r="G109" s="176"/>
      <c r="H109" s="3"/>
      <c r="I109" s="3"/>
      <c r="J109" s="3"/>
      <c r="K109" s="3"/>
      <c r="L109" s="3"/>
      <c r="M109" s="3"/>
      <c r="N109" s="3"/>
      <c r="O109" s="3"/>
      <c r="P109" s="176" t="s">
        <v>114</v>
      </c>
      <c r="Q109" s="176"/>
      <c r="R109" s="176"/>
      <c r="S109" s="176"/>
      <c r="T109" s="176"/>
      <c r="U109" s="176"/>
      <c r="V109" s="176"/>
      <c r="W109" s="176"/>
      <c r="X109" s="176"/>
      <c r="Y109" s="176"/>
    </row>
    <row r="110" spans="1:25" ht="21.95" customHeight="1" x14ac:dyDescent="0.65">
      <c r="A110" s="176" t="s">
        <v>115</v>
      </c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</row>
    <row r="111" spans="1:25" ht="21.95" customHeight="1" x14ac:dyDescent="0.25">
      <c r="A111" s="177" t="s">
        <v>116</v>
      </c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</row>
    <row r="112" spans="1:25" ht="21" x14ac:dyDescent="0.6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</row>
    <row r="113" spans="1:25" ht="21" x14ac:dyDescent="0.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spans="1:25" ht="21" x14ac:dyDescent="0.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spans="1:25" ht="25.5" x14ac:dyDescent="0.7">
      <c r="A115" s="173" t="s">
        <v>130</v>
      </c>
      <c r="B115" s="173"/>
      <c r="C115" s="173"/>
      <c r="D115" s="173"/>
      <c r="E115" s="173"/>
      <c r="F115" s="17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25.5" x14ac:dyDescent="0.7">
      <c r="A116" s="40"/>
      <c r="B116" s="40"/>
      <c r="C116" s="40"/>
      <c r="D116" s="40"/>
      <c r="E116" s="40"/>
      <c r="F116" s="4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9.25" x14ac:dyDescent="0.7">
      <c r="A117" s="40"/>
      <c r="B117" s="40"/>
      <c r="C117" s="40"/>
      <c r="D117" s="40"/>
      <c r="E117" s="40"/>
      <c r="F117" s="40"/>
      <c r="G117" s="3"/>
      <c r="H117" s="3"/>
      <c r="I117" s="3"/>
      <c r="J117" s="3"/>
      <c r="K117" s="174" t="s">
        <v>131</v>
      </c>
      <c r="L117" s="174"/>
      <c r="M117" s="174"/>
      <c r="N117" s="174"/>
      <c r="O117" s="174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29.25" x14ac:dyDescent="0.8">
      <c r="A118" s="41"/>
      <c r="B118" s="41"/>
      <c r="C118" s="41"/>
      <c r="D118" s="41"/>
      <c r="E118" s="41"/>
      <c r="F118" s="41"/>
      <c r="G118" s="41"/>
      <c r="H118" s="41"/>
      <c r="I118" s="41"/>
      <c r="J118" s="175"/>
      <c r="K118" s="175"/>
      <c r="L118" s="175"/>
      <c r="M118" s="175"/>
      <c r="N118" s="175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</sheetData>
  <mergeCells count="415">
    <mergeCell ref="A112:Y112"/>
    <mergeCell ref="A115:F115"/>
    <mergeCell ref="K117:O117"/>
    <mergeCell ref="J118:N118"/>
    <mergeCell ref="U100:Y100"/>
    <mergeCell ref="P108:Y108"/>
    <mergeCell ref="A109:G109"/>
    <mergeCell ref="P109:Y109"/>
    <mergeCell ref="A110:Y110"/>
    <mergeCell ref="A111:Y111"/>
    <mergeCell ref="A100:B100"/>
    <mergeCell ref="C100:E100"/>
    <mergeCell ref="F100:I100"/>
    <mergeCell ref="J100:L100"/>
    <mergeCell ref="M100:O100"/>
    <mergeCell ref="P100:T100"/>
    <mergeCell ref="U98:Y98"/>
    <mergeCell ref="A99:B99"/>
    <mergeCell ref="C99:E99"/>
    <mergeCell ref="F99:I99"/>
    <mergeCell ref="J99:L99"/>
    <mergeCell ref="M99:O99"/>
    <mergeCell ref="P99:T99"/>
    <mergeCell ref="U99:Y99"/>
    <mergeCell ref="A98:B98"/>
    <mergeCell ref="C98:E98"/>
    <mergeCell ref="F98:I98"/>
    <mergeCell ref="J98:L98"/>
    <mergeCell ref="M98:O98"/>
    <mergeCell ref="P98:T98"/>
    <mergeCell ref="U96:Y96"/>
    <mergeCell ref="A97:B97"/>
    <mergeCell ref="C97:E97"/>
    <mergeCell ref="F97:I97"/>
    <mergeCell ref="J97:L97"/>
    <mergeCell ref="M97:O97"/>
    <mergeCell ref="P97:T97"/>
    <mergeCell ref="U97:Y97"/>
    <mergeCell ref="A96:B96"/>
    <mergeCell ref="C96:E96"/>
    <mergeCell ref="F96:I96"/>
    <mergeCell ref="J96:L96"/>
    <mergeCell ref="M96:O96"/>
    <mergeCell ref="P96:T96"/>
    <mergeCell ref="U94:Y94"/>
    <mergeCell ref="A95:B95"/>
    <mergeCell ref="C95:E95"/>
    <mergeCell ref="F95:I95"/>
    <mergeCell ref="J95:L95"/>
    <mergeCell ref="M95:O95"/>
    <mergeCell ref="P95:T95"/>
    <mergeCell ref="U95:Y95"/>
    <mergeCell ref="A94:B94"/>
    <mergeCell ref="C94:E94"/>
    <mergeCell ref="F94:I94"/>
    <mergeCell ref="J94:L94"/>
    <mergeCell ref="M94:O94"/>
    <mergeCell ref="P94:T94"/>
    <mergeCell ref="U92:Y92"/>
    <mergeCell ref="A93:B93"/>
    <mergeCell ref="C93:E93"/>
    <mergeCell ref="F93:I93"/>
    <mergeCell ref="J93:L93"/>
    <mergeCell ref="M93:O93"/>
    <mergeCell ref="P93:T93"/>
    <mergeCell ref="U93:Y93"/>
    <mergeCell ref="A92:B92"/>
    <mergeCell ref="C92:E92"/>
    <mergeCell ref="F92:I92"/>
    <mergeCell ref="J92:L92"/>
    <mergeCell ref="M92:O92"/>
    <mergeCell ref="P92:T92"/>
    <mergeCell ref="U90:Y90"/>
    <mergeCell ref="A91:B91"/>
    <mergeCell ref="C91:E91"/>
    <mergeCell ref="F91:I91"/>
    <mergeCell ref="J91:L91"/>
    <mergeCell ref="M91:O91"/>
    <mergeCell ref="P91:T91"/>
    <mergeCell ref="U91:Y91"/>
    <mergeCell ref="A90:B90"/>
    <mergeCell ref="C90:E90"/>
    <mergeCell ref="F90:I90"/>
    <mergeCell ref="J90:L90"/>
    <mergeCell ref="M90:O90"/>
    <mergeCell ref="P90:T90"/>
    <mergeCell ref="U88:Y88"/>
    <mergeCell ref="A89:B89"/>
    <mergeCell ref="C89:E89"/>
    <mergeCell ref="F89:I89"/>
    <mergeCell ref="J89:L89"/>
    <mergeCell ref="M89:O89"/>
    <mergeCell ref="P89:T89"/>
    <mergeCell ref="U89:Y89"/>
    <mergeCell ref="A88:B88"/>
    <mergeCell ref="C88:E88"/>
    <mergeCell ref="F88:I88"/>
    <mergeCell ref="J88:L88"/>
    <mergeCell ref="M88:O88"/>
    <mergeCell ref="P88:T88"/>
    <mergeCell ref="U86:Y86"/>
    <mergeCell ref="A87:B87"/>
    <mergeCell ref="C87:E87"/>
    <mergeCell ref="F87:I87"/>
    <mergeCell ref="J87:L87"/>
    <mergeCell ref="M87:O87"/>
    <mergeCell ref="P87:T87"/>
    <mergeCell ref="U87:Y87"/>
    <mergeCell ref="A86:B86"/>
    <mergeCell ref="C86:E86"/>
    <mergeCell ref="F86:I86"/>
    <mergeCell ref="J86:L86"/>
    <mergeCell ref="M86:O86"/>
    <mergeCell ref="P86:T86"/>
    <mergeCell ref="U84:Y84"/>
    <mergeCell ref="A85:B85"/>
    <mergeCell ref="C85:E85"/>
    <mergeCell ref="F85:I85"/>
    <mergeCell ref="J85:L85"/>
    <mergeCell ref="M85:O85"/>
    <mergeCell ref="P85:T85"/>
    <mergeCell ref="U85:Y85"/>
    <mergeCell ref="A84:B84"/>
    <mergeCell ref="C84:E84"/>
    <mergeCell ref="F84:I84"/>
    <mergeCell ref="J84:L84"/>
    <mergeCell ref="M84:O84"/>
    <mergeCell ref="P84:T84"/>
    <mergeCell ref="U82:Y82"/>
    <mergeCell ref="A83:B83"/>
    <mergeCell ref="C83:E83"/>
    <mergeCell ref="F83:I83"/>
    <mergeCell ref="J83:L83"/>
    <mergeCell ref="M83:O83"/>
    <mergeCell ref="P83:T83"/>
    <mergeCell ref="U83:Y83"/>
    <mergeCell ref="A82:B82"/>
    <mergeCell ref="C82:E82"/>
    <mergeCell ref="F82:I82"/>
    <mergeCell ref="J82:L82"/>
    <mergeCell ref="M82:O82"/>
    <mergeCell ref="P82:T82"/>
    <mergeCell ref="U80:Y80"/>
    <mergeCell ref="A81:B81"/>
    <mergeCell ref="C81:E81"/>
    <mergeCell ref="F81:I81"/>
    <mergeCell ref="J81:L81"/>
    <mergeCell ref="M81:O81"/>
    <mergeCell ref="P81:T81"/>
    <mergeCell ref="U81:Y81"/>
    <mergeCell ref="A80:B80"/>
    <mergeCell ref="C80:E80"/>
    <mergeCell ref="F80:I80"/>
    <mergeCell ref="J80:L80"/>
    <mergeCell ref="M80:O80"/>
    <mergeCell ref="P80:T80"/>
    <mergeCell ref="U78:Y78"/>
    <mergeCell ref="A79:B79"/>
    <mergeCell ref="C79:E79"/>
    <mergeCell ref="F79:I79"/>
    <mergeCell ref="J79:L79"/>
    <mergeCell ref="M79:O79"/>
    <mergeCell ref="P79:T79"/>
    <mergeCell ref="U79:Y79"/>
    <mergeCell ref="A78:B78"/>
    <mergeCell ref="C78:E78"/>
    <mergeCell ref="F78:I78"/>
    <mergeCell ref="J78:L78"/>
    <mergeCell ref="M78:O78"/>
    <mergeCell ref="P78:T78"/>
    <mergeCell ref="U76:Y76"/>
    <mergeCell ref="A77:B77"/>
    <mergeCell ref="C77:E77"/>
    <mergeCell ref="F77:I77"/>
    <mergeCell ref="J77:L77"/>
    <mergeCell ref="M77:O77"/>
    <mergeCell ref="P77:T77"/>
    <mergeCell ref="U77:Y77"/>
    <mergeCell ref="A76:B76"/>
    <mergeCell ref="C76:E76"/>
    <mergeCell ref="F76:I76"/>
    <mergeCell ref="J76:L76"/>
    <mergeCell ref="M76:O76"/>
    <mergeCell ref="P76:T76"/>
    <mergeCell ref="U74:Y74"/>
    <mergeCell ref="A75:B75"/>
    <mergeCell ref="C75:E75"/>
    <mergeCell ref="F75:I75"/>
    <mergeCell ref="J75:L75"/>
    <mergeCell ref="M75:O75"/>
    <mergeCell ref="P75:T75"/>
    <mergeCell ref="U75:Y75"/>
    <mergeCell ref="A74:B74"/>
    <mergeCell ref="C74:E74"/>
    <mergeCell ref="F74:I74"/>
    <mergeCell ref="J74:L74"/>
    <mergeCell ref="M74:O74"/>
    <mergeCell ref="P74:T74"/>
    <mergeCell ref="A72:E73"/>
    <mergeCell ref="F72:I73"/>
    <mergeCell ref="J72:L72"/>
    <mergeCell ref="M72:O72"/>
    <mergeCell ref="P72:T73"/>
    <mergeCell ref="U72:Y73"/>
    <mergeCell ref="J73:L73"/>
    <mergeCell ref="M73:O73"/>
    <mergeCell ref="U67:Y67"/>
    <mergeCell ref="A70:E71"/>
    <mergeCell ref="F70:I71"/>
    <mergeCell ref="J70:O70"/>
    <mergeCell ref="P70:T71"/>
    <mergeCell ref="U70:Y71"/>
    <mergeCell ref="J71:O71"/>
    <mergeCell ref="A67:B67"/>
    <mergeCell ref="C67:E67"/>
    <mergeCell ref="F67:I67"/>
    <mergeCell ref="J67:L67"/>
    <mergeCell ref="M67:O67"/>
    <mergeCell ref="P67:T67"/>
    <mergeCell ref="U65:Y65"/>
    <mergeCell ref="A66:B66"/>
    <mergeCell ref="C66:E66"/>
    <mergeCell ref="F66:I66"/>
    <mergeCell ref="J66:L66"/>
    <mergeCell ref="M66:O66"/>
    <mergeCell ref="P66:T66"/>
    <mergeCell ref="U66:Y66"/>
    <mergeCell ref="A65:B65"/>
    <mergeCell ref="C65:E65"/>
    <mergeCell ref="F65:I65"/>
    <mergeCell ref="J65:L65"/>
    <mergeCell ref="M65:O65"/>
    <mergeCell ref="P65:T65"/>
    <mergeCell ref="U63:Y63"/>
    <mergeCell ref="A64:B64"/>
    <mergeCell ref="C64:E64"/>
    <mergeCell ref="F64:I64"/>
    <mergeCell ref="J64:L64"/>
    <mergeCell ref="M64:O64"/>
    <mergeCell ref="P64:T64"/>
    <mergeCell ref="U64:Y64"/>
    <mergeCell ref="A63:B63"/>
    <mergeCell ref="C63:E63"/>
    <mergeCell ref="F63:I63"/>
    <mergeCell ref="J63:L63"/>
    <mergeCell ref="M63:O63"/>
    <mergeCell ref="P63:T63"/>
    <mergeCell ref="U61:Y61"/>
    <mergeCell ref="A62:B62"/>
    <mergeCell ref="C62:E62"/>
    <mergeCell ref="F62:I62"/>
    <mergeCell ref="J62:L62"/>
    <mergeCell ref="M62:O62"/>
    <mergeCell ref="P62:T62"/>
    <mergeCell ref="U62:Y62"/>
    <mergeCell ref="A61:B61"/>
    <mergeCell ref="C61:E61"/>
    <mergeCell ref="F61:I61"/>
    <mergeCell ref="J61:L61"/>
    <mergeCell ref="M61:O61"/>
    <mergeCell ref="P61:T61"/>
    <mergeCell ref="U59:Y59"/>
    <mergeCell ref="A60:B60"/>
    <mergeCell ref="C60:E60"/>
    <mergeCell ref="F60:I60"/>
    <mergeCell ref="J60:L60"/>
    <mergeCell ref="M60:O60"/>
    <mergeCell ref="P60:T60"/>
    <mergeCell ref="U60:Y60"/>
    <mergeCell ref="A59:B59"/>
    <mergeCell ref="C59:E59"/>
    <mergeCell ref="F59:I59"/>
    <mergeCell ref="J59:L59"/>
    <mergeCell ref="M59:O59"/>
    <mergeCell ref="P59:T59"/>
    <mergeCell ref="U57:Y57"/>
    <mergeCell ref="A58:B58"/>
    <mergeCell ref="C58:E58"/>
    <mergeCell ref="F58:I58"/>
    <mergeCell ref="J58:L58"/>
    <mergeCell ref="M58:O58"/>
    <mergeCell ref="P58:T58"/>
    <mergeCell ref="U58:Y58"/>
    <mergeCell ref="A57:B57"/>
    <mergeCell ref="C57:E57"/>
    <mergeCell ref="F57:I57"/>
    <mergeCell ref="J57:L57"/>
    <mergeCell ref="M57:O57"/>
    <mergeCell ref="P57:T57"/>
    <mergeCell ref="U55:Y55"/>
    <mergeCell ref="A56:B56"/>
    <mergeCell ref="C56:E56"/>
    <mergeCell ref="F56:I56"/>
    <mergeCell ref="J56:L56"/>
    <mergeCell ref="M56:O56"/>
    <mergeCell ref="P56:T56"/>
    <mergeCell ref="U56:Y56"/>
    <mergeCell ref="A55:B55"/>
    <mergeCell ref="C55:E55"/>
    <mergeCell ref="F55:I55"/>
    <mergeCell ref="J55:L55"/>
    <mergeCell ref="M55:O55"/>
    <mergeCell ref="P55:T55"/>
    <mergeCell ref="U53:Y53"/>
    <mergeCell ref="A54:B54"/>
    <mergeCell ref="C54:E54"/>
    <mergeCell ref="F54:I54"/>
    <mergeCell ref="J54:L54"/>
    <mergeCell ref="M54:O54"/>
    <mergeCell ref="P54:T54"/>
    <mergeCell ref="U54:Y54"/>
    <mergeCell ref="A53:B53"/>
    <mergeCell ref="C53:E53"/>
    <mergeCell ref="F53:I53"/>
    <mergeCell ref="J53:L53"/>
    <mergeCell ref="M53:O53"/>
    <mergeCell ref="P53:T53"/>
    <mergeCell ref="U51:Y51"/>
    <mergeCell ref="A52:B52"/>
    <mergeCell ref="C52:E52"/>
    <mergeCell ref="F52:I52"/>
    <mergeCell ref="J52:L52"/>
    <mergeCell ref="M52:O52"/>
    <mergeCell ref="P52:T52"/>
    <mergeCell ref="U52:Y52"/>
    <mergeCell ref="A51:B51"/>
    <mergeCell ref="C51:E51"/>
    <mergeCell ref="F51:I51"/>
    <mergeCell ref="J51:L51"/>
    <mergeCell ref="M51:O51"/>
    <mergeCell ref="P51:T51"/>
    <mergeCell ref="U49:Y49"/>
    <mergeCell ref="A50:B50"/>
    <mergeCell ref="C50:E50"/>
    <mergeCell ref="F50:I50"/>
    <mergeCell ref="J50:L50"/>
    <mergeCell ref="M50:O50"/>
    <mergeCell ref="P50:T50"/>
    <mergeCell ref="U50:Y50"/>
    <mergeCell ref="A49:B49"/>
    <mergeCell ref="C49:E49"/>
    <mergeCell ref="F49:I49"/>
    <mergeCell ref="J49:L49"/>
    <mergeCell ref="M49:O49"/>
    <mergeCell ref="P49:T49"/>
    <mergeCell ref="A47:E48"/>
    <mergeCell ref="F47:I48"/>
    <mergeCell ref="J47:L47"/>
    <mergeCell ref="M47:O47"/>
    <mergeCell ref="P47:T48"/>
    <mergeCell ref="U47:Y48"/>
    <mergeCell ref="J48:L48"/>
    <mergeCell ref="M48:O48"/>
    <mergeCell ref="A45:E46"/>
    <mergeCell ref="F45:I46"/>
    <mergeCell ref="J45:O45"/>
    <mergeCell ref="P45:T46"/>
    <mergeCell ref="U45:Y46"/>
    <mergeCell ref="J46:O46"/>
    <mergeCell ref="N41:O41"/>
    <mergeCell ref="V41:W41"/>
    <mergeCell ref="N42:O42"/>
    <mergeCell ref="S42:U42"/>
    <mergeCell ref="V42:W42"/>
    <mergeCell ref="N38:O38"/>
    <mergeCell ref="V38:W38"/>
    <mergeCell ref="N39:O39"/>
    <mergeCell ref="V39:W39"/>
    <mergeCell ref="N40:O40"/>
    <mergeCell ref="V40:W40"/>
    <mergeCell ref="U28:Y28"/>
    <mergeCell ref="N29:R29"/>
    <mergeCell ref="N36:O36"/>
    <mergeCell ref="V36:W36"/>
    <mergeCell ref="N37:O37"/>
    <mergeCell ref="V37:W37"/>
    <mergeCell ref="I21:J21"/>
    <mergeCell ref="G22:I22"/>
    <mergeCell ref="G23:I23"/>
    <mergeCell ref="G24:I24"/>
    <mergeCell ref="G25:I25"/>
    <mergeCell ref="G26:I26"/>
    <mergeCell ref="I20:J20"/>
    <mergeCell ref="O20:P20"/>
    <mergeCell ref="V20:W20"/>
    <mergeCell ref="I17:J17"/>
    <mergeCell ref="L17:M17"/>
    <mergeCell ref="O17:P17"/>
    <mergeCell ref="R17:S17"/>
    <mergeCell ref="V17:W17"/>
    <mergeCell ref="I18:J18"/>
    <mergeCell ref="L18:M18"/>
    <mergeCell ref="O18:P18"/>
    <mergeCell ref="R18:S18"/>
    <mergeCell ref="V18:W18"/>
    <mergeCell ref="P14:S14"/>
    <mergeCell ref="I16:J16"/>
    <mergeCell ref="L16:M16"/>
    <mergeCell ref="O16:P16"/>
    <mergeCell ref="R16:S16"/>
    <mergeCell ref="V16:W16"/>
    <mergeCell ref="I19:J19"/>
    <mergeCell ref="L19:M19"/>
    <mergeCell ref="O19:P19"/>
    <mergeCell ref="R19:S19"/>
    <mergeCell ref="V19:W19"/>
    <mergeCell ref="A3:H3"/>
    <mergeCell ref="A4:H4"/>
    <mergeCell ref="A5:H5"/>
    <mergeCell ref="A8:Y8"/>
    <mergeCell ref="P13:S13"/>
    <mergeCell ref="A6:Y6"/>
    <mergeCell ref="A7:Y7"/>
    <mergeCell ref="A1:Y1"/>
    <mergeCell ref="A2:Y2"/>
  </mergeCells>
  <conditionalFormatting sqref="AF49:AH67">
    <cfRule type="duplicateValues" dxfId="12" priority="1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2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view="pageBreakPreview" zoomScale="115" zoomScaleNormal="100" zoomScaleSheetLayoutView="115" workbookViewId="0">
      <selection activeCell="L5" sqref="L5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1.28515625" style="2" bestFit="1" customWidth="1"/>
    <col min="27" max="27" width="11.5703125" style="2" bestFit="1" customWidth="1"/>
    <col min="28" max="28" width="13.7109375" style="2" customWidth="1"/>
    <col min="29" max="34" width="9.140625" style="2"/>
    <col min="35" max="35" width="10.5703125" style="2" bestFit="1" customWidth="1"/>
    <col min="36" max="16384" width="9.140625" style="2"/>
  </cols>
  <sheetData>
    <row r="1" spans="1:28" ht="25.5" x14ac:dyDescent="0.7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 spans="1:28" ht="25.5" x14ac:dyDescent="0.7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28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8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8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28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28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28" ht="23.25" customHeight="1" x14ac:dyDescent="0.25">
      <c r="A8" s="105" t="s">
        <v>124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28" ht="21.95" customHeight="1" x14ac:dyDescent="0.25">
      <c r="A9" s="5" t="s">
        <v>8</v>
      </c>
      <c r="B9" s="6"/>
      <c r="C9" s="7"/>
      <c r="D9" s="7"/>
      <c r="E9" s="7"/>
      <c r="F9" s="7" t="s">
        <v>117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8" ht="21.95" customHeight="1" x14ac:dyDescent="0.25">
      <c r="A10" s="7"/>
      <c r="B10" s="6" t="s">
        <v>9</v>
      </c>
      <c r="C10" s="7"/>
      <c r="D10" s="7"/>
      <c r="E10" s="7"/>
      <c r="F10" s="7" t="s">
        <v>118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8" ht="21.95" customHeight="1" x14ac:dyDescent="0.25">
      <c r="A11" s="7"/>
      <c r="B11" s="7"/>
      <c r="C11" s="7"/>
      <c r="D11" s="7"/>
      <c r="E11" s="7"/>
      <c r="F11" s="7" t="s">
        <v>119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8" ht="21.95" customHeight="1" x14ac:dyDescent="0.25">
      <c r="A12" s="6" t="s">
        <v>10</v>
      </c>
      <c r="B12" s="6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8" ht="21.95" customHeight="1" x14ac:dyDescent="0.25">
      <c r="A13" s="6" t="s">
        <v>11</v>
      </c>
      <c r="B13" s="6"/>
      <c r="C13" s="6"/>
      <c r="D13" s="7"/>
      <c r="E13" s="7"/>
      <c r="F13" s="7"/>
      <c r="G13" s="7"/>
      <c r="H13" s="7" t="s">
        <v>121</v>
      </c>
      <c r="I13" s="7"/>
      <c r="J13" s="7"/>
      <c r="K13" s="7"/>
      <c r="L13" s="7"/>
      <c r="M13" s="7"/>
      <c r="N13" s="7"/>
      <c r="O13" s="7" t="s">
        <v>12</v>
      </c>
      <c r="P13" s="106">
        <v>46014</v>
      </c>
      <c r="Q13" s="106"/>
      <c r="R13" s="106"/>
      <c r="S13" s="106"/>
      <c r="T13" s="7"/>
      <c r="U13" s="7"/>
      <c r="V13" s="7"/>
      <c r="W13" s="7"/>
      <c r="X13" s="7"/>
      <c r="Y13" s="7"/>
    </row>
    <row r="14" spans="1:28" ht="21.95" customHeight="1" x14ac:dyDescent="0.65">
      <c r="A14" s="8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</row>
    <row r="15" spans="1:28" ht="21.95" customHeight="1" x14ac:dyDescent="0.65">
      <c r="A15" s="6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8" ht="21" customHeight="1" x14ac:dyDescent="0.25">
      <c r="A16" s="7"/>
      <c r="B16" s="6" t="s">
        <v>15</v>
      </c>
      <c r="C16" s="7"/>
      <c r="D16" s="7"/>
      <c r="E16" s="7"/>
      <c r="F16" s="7" t="s">
        <v>14</v>
      </c>
      <c r="G16" s="9"/>
      <c r="H16" s="6" t="s">
        <v>16</v>
      </c>
      <c r="I16" s="105">
        <v>2</v>
      </c>
      <c r="J16" s="105">
        <v>3</v>
      </c>
      <c r="K16" s="7" t="s">
        <v>17</v>
      </c>
      <c r="L16" s="105"/>
      <c r="M16" s="105"/>
      <c r="N16" s="6" t="s">
        <v>18</v>
      </c>
      <c r="O16" s="105">
        <v>1</v>
      </c>
      <c r="P16" s="105">
        <v>6</v>
      </c>
      <c r="Q16" s="6" t="s">
        <v>17</v>
      </c>
      <c r="R16" s="105"/>
      <c r="S16" s="105"/>
      <c r="T16" s="6" t="s">
        <v>19</v>
      </c>
      <c r="U16" s="6"/>
      <c r="V16" s="109">
        <f>O16+I16</f>
        <v>3</v>
      </c>
      <c r="W16" s="109"/>
      <c r="X16" s="6" t="s">
        <v>17</v>
      </c>
      <c r="Y16" s="6"/>
      <c r="AB16" s="10">
        <v>11700</v>
      </c>
    </row>
    <row r="17" spans="1:28" ht="21" customHeight="1" x14ac:dyDescent="0.25">
      <c r="A17" s="7"/>
      <c r="B17" s="6" t="s">
        <v>20</v>
      </c>
      <c r="C17" s="7"/>
      <c r="D17" s="7"/>
      <c r="E17" s="7"/>
      <c r="F17" s="7" t="s">
        <v>14</v>
      </c>
      <c r="G17" s="7"/>
      <c r="H17" s="6" t="s">
        <v>16</v>
      </c>
      <c r="I17" s="105"/>
      <c r="J17" s="105"/>
      <c r="K17" s="7" t="s">
        <v>17</v>
      </c>
      <c r="L17" s="105"/>
      <c r="M17" s="105"/>
      <c r="N17" s="6" t="s">
        <v>18</v>
      </c>
      <c r="O17" s="105">
        <v>2</v>
      </c>
      <c r="P17" s="105">
        <v>61</v>
      </c>
      <c r="Q17" s="6" t="s">
        <v>17</v>
      </c>
      <c r="R17" s="105"/>
      <c r="S17" s="105"/>
      <c r="T17" s="6" t="s">
        <v>19</v>
      </c>
      <c r="U17" s="6"/>
      <c r="V17" s="109">
        <f>O17+I17</f>
        <v>2</v>
      </c>
      <c r="W17" s="109"/>
      <c r="X17" s="6" t="s">
        <v>17</v>
      </c>
      <c r="Y17" s="6"/>
      <c r="AB17" s="10">
        <v>31298.12</v>
      </c>
    </row>
    <row r="18" spans="1:28" ht="21" customHeight="1" x14ac:dyDescent="0.25">
      <c r="A18" s="7"/>
      <c r="B18" s="6" t="s">
        <v>21</v>
      </c>
      <c r="C18" s="7"/>
      <c r="D18" s="7"/>
      <c r="E18" s="7"/>
      <c r="F18" s="7" t="s">
        <v>14</v>
      </c>
      <c r="G18" s="7"/>
      <c r="H18" s="6" t="s">
        <v>16</v>
      </c>
      <c r="I18" s="105">
        <v>36</v>
      </c>
      <c r="J18" s="105"/>
      <c r="K18" s="8" t="s">
        <v>17</v>
      </c>
      <c r="L18" s="110"/>
      <c r="M18" s="110"/>
      <c r="N18" s="6" t="s">
        <v>18</v>
      </c>
      <c r="O18" s="105">
        <v>99</v>
      </c>
      <c r="P18" s="105"/>
      <c r="Q18" s="6" t="s">
        <v>17</v>
      </c>
      <c r="R18" s="110"/>
      <c r="S18" s="110"/>
      <c r="T18" s="6" t="s">
        <v>19</v>
      </c>
      <c r="U18" s="6"/>
      <c r="V18" s="109">
        <f>O18+I18</f>
        <v>135</v>
      </c>
      <c r="W18" s="109"/>
      <c r="X18" s="6" t="s">
        <v>17</v>
      </c>
      <c r="Y18" s="6"/>
      <c r="AB18" s="10">
        <v>143072.10999999999</v>
      </c>
    </row>
    <row r="19" spans="1:28" ht="21" customHeight="1" x14ac:dyDescent="0.25">
      <c r="A19" s="7"/>
      <c r="B19" s="11" t="s">
        <v>22</v>
      </c>
      <c r="C19" s="6"/>
      <c r="D19" s="6"/>
      <c r="E19" s="7"/>
      <c r="F19" s="7" t="s">
        <v>14</v>
      </c>
      <c r="G19" s="7"/>
      <c r="H19" s="6" t="s">
        <v>16</v>
      </c>
      <c r="I19" s="105">
        <v>21</v>
      </c>
      <c r="J19" s="105"/>
      <c r="K19" s="8" t="s">
        <v>17</v>
      </c>
      <c r="L19" s="110"/>
      <c r="M19" s="110"/>
      <c r="N19" s="6" t="s">
        <v>18</v>
      </c>
      <c r="O19" s="105">
        <v>23</v>
      </c>
      <c r="P19" s="105">
        <v>683</v>
      </c>
      <c r="Q19" s="6" t="s">
        <v>17</v>
      </c>
      <c r="R19" s="110"/>
      <c r="S19" s="110"/>
      <c r="T19" s="6" t="s">
        <v>19</v>
      </c>
      <c r="U19" s="6"/>
      <c r="V19" s="109">
        <f>O19+I19</f>
        <v>44</v>
      </c>
      <c r="W19" s="109"/>
      <c r="X19" s="6" t="s">
        <v>17</v>
      </c>
      <c r="Y19" s="6"/>
      <c r="Z19" s="12">
        <f>V16+V17+V18+V19</f>
        <v>184</v>
      </c>
      <c r="AB19" s="10">
        <v>62861.24</v>
      </c>
    </row>
    <row r="20" spans="1:28" ht="21" customHeight="1" x14ac:dyDescent="0.25">
      <c r="A20" s="7"/>
      <c r="B20" s="11" t="s">
        <v>23</v>
      </c>
      <c r="C20" s="6"/>
      <c r="D20" s="6"/>
      <c r="E20" s="7"/>
      <c r="F20" s="7" t="s">
        <v>14</v>
      </c>
      <c r="G20" s="7"/>
      <c r="H20" s="6" t="s">
        <v>16</v>
      </c>
      <c r="I20" s="105">
        <f>I18+I19</f>
        <v>57</v>
      </c>
      <c r="J20" s="105"/>
      <c r="K20" s="8" t="s">
        <v>17</v>
      </c>
      <c r="L20" s="13"/>
      <c r="M20" s="13"/>
      <c r="N20" s="6" t="s">
        <v>18</v>
      </c>
      <c r="O20" s="105">
        <f>O18+O19</f>
        <v>122</v>
      </c>
      <c r="P20" s="105"/>
      <c r="Q20" s="6" t="s">
        <v>17</v>
      </c>
      <c r="R20" s="13"/>
      <c r="S20" s="13"/>
      <c r="T20" s="6" t="s">
        <v>19</v>
      </c>
      <c r="U20" s="6"/>
      <c r="V20" s="109">
        <f>V18+V19</f>
        <v>179</v>
      </c>
      <c r="W20" s="109"/>
      <c r="X20" s="6" t="s">
        <v>17</v>
      </c>
      <c r="Y20" s="6"/>
      <c r="AB20" s="10"/>
    </row>
    <row r="21" spans="1:28" ht="21.95" customHeight="1" x14ac:dyDescent="0.25">
      <c r="A21" s="6" t="s">
        <v>24</v>
      </c>
      <c r="B21" s="7"/>
      <c r="C21" s="7"/>
      <c r="D21" s="7"/>
      <c r="E21" s="7"/>
      <c r="F21" s="7" t="s">
        <v>14</v>
      </c>
      <c r="G21" s="8"/>
      <c r="H21" s="7"/>
      <c r="I21" s="114"/>
      <c r="J21" s="11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8" ht="21.95" customHeight="1" x14ac:dyDescent="0.25">
      <c r="A22" s="7"/>
      <c r="B22" s="6" t="s">
        <v>15</v>
      </c>
      <c r="C22" s="6"/>
      <c r="D22" s="6"/>
      <c r="E22" s="7"/>
      <c r="F22" s="7" t="s">
        <v>14</v>
      </c>
      <c r="G22" s="115">
        <v>4800</v>
      </c>
      <c r="H22" s="115">
        <v>35255</v>
      </c>
      <c r="I22" s="115">
        <v>35255</v>
      </c>
      <c r="J22" s="14"/>
      <c r="K22" s="6" t="s">
        <v>25</v>
      </c>
      <c r="L22" s="6"/>
      <c r="M22" s="14"/>
      <c r="N22" s="1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8" ht="21.95" customHeight="1" x14ac:dyDescent="0.25">
      <c r="A23" s="7"/>
      <c r="B23" s="6" t="s">
        <v>20</v>
      </c>
      <c r="C23" s="6"/>
      <c r="D23" s="6"/>
      <c r="E23" s="7"/>
      <c r="F23" s="7" t="s">
        <v>14</v>
      </c>
      <c r="G23" s="115">
        <v>1003.44</v>
      </c>
      <c r="H23" s="115">
        <v>15646.4375</v>
      </c>
      <c r="I23" s="115">
        <v>15646.4375</v>
      </c>
      <c r="J23" s="14"/>
      <c r="K23" s="6" t="s">
        <v>25</v>
      </c>
      <c r="L23" s="6"/>
      <c r="M23" s="14"/>
      <c r="N23" s="1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8" ht="21.95" customHeight="1" x14ac:dyDescent="0.25">
      <c r="A24" s="7"/>
      <c r="B24" s="6" t="s">
        <v>21</v>
      </c>
      <c r="C24" s="6"/>
      <c r="D24" s="6"/>
      <c r="E24" s="7"/>
      <c r="F24" s="7" t="s">
        <v>14</v>
      </c>
      <c r="G24" s="115">
        <v>44541.54</v>
      </c>
      <c r="H24" s="115"/>
      <c r="I24" s="115"/>
      <c r="J24" s="14"/>
      <c r="K24" s="6" t="s">
        <v>25</v>
      </c>
      <c r="L24" s="6"/>
      <c r="M24" s="14"/>
      <c r="N24" s="1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8" ht="21.95" customHeight="1" x14ac:dyDescent="0.25">
      <c r="A25" s="7"/>
      <c r="B25" s="6" t="s">
        <v>22</v>
      </c>
      <c r="C25" s="6"/>
      <c r="D25" s="6"/>
      <c r="E25" s="7"/>
      <c r="F25" s="7" t="s">
        <v>14</v>
      </c>
      <c r="G25" s="115">
        <v>12847.26</v>
      </c>
      <c r="H25" s="115">
        <v>205933.34999999998</v>
      </c>
      <c r="I25" s="115">
        <v>205933.34999999998</v>
      </c>
      <c r="J25" s="14"/>
      <c r="K25" s="6" t="s">
        <v>25</v>
      </c>
      <c r="L25" s="6"/>
      <c r="M25" s="14"/>
      <c r="N25" s="14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28" ht="21.6" customHeight="1" x14ac:dyDescent="0.25">
      <c r="A26" s="7"/>
      <c r="B26" s="11" t="s">
        <v>23</v>
      </c>
      <c r="C26" s="6"/>
      <c r="D26" s="6"/>
      <c r="E26" s="7"/>
      <c r="F26" s="7" t="s">
        <v>14</v>
      </c>
      <c r="G26" s="115">
        <v>57388.800000000003</v>
      </c>
      <c r="H26" s="115"/>
      <c r="I26" s="115"/>
      <c r="J26" s="14"/>
      <c r="K26" s="6" t="s">
        <v>25</v>
      </c>
      <c r="L26" s="6"/>
      <c r="M26" s="14"/>
      <c r="N26" s="14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8" ht="21.95" customHeight="1" x14ac:dyDescent="0.65">
      <c r="A27" s="6" t="s">
        <v>26</v>
      </c>
      <c r="B27" s="3"/>
      <c r="C27" s="3"/>
      <c r="D27" s="3"/>
      <c r="E27" s="3"/>
      <c r="F27" s="3" t="s">
        <v>14</v>
      </c>
      <c r="G27" s="3"/>
      <c r="H27" s="17"/>
      <c r="I27" s="3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8" ht="23.25" x14ac:dyDescent="0.65">
      <c r="A28" s="3"/>
      <c r="B28" s="6" t="s">
        <v>27</v>
      </c>
      <c r="C28" s="6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6"/>
      <c r="O28" s="6" t="s">
        <v>30</v>
      </c>
      <c r="P28" s="3"/>
      <c r="Q28" s="3"/>
      <c r="R28" s="3"/>
      <c r="S28" s="3"/>
      <c r="T28" s="3"/>
      <c r="U28" s="111">
        <v>208</v>
      </c>
      <c r="V28" s="111"/>
      <c r="W28" s="111"/>
      <c r="X28" s="111"/>
      <c r="Y28" s="111"/>
    </row>
    <row r="29" spans="1:28" ht="23.25" x14ac:dyDescent="0.65">
      <c r="A29" s="3"/>
      <c r="B29" s="6" t="s">
        <v>31</v>
      </c>
      <c r="C29" s="6"/>
      <c r="D29" s="3"/>
      <c r="E29" s="3" t="s">
        <v>32</v>
      </c>
      <c r="F29" s="3"/>
      <c r="G29" s="3"/>
      <c r="H29" s="3"/>
      <c r="I29" s="6" t="s">
        <v>33</v>
      </c>
      <c r="J29" s="3"/>
      <c r="K29" s="3"/>
      <c r="L29" s="3"/>
      <c r="M29" s="3"/>
      <c r="N29" s="112">
        <v>40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28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18">
        <f>U28+N29</f>
        <v>248</v>
      </c>
    </row>
    <row r="31" spans="1:28" ht="23.25" x14ac:dyDescent="0.65">
      <c r="A31" s="7"/>
      <c r="B31" s="3" t="s">
        <v>35</v>
      </c>
      <c r="C31" s="7"/>
      <c r="D31" s="7" t="s">
        <v>36</v>
      </c>
      <c r="E31" s="7"/>
      <c r="F31" s="7"/>
      <c r="G31" s="7"/>
      <c r="H31" s="7"/>
      <c r="I31" s="7"/>
      <c r="J31" s="7"/>
      <c r="K31" s="7"/>
      <c r="L31" s="3" t="s">
        <v>37</v>
      </c>
      <c r="M31" s="7"/>
      <c r="N31" s="7"/>
      <c r="O31" s="7"/>
      <c r="P31" s="7" t="s">
        <v>38</v>
      </c>
      <c r="Q31" s="7"/>
      <c r="R31" s="7" t="s">
        <v>39</v>
      </c>
      <c r="S31" s="7"/>
      <c r="T31" s="7"/>
      <c r="U31" s="7"/>
      <c r="V31" s="7"/>
      <c r="W31" s="7"/>
      <c r="X31" s="7"/>
      <c r="Y31" s="7"/>
    </row>
    <row r="32" spans="1:28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6" ht="23.25" x14ac:dyDescent="0.25">
      <c r="A33" s="9"/>
      <c r="B33" s="19" t="s">
        <v>41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6" ht="23.25" x14ac:dyDescent="0.65">
      <c r="A34" s="9"/>
      <c r="B34" s="19" t="s">
        <v>42</v>
      </c>
      <c r="C34" s="7"/>
      <c r="D34" s="7"/>
      <c r="E34" s="20" t="s">
        <v>43</v>
      </c>
      <c r="F34" s="7" t="s">
        <v>44</v>
      </c>
      <c r="G34" s="7" t="s">
        <v>45</v>
      </c>
      <c r="H34" s="7" t="s">
        <v>46</v>
      </c>
      <c r="I34" s="7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6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6" ht="23.25" x14ac:dyDescent="0.65">
      <c r="A36" s="3"/>
      <c r="B36" s="3" t="s">
        <v>49</v>
      </c>
      <c r="C36" s="3"/>
      <c r="D36" s="3"/>
      <c r="E36" s="3"/>
      <c r="F36" s="3"/>
      <c r="G36" s="3" t="s">
        <v>50</v>
      </c>
      <c r="H36" s="3"/>
      <c r="I36" s="3"/>
      <c r="J36" s="3"/>
      <c r="K36" s="3"/>
      <c r="L36" s="3"/>
      <c r="M36" s="3" t="s">
        <v>19</v>
      </c>
      <c r="N36" s="113">
        <v>2</v>
      </c>
      <c r="O36" s="113"/>
      <c r="P36" s="3" t="s">
        <v>51</v>
      </c>
      <c r="Q36" s="21"/>
      <c r="R36" s="3"/>
      <c r="S36" s="3" t="s">
        <v>52</v>
      </c>
      <c r="T36" s="3"/>
      <c r="U36" s="3"/>
      <c r="V36" s="113">
        <v>1</v>
      </c>
      <c r="W36" s="113"/>
      <c r="X36" s="3" t="s">
        <v>53</v>
      </c>
      <c r="Y36" s="3"/>
    </row>
    <row r="37" spans="1:26" ht="23.25" x14ac:dyDescent="0.65">
      <c r="A37" s="3"/>
      <c r="B37" s="3" t="s">
        <v>54</v>
      </c>
      <c r="C37" s="3"/>
      <c r="D37" s="3"/>
      <c r="E37" s="3"/>
      <c r="F37" s="3"/>
      <c r="G37" s="4" t="s">
        <v>55</v>
      </c>
      <c r="H37" s="3"/>
      <c r="I37" s="3"/>
      <c r="J37" s="3"/>
      <c r="K37" s="3"/>
      <c r="L37" s="3"/>
      <c r="M37" s="3" t="s">
        <v>19</v>
      </c>
      <c r="N37" s="113">
        <v>1</v>
      </c>
      <c r="O37" s="113"/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2">
        <f>SUM(V37:W42)</f>
        <v>168</v>
      </c>
    </row>
    <row r="38" spans="1:26" ht="23.25" x14ac:dyDescent="0.65">
      <c r="A38" s="3"/>
      <c r="B38" s="3" t="s">
        <v>56</v>
      </c>
      <c r="C38" s="3"/>
      <c r="D38" s="3"/>
      <c r="E38" s="3"/>
      <c r="F38" s="3"/>
      <c r="G38" s="3" t="s">
        <v>57</v>
      </c>
      <c r="H38" s="3"/>
      <c r="I38" s="3"/>
      <c r="J38" s="3"/>
      <c r="K38" s="3"/>
      <c r="L38" s="3"/>
      <c r="M38" s="3" t="s">
        <v>19</v>
      </c>
      <c r="N38" s="113">
        <v>3</v>
      </c>
      <c r="O38" s="113"/>
      <c r="P38" s="3" t="s">
        <v>53</v>
      </c>
      <c r="Q38" s="3"/>
      <c r="R38" s="3"/>
      <c r="S38" s="3" t="s">
        <v>52</v>
      </c>
      <c r="T38" s="3"/>
      <c r="U38" s="3"/>
      <c r="V38" s="113">
        <v>2</v>
      </c>
      <c r="W38" s="113"/>
      <c r="X38" s="3" t="s">
        <v>53</v>
      </c>
      <c r="Y38" s="3"/>
    </row>
    <row r="39" spans="1:26" ht="23.25" x14ac:dyDescent="0.65">
      <c r="A39" s="3"/>
      <c r="B39" s="3" t="s">
        <v>58</v>
      </c>
      <c r="C39" s="3"/>
      <c r="D39" s="3"/>
      <c r="E39" s="3"/>
      <c r="F39" s="3"/>
      <c r="G39" s="3" t="s">
        <v>59</v>
      </c>
      <c r="H39" s="3"/>
      <c r="I39" s="3"/>
      <c r="J39" s="3"/>
      <c r="K39" s="3"/>
      <c r="L39" s="3"/>
      <c r="M39" s="3" t="s">
        <v>19</v>
      </c>
      <c r="N39" s="113">
        <v>141</v>
      </c>
      <c r="O39" s="113"/>
      <c r="P39" s="3" t="s">
        <v>53</v>
      </c>
      <c r="Q39" s="3"/>
      <c r="R39" s="3"/>
      <c r="S39" s="3" t="s">
        <v>52</v>
      </c>
      <c r="T39" s="3"/>
      <c r="U39" s="3"/>
      <c r="V39" s="113">
        <v>136</v>
      </c>
      <c r="W39" s="113"/>
      <c r="X39" s="3" t="s">
        <v>53</v>
      </c>
      <c r="Y39" s="3"/>
    </row>
    <row r="40" spans="1:26" ht="23.25" x14ac:dyDescent="0.65">
      <c r="A40" s="3"/>
      <c r="B40" s="3" t="s">
        <v>60</v>
      </c>
      <c r="C40" s="3"/>
      <c r="D40" s="3"/>
      <c r="E40" s="3"/>
      <c r="F40" s="3"/>
      <c r="G40" s="3" t="s">
        <v>61</v>
      </c>
      <c r="H40" s="3"/>
      <c r="I40" s="3"/>
      <c r="J40" s="3"/>
      <c r="K40" s="3"/>
      <c r="L40" s="3"/>
      <c r="M40" s="3" t="s">
        <v>19</v>
      </c>
      <c r="N40" s="113">
        <v>22</v>
      </c>
      <c r="O40" s="113"/>
      <c r="P40" s="3" t="s">
        <v>53</v>
      </c>
      <c r="Q40" s="3"/>
      <c r="R40" s="3"/>
      <c r="S40" s="3" t="s">
        <v>52</v>
      </c>
      <c r="T40" s="3"/>
      <c r="U40" s="3"/>
      <c r="V40" s="113">
        <v>11</v>
      </c>
      <c r="W40" s="113"/>
      <c r="X40" s="3" t="s">
        <v>53</v>
      </c>
      <c r="Y40" s="3"/>
    </row>
    <row r="41" spans="1:26" ht="23.25" x14ac:dyDescent="0.65">
      <c r="A41" s="3"/>
      <c r="B41" s="3" t="s">
        <v>62</v>
      </c>
      <c r="C41" s="3"/>
      <c r="D41" s="3"/>
      <c r="E41" s="3"/>
      <c r="F41" s="3"/>
      <c r="G41" s="4" t="s">
        <v>63</v>
      </c>
      <c r="H41" s="3"/>
      <c r="I41" s="3"/>
      <c r="J41" s="3"/>
      <c r="K41" s="3"/>
      <c r="L41" s="3"/>
      <c r="M41" s="3" t="s">
        <v>19</v>
      </c>
      <c r="N41" s="113">
        <v>5</v>
      </c>
      <c r="O41" s="113"/>
      <c r="P41" s="3" t="s">
        <v>53</v>
      </c>
      <c r="Q41" s="3"/>
      <c r="R41" s="3"/>
      <c r="S41" s="3" t="s">
        <v>52</v>
      </c>
      <c r="T41" s="3"/>
      <c r="U41" s="3"/>
      <c r="V41" s="113">
        <v>3</v>
      </c>
      <c r="W41" s="113"/>
      <c r="X41" s="3" t="s">
        <v>53</v>
      </c>
      <c r="Y41" s="3"/>
    </row>
    <row r="42" spans="1:26" ht="23.25" x14ac:dyDescent="0.65">
      <c r="A42" s="3"/>
      <c r="B42" s="3" t="s">
        <v>64</v>
      </c>
      <c r="C42" s="3"/>
      <c r="D42" s="3"/>
      <c r="E42" s="3"/>
      <c r="F42" s="3"/>
      <c r="G42" s="3" t="s">
        <v>65</v>
      </c>
      <c r="H42" s="3"/>
      <c r="I42" s="3"/>
      <c r="J42" s="3"/>
      <c r="K42" s="3"/>
      <c r="L42" s="3"/>
      <c r="M42" s="3" t="s">
        <v>19</v>
      </c>
      <c r="N42" s="113">
        <v>43</v>
      </c>
      <c r="O42" s="113"/>
      <c r="P42" s="3" t="s">
        <v>53</v>
      </c>
      <c r="Q42" s="3"/>
      <c r="R42" s="3"/>
      <c r="S42" s="3" t="s">
        <v>52</v>
      </c>
      <c r="T42" s="3"/>
      <c r="U42" s="3"/>
      <c r="V42" s="113">
        <v>15</v>
      </c>
      <c r="W42" s="113"/>
      <c r="X42" s="3" t="s">
        <v>53</v>
      </c>
      <c r="Y42" s="3"/>
    </row>
    <row r="43" spans="1:26" ht="23.25" x14ac:dyDescent="0.6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 t="s">
        <v>66</v>
      </c>
      <c r="M43" s="22"/>
      <c r="N43" s="116">
        <f>SUM(N36:N42)</f>
        <v>217</v>
      </c>
      <c r="O43" s="116"/>
      <c r="P43" s="24" t="s">
        <v>53</v>
      </c>
      <c r="Q43" s="22"/>
      <c r="R43" s="22"/>
      <c r="S43" s="116" t="s">
        <v>52</v>
      </c>
      <c r="T43" s="116"/>
      <c r="U43" s="116"/>
      <c r="V43" s="116">
        <f>SUM(V36:W42)</f>
        <v>169</v>
      </c>
      <c r="W43" s="116"/>
      <c r="X43" s="24" t="s">
        <v>53</v>
      </c>
      <c r="Y43" s="23"/>
      <c r="Z43" s="12">
        <f>V43-V19</f>
        <v>125</v>
      </c>
    </row>
    <row r="44" spans="1:26" ht="23.25" x14ac:dyDescent="0.65">
      <c r="A44" s="3" t="s">
        <v>67</v>
      </c>
      <c r="B44" s="25"/>
      <c r="C44" s="25"/>
      <c r="D44" s="25"/>
      <c r="E44" s="25"/>
      <c r="F44" s="2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6" ht="9.9499999999999993" customHeight="1" x14ac:dyDescent="0.6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6" ht="21" x14ac:dyDescent="0.6">
      <c r="A46" s="122" t="s">
        <v>68</v>
      </c>
      <c r="B46" s="123"/>
      <c r="C46" s="123"/>
      <c r="D46" s="123"/>
      <c r="E46" s="124"/>
      <c r="F46" s="122" t="s">
        <v>69</v>
      </c>
      <c r="G46" s="123"/>
      <c r="H46" s="123"/>
      <c r="I46" s="124"/>
      <c r="J46" s="119" t="s">
        <v>70</v>
      </c>
      <c r="K46" s="119"/>
      <c r="L46" s="119"/>
      <c r="M46" s="119"/>
      <c r="N46" s="119"/>
      <c r="O46" s="119"/>
      <c r="P46" s="128" t="s">
        <v>71</v>
      </c>
      <c r="Q46" s="128"/>
      <c r="R46" s="128"/>
      <c r="S46" s="128"/>
      <c r="T46" s="128"/>
      <c r="U46" s="128" t="s">
        <v>72</v>
      </c>
      <c r="V46" s="128"/>
      <c r="W46" s="128"/>
      <c r="X46" s="128"/>
      <c r="Y46" s="128"/>
    </row>
    <row r="47" spans="1:26" ht="19.5" x14ac:dyDescent="0.55000000000000004">
      <c r="A47" s="125"/>
      <c r="B47" s="126"/>
      <c r="C47" s="126"/>
      <c r="D47" s="126"/>
      <c r="E47" s="127"/>
      <c r="F47" s="125"/>
      <c r="G47" s="126"/>
      <c r="H47" s="126"/>
      <c r="I47" s="127"/>
      <c r="J47" s="130" t="s">
        <v>73</v>
      </c>
      <c r="K47" s="130"/>
      <c r="L47" s="130"/>
      <c r="M47" s="130"/>
      <c r="N47" s="130"/>
      <c r="O47" s="130"/>
      <c r="P47" s="129"/>
      <c r="Q47" s="129"/>
      <c r="R47" s="129"/>
      <c r="S47" s="129"/>
      <c r="T47" s="129"/>
      <c r="U47" s="129"/>
      <c r="V47" s="129"/>
      <c r="W47" s="129"/>
      <c r="X47" s="129"/>
      <c r="Y47" s="129"/>
    </row>
    <row r="48" spans="1:26" ht="21" x14ac:dyDescent="0.6">
      <c r="A48" s="117" t="s">
        <v>74</v>
      </c>
      <c r="B48" s="117"/>
      <c r="C48" s="117"/>
      <c r="D48" s="117"/>
      <c r="E48" s="117"/>
      <c r="F48" s="117" t="s">
        <v>75</v>
      </c>
      <c r="G48" s="117"/>
      <c r="H48" s="117"/>
      <c r="I48" s="117"/>
      <c r="J48" s="119" t="s">
        <v>76</v>
      </c>
      <c r="K48" s="119"/>
      <c r="L48" s="119"/>
      <c r="M48" s="119" t="s">
        <v>77</v>
      </c>
      <c r="N48" s="119"/>
      <c r="O48" s="119"/>
      <c r="P48" s="120" t="s">
        <v>78</v>
      </c>
      <c r="Q48" s="117"/>
      <c r="R48" s="117"/>
      <c r="S48" s="117"/>
      <c r="T48" s="117"/>
      <c r="U48" s="117" t="s">
        <v>79</v>
      </c>
      <c r="V48" s="117"/>
      <c r="W48" s="117"/>
      <c r="X48" s="117"/>
      <c r="Y48" s="117"/>
    </row>
    <row r="49" spans="1:37" ht="21" x14ac:dyDescent="0.6">
      <c r="A49" s="118"/>
      <c r="B49" s="118"/>
      <c r="C49" s="118"/>
      <c r="D49" s="118"/>
      <c r="E49" s="118"/>
      <c r="F49" s="118"/>
      <c r="G49" s="118"/>
      <c r="H49" s="118"/>
      <c r="I49" s="118"/>
      <c r="J49" s="121" t="s">
        <v>80</v>
      </c>
      <c r="K49" s="121"/>
      <c r="L49" s="121"/>
      <c r="M49" s="121" t="s">
        <v>81</v>
      </c>
      <c r="N49" s="121"/>
      <c r="O49" s="121"/>
      <c r="P49" s="118"/>
      <c r="Q49" s="118"/>
      <c r="R49" s="118"/>
      <c r="S49" s="118"/>
      <c r="T49" s="118"/>
      <c r="U49" s="118"/>
      <c r="V49" s="118"/>
      <c r="W49" s="118"/>
      <c r="X49" s="118"/>
      <c r="Y49" s="118"/>
    </row>
    <row r="50" spans="1:37" ht="20.100000000000001" customHeight="1" x14ac:dyDescent="0.25">
      <c r="A50" s="140" t="s">
        <v>127</v>
      </c>
      <c r="B50" s="141"/>
      <c r="C50" s="141" t="s">
        <v>129</v>
      </c>
      <c r="D50" s="141"/>
      <c r="E50" s="142"/>
      <c r="F50" s="136" t="s">
        <v>88</v>
      </c>
      <c r="G50" s="136"/>
      <c r="H50" s="136"/>
      <c r="I50" s="136"/>
      <c r="J50" s="137">
        <v>8</v>
      </c>
      <c r="K50" s="137"/>
      <c r="L50" s="137"/>
      <c r="M50" s="138">
        <v>121</v>
      </c>
      <c r="N50" s="138"/>
      <c r="O50" s="138"/>
      <c r="P50" s="139">
        <f>M50*J50</f>
        <v>968</v>
      </c>
      <c r="Q50" s="139"/>
      <c r="R50" s="139"/>
      <c r="S50" s="139"/>
      <c r="T50" s="139"/>
      <c r="U50" s="131">
        <f>M50*($U$28)</f>
        <v>25168</v>
      </c>
      <c r="V50" s="131"/>
      <c r="W50" s="131"/>
      <c r="X50" s="131"/>
      <c r="Y50" s="131"/>
      <c r="Z50" s="44">
        <v>25692</v>
      </c>
      <c r="AA50" s="28">
        <f>Z50-600</f>
        <v>25092</v>
      </c>
      <c r="AB50" s="2">
        <f>AA50/U28</f>
        <v>120.63461538461539</v>
      </c>
      <c r="AC50" s="2">
        <f>600/N29</f>
        <v>15</v>
      </c>
      <c r="AI50" s="26"/>
      <c r="AK50" s="27"/>
    </row>
    <row r="51" spans="1:37" ht="20.100000000000001" customHeight="1" x14ac:dyDescent="0.25">
      <c r="A51" s="140" t="s">
        <v>127</v>
      </c>
      <c r="B51" s="141"/>
      <c r="C51" s="141" t="s">
        <v>132</v>
      </c>
      <c r="D51" s="141"/>
      <c r="E51" s="142"/>
      <c r="F51" s="136" t="s">
        <v>88</v>
      </c>
      <c r="G51" s="136"/>
      <c r="H51" s="136"/>
      <c r="I51" s="136"/>
      <c r="J51" s="137">
        <v>8</v>
      </c>
      <c r="K51" s="137"/>
      <c r="L51" s="137"/>
      <c r="M51" s="138">
        <v>55</v>
      </c>
      <c r="N51" s="138"/>
      <c r="O51" s="138"/>
      <c r="P51" s="139">
        <f>M51*J51</f>
        <v>440</v>
      </c>
      <c r="Q51" s="139"/>
      <c r="R51" s="139"/>
      <c r="S51" s="139"/>
      <c r="T51" s="139"/>
      <c r="U51" s="131">
        <f>M51*($U$28)</f>
        <v>11440</v>
      </c>
      <c r="V51" s="131"/>
      <c r="W51" s="131"/>
      <c r="X51" s="131"/>
      <c r="Y51" s="131"/>
      <c r="Z51" s="44">
        <v>12008</v>
      </c>
      <c r="AA51" s="28">
        <f>Z51-500</f>
        <v>11508</v>
      </c>
      <c r="AB51" s="2">
        <f>AA51/208</f>
        <v>55.32692307692308</v>
      </c>
      <c r="AC51" s="2">
        <f>500/40</f>
        <v>12.5</v>
      </c>
      <c r="AI51" s="26"/>
      <c r="AK51" s="27"/>
    </row>
    <row r="52" spans="1:37" ht="20.100000000000001" customHeight="1" x14ac:dyDescent="0.25">
      <c r="A52" s="140" t="s">
        <v>127</v>
      </c>
      <c r="B52" s="141"/>
      <c r="C52" s="141" t="s">
        <v>133</v>
      </c>
      <c r="D52" s="141"/>
      <c r="E52" s="142"/>
      <c r="F52" s="136" t="s">
        <v>83</v>
      </c>
      <c r="G52" s="136" t="s">
        <v>83</v>
      </c>
      <c r="H52" s="136" t="s">
        <v>83</v>
      </c>
      <c r="I52" s="136" t="s">
        <v>83</v>
      </c>
      <c r="J52" s="137">
        <v>8</v>
      </c>
      <c r="K52" s="137"/>
      <c r="L52" s="137"/>
      <c r="M52" s="138">
        <v>10</v>
      </c>
      <c r="N52" s="138"/>
      <c r="O52" s="138"/>
      <c r="P52" s="139">
        <f t="shared" ref="P52:P61" si="0">M52*J52</f>
        <v>80</v>
      </c>
      <c r="Q52" s="139"/>
      <c r="R52" s="139"/>
      <c r="S52" s="139"/>
      <c r="T52" s="139"/>
      <c r="U52" s="131">
        <f>M52*($U$28)</f>
        <v>2080</v>
      </c>
      <c r="V52" s="131"/>
      <c r="W52" s="131"/>
      <c r="X52" s="131"/>
      <c r="Y52" s="131"/>
      <c r="Z52" s="44">
        <v>2004</v>
      </c>
      <c r="AA52" s="2">
        <f>Z52/208</f>
        <v>9.634615384615385</v>
      </c>
      <c r="AI52" s="26"/>
      <c r="AK52" s="27"/>
    </row>
    <row r="53" spans="1:37" ht="20.100000000000001" customHeight="1" x14ac:dyDescent="0.25">
      <c r="A53" s="140" t="s">
        <v>127</v>
      </c>
      <c r="B53" s="141"/>
      <c r="C53" s="141" t="s">
        <v>132</v>
      </c>
      <c r="D53" s="141"/>
      <c r="E53" s="142"/>
      <c r="F53" s="136" t="s">
        <v>83</v>
      </c>
      <c r="G53" s="136" t="s">
        <v>83</v>
      </c>
      <c r="H53" s="136" t="s">
        <v>83</v>
      </c>
      <c r="I53" s="136" t="s">
        <v>83</v>
      </c>
      <c r="J53" s="137">
        <v>8</v>
      </c>
      <c r="K53" s="137"/>
      <c r="L53" s="137"/>
      <c r="M53" s="138">
        <v>232</v>
      </c>
      <c r="N53" s="138"/>
      <c r="O53" s="138"/>
      <c r="P53" s="139">
        <f t="shared" si="0"/>
        <v>1856</v>
      </c>
      <c r="Q53" s="139"/>
      <c r="R53" s="139"/>
      <c r="S53" s="139"/>
      <c r="T53" s="139"/>
      <c r="U53" s="131">
        <f t="shared" ref="U53" si="1">M53*($U$28)</f>
        <v>48256</v>
      </c>
      <c r="V53" s="131"/>
      <c r="W53" s="131"/>
      <c r="X53" s="131"/>
      <c r="Y53" s="131"/>
      <c r="Z53" s="44">
        <v>48323</v>
      </c>
      <c r="AA53" s="2">
        <f>Z53/208</f>
        <v>232.32211538461539</v>
      </c>
      <c r="AI53" s="26"/>
      <c r="AK53" s="27"/>
    </row>
    <row r="54" spans="1:37" ht="20.100000000000001" customHeight="1" x14ac:dyDescent="0.25">
      <c r="A54" s="140" t="s">
        <v>127</v>
      </c>
      <c r="B54" s="141"/>
      <c r="C54" s="141" t="s">
        <v>129</v>
      </c>
      <c r="D54" s="141"/>
      <c r="E54" s="142"/>
      <c r="F54" s="136" t="s">
        <v>88</v>
      </c>
      <c r="G54" s="136"/>
      <c r="H54" s="136"/>
      <c r="I54" s="136"/>
      <c r="J54" s="137">
        <v>2</v>
      </c>
      <c r="K54" s="137"/>
      <c r="L54" s="137"/>
      <c r="M54" s="138">
        <v>15</v>
      </c>
      <c r="N54" s="138">
        <v>4</v>
      </c>
      <c r="O54" s="138">
        <v>4</v>
      </c>
      <c r="P54" s="139">
        <f t="shared" si="0"/>
        <v>30</v>
      </c>
      <c r="Q54" s="139"/>
      <c r="R54" s="139"/>
      <c r="S54" s="139"/>
      <c r="T54" s="139"/>
      <c r="U54" s="145">
        <f>M54*($N$29)</f>
        <v>600</v>
      </c>
      <c r="V54" s="145"/>
      <c r="W54" s="145"/>
      <c r="X54" s="145"/>
      <c r="Y54" s="145"/>
      <c r="AA54" s="28"/>
    </row>
    <row r="55" spans="1:37" ht="20.100000000000001" customHeight="1" x14ac:dyDescent="0.25">
      <c r="A55" s="140" t="s">
        <v>127</v>
      </c>
      <c r="B55" s="141"/>
      <c r="C55" s="141" t="s">
        <v>132</v>
      </c>
      <c r="D55" s="141"/>
      <c r="E55" s="142"/>
      <c r="F55" s="136" t="s">
        <v>83</v>
      </c>
      <c r="G55" s="136" t="s">
        <v>83</v>
      </c>
      <c r="H55" s="136" t="s">
        <v>83</v>
      </c>
      <c r="I55" s="136" t="s">
        <v>83</v>
      </c>
      <c r="J55" s="137">
        <v>2</v>
      </c>
      <c r="K55" s="137"/>
      <c r="L55" s="137"/>
      <c r="M55" s="138">
        <v>13</v>
      </c>
      <c r="N55" s="138"/>
      <c r="O55" s="138"/>
      <c r="P55" s="139">
        <f t="shared" si="0"/>
        <v>26</v>
      </c>
      <c r="Q55" s="139"/>
      <c r="R55" s="139"/>
      <c r="S55" s="139"/>
      <c r="T55" s="139"/>
      <c r="U55" s="131">
        <f t="shared" ref="U55:U61" si="2">M55*($N$29)</f>
        <v>520</v>
      </c>
      <c r="V55" s="131"/>
      <c r="W55" s="131"/>
      <c r="X55" s="131"/>
      <c r="Y55" s="131"/>
      <c r="Z55" s="28">
        <f>SUM(Z50:Z53)</f>
        <v>88027</v>
      </c>
      <c r="AA55" s="28"/>
    </row>
    <row r="56" spans="1:37" ht="20.100000000000001" hidden="1" customHeight="1" x14ac:dyDescent="0.25">
      <c r="A56" s="140" t="s">
        <v>82</v>
      </c>
      <c r="B56" s="141" t="s">
        <v>82</v>
      </c>
      <c r="C56" s="141" t="s">
        <v>89</v>
      </c>
      <c r="D56" s="141"/>
      <c r="E56" s="142"/>
      <c r="F56" s="143" t="s">
        <v>83</v>
      </c>
      <c r="G56" s="143" t="s">
        <v>83</v>
      </c>
      <c r="H56" s="143" t="s">
        <v>83</v>
      </c>
      <c r="I56" s="143" t="s">
        <v>83</v>
      </c>
      <c r="J56" s="137">
        <v>2</v>
      </c>
      <c r="K56" s="137"/>
      <c r="L56" s="137"/>
      <c r="M56" s="138">
        <v>19</v>
      </c>
      <c r="N56" s="138">
        <v>4</v>
      </c>
      <c r="O56" s="138">
        <v>4</v>
      </c>
      <c r="P56" s="139">
        <f t="shared" si="0"/>
        <v>38</v>
      </c>
      <c r="Q56" s="139"/>
      <c r="R56" s="139"/>
      <c r="S56" s="139"/>
      <c r="T56" s="139"/>
      <c r="U56" s="145">
        <f t="shared" si="2"/>
        <v>760</v>
      </c>
      <c r="V56" s="145"/>
      <c r="W56" s="145"/>
      <c r="X56" s="145"/>
      <c r="Y56" s="145"/>
      <c r="AA56" s="28"/>
    </row>
    <row r="57" spans="1:37" ht="20.100000000000001" hidden="1" customHeight="1" x14ac:dyDescent="0.25">
      <c r="A57" s="140" t="s">
        <v>82</v>
      </c>
      <c r="B57" s="141" t="s">
        <v>82</v>
      </c>
      <c r="C57" s="141" t="s">
        <v>91</v>
      </c>
      <c r="D57" s="141"/>
      <c r="E57" s="142"/>
      <c r="F57" s="143" t="s">
        <v>88</v>
      </c>
      <c r="G57" s="143"/>
      <c r="H57" s="143"/>
      <c r="I57" s="143"/>
      <c r="J57" s="137">
        <v>2</v>
      </c>
      <c r="K57" s="137"/>
      <c r="L57" s="137"/>
      <c r="M57" s="138">
        <v>4</v>
      </c>
      <c r="N57" s="138"/>
      <c r="O57" s="138"/>
      <c r="P57" s="139">
        <f t="shared" si="0"/>
        <v>8</v>
      </c>
      <c r="Q57" s="139"/>
      <c r="R57" s="139"/>
      <c r="S57" s="139"/>
      <c r="T57" s="139"/>
      <c r="U57" s="145">
        <f>M57*($N$29)</f>
        <v>160</v>
      </c>
      <c r="V57" s="145"/>
      <c r="W57" s="145"/>
      <c r="X57" s="145"/>
      <c r="Y57" s="145"/>
      <c r="AA57" s="28"/>
    </row>
    <row r="58" spans="1:37" ht="20.100000000000001" hidden="1" customHeight="1" x14ac:dyDescent="0.25">
      <c r="A58" s="140" t="s">
        <v>87</v>
      </c>
      <c r="B58" s="141"/>
      <c r="C58" s="141" t="s">
        <v>89</v>
      </c>
      <c r="D58" s="141"/>
      <c r="E58" s="142"/>
      <c r="F58" s="143" t="s">
        <v>88</v>
      </c>
      <c r="G58" s="143"/>
      <c r="H58" s="143"/>
      <c r="I58" s="143"/>
      <c r="J58" s="137">
        <v>2</v>
      </c>
      <c r="K58" s="137"/>
      <c r="L58" s="137"/>
      <c r="M58" s="138">
        <v>2</v>
      </c>
      <c r="N58" s="138"/>
      <c r="O58" s="138"/>
      <c r="P58" s="139">
        <f t="shared" si="0"/>
        <v>4</v>
      </c>
      <c r="Q58" s="139"/>
      <c r="R58" s="139"/>
      <c r="S58" s="139"/>
      <c r="T58" s="139"/>
      <c r="U58" s="145">
        <f t="shared" ref="U58:U60" si="3">M58*($N$29)</f>
        <v>80</v>
      </c>
      <c r="V58" s="145"/>
      <c r="W58" s="145"/>
      <c r="X58" s="145"/>
      <c r="Y58" s="145"/>
      <c r="AA58" s="28"/>
    </row>
    <row r="59" spans="1:37" ht="20.100000000000001" hidden="1" customHeight="1" x14ac:dyDescent="0.25">
      <c r="A59" s="140" t="s">
        <v>87</v>
      </c>
      <c r="B59" s="141"/>
      <c r="C59" s="141" t="s">
        <v>86</v>
      </c>
      <c r="D59" s="141"/>
      <c r="E59" s="142"/>
      <c r="F59" s="143" t="s">
        <v>88</v>
      </c>
      <c r="G59" s="143"/>
      <c r="H59" s="143"/>
      <c r="I59" s="143"/>
      <c r="J59" s="137">
        <v>2</v>
      </c>
      <c r="K59" s="137"/>
      <c r="L59" s="137"/>
      <c r="M59" s="138">
        <v>4</v>
      </c>
      <c r="N59" s="138"/>
      <c r="O59" s="138"/>
      <c r="P59" s="139">
        <f t="shared" si="0"/>
        <v>8</v>
      </c>
      <c r="Q59" s="139"/>
      <c r="R59" s="139"/>
      <c r="S59" s="139"/>
      <c r="T59" s="139"/>
      <c r="U59" s="145">
        <f t="shared" si="3"/>
        <v>160</v>
      </c>
      <c r="V59" s="145"/>
      <c r="W59" s="145"/>
      <c r="X59" s="145"/>
      <c r="Y59" s="145"/>
      <c r="AA59" s="28"/>
    </row>
    <row r="60" spans="1:37" ht="20.100000000000001" hidden="1" customHeight="1" x14ac:dyDescent="0.25">
      <c r="A60" s="140" t="s">
        <v>92</v>
      </c>
      <c r="B60" s="141"/>
      <c r="C60" s="141" t="s">
        <v>93</v>
      </c>
      <c r="D60" s="141"/>
      <c r="E60" s="142"/>
      <c r="F60" s="143" t="s">
        <v>83</v>
      </c>
      <c r="G60" s="143"/>
      <c r="H60" s="143"/>
      <c r="I60" s="143"/>
      <c r="J60" s="137">
        <v>2</v>
      </c>
      <c r="K60" s="137"/>
      <c r="L60" s="137"/>
      <c r="M60" s="138">
        <v>5</v>
      </c>
      <c r="N60" s="138"/>
      <c r="O60" s="138"/>
      <c r="P60" s="139">
        <f t="shared" si="0"/>
        <v>10</v>
      </c>
      <c r="Q60" s="139"/>
      <c r="R60" s="139"/>
      <c r="S60" s="139"/>
      <c r="T60" s="139"/>
      <c r="U60" s="145">
        <f t="shared" si="3"/>
        <v>200</v>
      </c>
      <c r="V60" s="145"/>
      <c r="W60" s="145"/>
      <c r="X60" s="145"/>
      <c r="Y60" s="145"/>
      <c r="AA60" s="28"/>
    </row>
    <row r="61" spans="1:37" ht="8.4499999999999993" hidden="1" customHeight="1" x14ac:dyDescent="0.25">
      <c r="A61" s="140" t="s">
        <v>92</v>
      </c>
      <c r="B61" s="141"/>
      <c r="C61" s="141" t="s">
        <v>94</v>
      </c>
      <c r="D61" s="141"/>
      <c r="E61" s="142"/>
      <c r="F61" s="150" t="s">
        <v>88</v>
      </c>
      <c r="G61" s="151"/>
      <c r="H61" s="151"/>
      <c r="I61" s="135"/>
      <c r="J61" s="152">
        <v>2</v>
      </c>
      <c r="K61" s="153"/>
      <c r="L61" s="154"/>
      <c r="M61" s="155">
        <v>5</v>
      </c>
      <c r="N61" s="156"/>
      <c r="O61" s="157"/>
      <c r="P61" s="158">
        <f t="shared" si="0"/>
        <v>10</v>
      </c>
      <c r="Q61" s="159"/>
      <c r="R61" s="159"/>
      <c r="S61" s="159"/>
      <c r="T61" s="160"/>
      <c r="U61" s="146">
        <f t="shared" si="2"/>
        <v>200</v>
      </c>
      <c r="V61" s="147"/>
      <c r="W61" s="147"/>
      <c r="X61" s="147"/>
      <c r="Y61" s="148"/>
      <c r="AA61" s="28"/>
    </row>
    <row r="62" spans="1:37" ht="23.25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30"/>
      <c r="K62" s="30"/>
      <c r="L62" s="30"/>
      <c r="M62" s="31"/>
      <c r="N62" s="31"/>
      <c r="O62" s="31"/>
      <c r="P62" s="32"/>
      <c r="Q62" s="32"/>
      <c r="R62" s="32"/>
      <c r="S62" s="32"/>
      <c r="T62" s="32"/>
      <c r="U62" s="32"/>
      <c r="V62" s="32"/>
      <c r="W62" s="32"/>
      <c r="X62" s="32"/>
      <c r="Y62" s="32"/>
      <c r="AA62" s="27"/>
      <c r="AF62"/>
      <c r="AG62"/>
      <c r="AH62"/>
    </row>
    <row r="63" spans="1:37" s="3" customFormat="1" ht="23.25" x14ac:dyDescent="0.65">
      <c r="A63" s="3" t="s">
        <v>95</v>
      </c>
    </row>
    <row r="64" spans="1:37" ht="21" x14ac:dyDescent="0.6">
      <c r="A64" s="122" t="s">
        <v>68</v>
      </c>
      <c r="B64" s="123"/>
      <c r="C64" s="123"/>
      <c r="D64" s="123"/>
      <c r="E64" s="124"/>
      <c r="F64" s="122" t="s">
        <v>69</v>
      </c>
      <c r="G64" s="123"/>
      <c r="H64" s="123"/>
      <c r="I64" s="124"/>
      <c r="J64" s="119" t="s">
        <v>96</v>
      </c>
      <c r="K64" s="119"/>
      <c r="L64" s="119"/>
      <c r="M64" s="119"/>
      <c r="N64" s="119"/>
      <c r="O64" s="119"/>
      <c r="P64" s="122" t="s">
        <v>66</v>
      </c>
      <c r="Q64" s="123"/>
      <c r="R64" s="123"/>
      <c r="S64" s="123"/>
      <c r="T64" s="124"/>
      <c r="U64" s="122" t="s">
        <v>97</v>
      </c>
      <c r="V64" s="123"/>
      <c r="W64" s="123"/>
      <c r="X64" s="123"/>
      <c r="Y64" s="124"/>
      <c r="Z64" s="28">
        <f>SUM(U50:Y55)</f>
        <v>88064</v>
      </c>
      <c r="AF64"/>
      <c r="AG64"/>
      <c r="AH64"/>
    </row>
    <row r="65" spans="1:34" ht="21" x14ac:dyDescent="0.6">
      <c r="A65" s="125"/>
      <c r="B65" s="126"/>
      <c r="C65" s="126"/>
      <c r="D65" s="126"/>
      <c r="E65" s="127"/>
      <c r="F65" s="125"/>
      <c r="G65" s="126"/>
      <c r="H65" s="126"/>
      <c r="I65" s="127"/>
      <c r="J65" s="149" t="s">
        <v>98</v>
      </c>
      <c r="K65" s="149"/>
      <c r="L65" s="149"/>
      <c r="M65" s="149"/>
      <c r="N65" s="149"/>
      <c r="O65" s="149"/>
      <c r="P65" s="125"/>
      <c r="Q65" s="126"/>
      <c r="R65" s="126"/>
      <c r="S65" s="126"/>
      <c r="T65" s="127"/>
      <c r="U65" s="125"/>
      <c r="V65" s="126"/>
      <c r="W65" s="126"/>
      <c r="X65" s="126"/>
      <c r="Y65" s="127"/>
      <c r="AF65"/>
      <c r="AG65"/>
      <c r="AH65"/>
    </row>
    <row r="66" spans="1:34" ht="19.5" customHeight="1" x14ac:dyDescent="0.25">
      <c r="A66" s="117" t="s">
        <v>74</v>
      </c>
      <c r="B66" s="117"/>
      <c r="C66" s="117"/>
      <c r="D66" s="117"/>
      <c r="E66" s="117"/>
      <c r="F66" s="117" t="s">
        <v>75</v>
      </c>
      <c r="G66" s="117"/>
      <c r="H66" s="117"/>
      <c r="I66" s="117"/>
      <c r="J66" s="122" t="s">
        <v>99</v>
      </c>
      <c r="K66" s="123"/>
      <c r="L66" s="123"/>
      <c r="M66" s="122" t="s">
        <v>100</v>
      </c>
      <c r="N66" s="123"/>
      <c r="O66" s="123"/>
      <c r="P66" s="117" t="s">
        <v>101</v>
      </c>
      <c r="Q66" s="117"/>
      <c r="R66" s="117"/>
      <c r="S66" s="117"/>
      <c r="T66" s="117"/>
      <c r="U66" s="117" t="s">
        <v>102</v>
      </c>
      <c r="V66" s="117"/>
      <c r="W66" s="117"/>
      <c r="X66" s="117"/>
      <c r="Y66" s="117"/>
      <c r="AF66"/>
      <c r="AG66"/>
      <c r="AH66"/>
    </row>
    <row r="67" spans="1:34" ht="21" x14ac:dyDescent="0.6">
      <c r="A67" s="118"/>
      <c r="B67" s="118"/>
      <c r="C67" s="118"/>
      <c r="D67" s="118"/>
      <c r="E67" s="118"/>
      <c r="F67" s="118"/>
      <c r="G67" s="118"/>
      <c r="H67" s="118"/>
      <c r="I67" s="118"/>
      <c r="J67" s="121" t="s">
        <v>103</v>
      </c>
      <c r="K67" s="121"/>
      <c r="L67" s="121"/>
      <c r="M67" s="121" t="s">
        <v>104</v>
      </c>
      <c r="N67" s="121"/>
      <c r="O67" s="121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AF67"/>
      <c r="AG67"/>
      <c r="AH67"/>
    </row>
    <row r="68" spans="1:34" ht="20.100000000000001" customHeight="1" x14ac:dyDescent="0.25">
      <c r="A68" s="150" t="str">
        <f t="shared" ref="A68:A79" si="4">A50</f>
        <v>LADIES</v>
      </c>
      <c r="B68" s="151" t="s">
        <v>82</v>
      </c>
      <c r="C68" s="151" t="str">
        <f t="shared" ref="C68:C79" si="5">C50</f>
        <v>PAJAMAS</v>
      </c>
      <c r="D68" s="151" t="s">
        <v>90</v>
      </c>
      <c r="E68" s="135" t="s">
        <v>90</v>
      </c>
      <c r="F68" s="136" t="str">
        <f t="shared" ref="F68:F79" si="6">F50</f>
        <v xml:space="preserve">KNITTED </v>
      </c>
      <c r="G68" s="136"/>
      <c r="H68" s="136"/>
      <c r="I68" s="136"/>
      <c r="J68" s="158">
        <f>M68*12</f>
        <v>3.5999999999999996</v>
      </c>
      <c r="K68" s="159"/>
      <c r="L68" s="160"/>
      <c r="M68" s="165">
        <v>0.3</v>
      </c>
      <c r="N68" s="165"/>
      <c r="O68" s="165"/>
      <c r="P68" s="131">
        <f t="shared" ref="P68:P87" si="7">U50</f>
        <v>25168</v>
      </c>
      <c r="Q68" s="131"/>
      <c r="R68" s="131"/>
      <c r="S68" s="131"/>
      <c r="T68" s="131"/>
      <c r="U68" s="161">
        <f>P68*M68</f>
        <v>7550.4</v>
      </c>
      <c r="V68" s="161"/>
      <c r="W68" s="161"/>
      <c r="X68" s="161"/>
      <c r="Y68" s="161"/>
      <c r="AF68"/>
      <c r="AG68"/>
      <c r="AH68"/>
    </row>
    <row r="69" spans="1:34" ht="20.100000000000001" customHeight="1" x14ac:dyDescent="0.25">
      <c r="A69" s="150" t="str">
        <f t="shared" si="4"/>
        <v>LADIES</v>
      </c>
      <c r="B69" s="151" t="s">
        <v>82</v>
      </c>
      <c r="C69" s="151" t="str">
        <f t="shared" si="5"/>
        <v>PANTS</v>
      </c>
      <c r="D69" s="151" t="s">
        <v>90</v>
      </c>
      <c r="E69" s="135" t="s">
        <v>90</v>
      </c>
      <c r="F69" s="136" t="str">
        <f t="shared" si="6"/>
        <v xml:space="preserve">KNITTED </v>
      </c>
      <c r="G69" s="136"/>
      <c r="H69" s="136"/>
      <c r="I69" s="136"/>
      <c r="J69" s="139">
        <f>M69*12</f>
        <v>6</v>
      </c>
      <c r="K69" s="139"/>
      <c r="L69" s="139"/>
      <c r="M69" s="162">
        <v>0.5</v>
      </c>
      <c r="N69" s="163"/>
      <c r="O69" s="164"/>
      <c r="P69" s="131">
        <f t="shared" si="7"/>
        <v>11440</v>
      </c>
      <c r="Q69" s="131"/>
      <c r="R69" s="131"/>
      <c r="S69" s="131"/>
      <c r="T69" s="131"/>
      <c r="U69" s="161">
        <f>P69*M69</f>
        <v>5720</v>
      </c>
      <c r="V69" s="161"/>
      <c r="W69" s="161"/>
      <c r="X69" s="161"/>
      <c r="Y69" s="161"/>
    </row>
    <row r="70" spans="1:34" ht="20.100000000000001" customHeight="1" x14ac:dyDescent="0.25">
      <c r="A70" s="150" t="str">
        <f t="shared" si="4"/>
        <v>LADIES</v>
      </c>
      <c r="B70" s="151" t="s">
        <v>82</v>
      </c>
      <c r="C70" s="151" t="str">
        <f t="shared" si="5"/>
        <v>NIGHT GOWN</v>
      </c>
      <c r="D70" s="151" t="s">
        <v>90</v>
      </c>
      <c r="E70" s="135" t="s">
        <v>90</v>
      </c>
      <c r="F70" s="136" t="str">
        <f t="shared" si="6"/>
        <v>WOVEN</v>
      </c>
      <c r="G70" s="136"/>
      <c r="H70" s="136"/>
      <c r="I70" s="136"/>
      <c r="J70" s="139">
        <f t="shared" ref="J70:J71" si="8">M70*12</f>
        <v>1.56</v>
      </c>
      <c r="K70" s="139"/>
      <c r="L70" s="139"/>
      <c r="M70" s="162">
        <v>0.13</v>
      </c>
      <c r="N70" s="163"/>
      <c r="O70" s="164"/>
      <c r="P70" s="131">
        <f t="shared" si="7"/>
        <v>2080</v>
      </c>
      <c r="Q70" s="131"/>
      <c r="R70" s="131"/>
      <c r="S70" s="131"/>
      <c r="T70" s="131"/>
      <c r="U70" s="161">
        <f t="shared" ref="U70:U87" si="9">P70*M70</f>
        <v>270.40000000000003</v>
      </c>
      <c r="V70" s="161"/>
      <c r="W70" s="161"/>
      <c r="X70" s="161"/>
      <c r="Y70" s="161"/>
    </row>
    <row r="71" spans="1:34" ht="20.100000000000001" customHeight="1" x14ac:dyDescent="0.25">
      <c r="A71" s="150" t="str">
        <f t="shared" si="4"/>
        <v>LADIES</v>
      </c>
      <c r="B71" s="151" t="s">
        <v>82</v>
      </c>
      <c r="C71" s="151" t="str">
        <f t="shared" si="5"/>
        <v>PANTS</v>
      </c>
      <c r="D71" s="151" t="s">
        <v>90</v>
      </c>
      <c r="E71" s="135" t="s">
        <v>90</v>
      </c>
      <c r="F71" s="136" t="str">
        <f t="shared" si="6"/>
        <v>WOVEN</v>
      </c>
      <c r="G71" s="136"/>
      <c r="H71" s="136"/>
      <c r="I71" s="136"/>
      <c r="J71" s="139">
        <f t="shared" si="8"/>
        <v>4.8000000000000007</v>
      </c>
      <c r="K71" s="139"/>
      <c r="L71" s="139"/>
      <c r="M71" s="162">
        <v>0.4</v>
      </c>
      <c r="N71" s="163"/>
      <c r="O71" s="164"/>
      <c r="P71" s="131">
        <f t="shared" si="7"/>
        <v>48256</v>
      </c>
      <c r="Q71" s="131"/>
      <c r="R71" s="131"/>
      <c r="S71" s="131"/>
      <c r="T71" s="131"/>
      <c r="U71" s="161">
        <f t="shared" si="9"/>
        <v>19302.400000000001</v>
      </c>
      <c r="V71" s="161"/>
      <c r="W71" s="161"/>
      <c r="X71" s="161"/>
      <c r="Y71" s="161"/>
      <c r="AB71" s="33"/>
    </row>
    <row r="72" spans="1:34" ht="20.100000000000001" customHeight="1" x14ac:dyDescent="0.25">
      <c r="A72" s="150" t="str">
        <f t="shared" si="4"/>
        <v>LADIES</v>
      </c>
      <c r="B72" s="151" t="s">
        <v>82</v>
      </c>
      <c r="C72" s="151" t="str">
        <f t="shared" si="5"/>
        <v>PAJAMAS</v>
      </c>
      <c r="D72" s="151" t="s">
        <v>90</v>
      </c>
      <c r="E72" s="135" t="s">
        <v>90</v>
      </c>
      <c r="F72" s="136" t="str">
        <f t="shared" si="6"/>
        <v xml:space="preserve">KNITTED </v>
      </c>
      <c r="G72" s="136"/>
      <c r="H72" s="136"/>
      <c r="I72" s="136"/>
      <c r="J72" s="139">
        <f>M72*12</f>
        <v>11.626285714285713</v>
      </c>
      <c r="K72" s="139"/>
      <c r="L72" s="139"/>
      <c r="M72" s="165">
        <v>0.96885714285714275</v>
      </c>
      <c r="N72" s="165"/>
      <c r="O72" s="165"/>
      <c r="P72" s="131">
        <f t="shared" si="7"/>
        <v>600</v>
      </c>
      <c r="Q72" s="131"/>
      <c r="R72" s="131"/>
      <c r="S72" s="131"/>
      <c r="T72" s="131"/>
      <c r="U72" s="161">
        <f t="shared" si="9"/>
        <v>581.31428571428569</v>
      </c>
      <c r="V72" s="161"/>
      <c r="W72" s="161"/>
      <c r="X72" s="161"/>
      <c r="Y72" s="161"/>
    </row>
    <row r="73" spans="1:34" ht="20.100000000000001" customHeight="1" x14ac:dyDescent="0.25">
      <c r="A73" s="150" t="str">
        <f t="shared" si="4"/>
        <v>LADIES</v>
      </c>
      <c r="B73" s="151" t="s">
        <v>82</v>
      </c>
      <c r="C73" s="151" t="str">
        <f t="shared" si="5"/>
        <v>PANTS</v>
      </c>
      <c r="D73" s="151" t="s">
        <v>90</v>
      </c>
      <c r="E73" s="135" t="s">
        <v>90</v>
      </c>
      <c r="F73" s="136" t="str">
        <f t="shared" si="6"/>
        <v>WOVEN</v>
      </c>
      <c r="G73" s="136"/>
      <c r="H73" s="136"/>
      <c r="I73" s="136"/>
      <c r="J73" s="139">
        <f t="shared" ref="J73:J79" si="10">M73*12</f>
        <v>8.5215189873417714</v>
      </c>
      <c r="K73" s="139"/>
      <c r="L73" s="139"/>
      <c r="M73" s="165">
        <v>0.71012658227848091</v>
      </c>
      <c r="N73" s="165"/>
      <c r="O73" s="165"/>
      <c r="P73" s="131">
        <f t="shared" si="7"/>
        <v>520</v>
      </c>
      <c r="Q73" s="131"/>
      <c r="R73" s="131"/>
      <c r="S73" s="131"/>
      <c r="T73" s="131"/>
      <c r="U73" s="161">
        <f t="shared" si="9"/>
        <v>369.2658227848101</v>
      </c>
      <c r="V73" s="161"/>
      <c r="W73" s="161"/>
      <c r="X73" s="161"/>
      <c r="Y73" s="161"/>
    </row>
    <row r="74" spans="1:34" ht="20.100000000000001" hidden="1" customHeight="1" x14ac:dyDescent="0.25">
      <c r="A74" s="150" t="str">
        <f t="shared" si="4"/>
        <v>MEN</v>
      </c>
      <c r="B74" s="151" t="s">
        <v>82</v>
      </c>
      <c r="C74" s="151" t="str">
        <f t="shared" si="5"/>
        <v>JECKET</v>
      </c>
      <c r="D74" s="151" t="s">
        <v>90</v>
      </c>
      <c r="E74" s="135" t="s">
        <v>90</v>
      </c>
      <c r="F74" s="136" t="str">
        <f t="shared" si="6"/>
        <v>WOVEN</v>
      </c>
      <c r="G74" s="136"/>
      <c r="H74" s="136"/>
      <c r="I74" s="136"/>
      <c r="J74" s="139">
        <f t="shared" si="10"/>
        <v>6.8461538461538458</v>
      </c>
      <c r="K74" s="139"/>
      <c r="L74" s="139"/>
      <c r="M74" s="165">
        <v>0.57051282051282048</v>
      </c>
      <c r="N74" s="165"/>
      <c r="O74" s="165"/>
      <c r="P74" s="131">
        <f t="shared" si="7"/>
        <v>760</v>
      </c>
      <c r="Q74" s="131"/>
      <c r="R74" s="131"/>
      <c r="S74" s="131"/>
      <c r="T74" s="131"/>
      <c r="U74" s="161">
        <f t="shared" si="9"/>
        <v>433.58974358974359</v>
      </c>
      <c r="V74" s="161"/>
      <c r="W74" s="161"/>
      <c r="X74" s="161"/>
      <c r="Y74" s="161"/>
    </row>
    <row r="75" spans="1:34" ht="20.100000000000001" hidden="1" customHeight="1" x14ac:dyDescent="0.25">
      <c r="A75" s="150" t="str">
        <f t="shared" si="4"/>
        <v>MEN</v>
      </c>
      <c r="B75" s="151" t="s">
        <v>82</v>
      </c>
      <c r="C75" s="151" t="str">
        <f t="shared" si="5"/>
        <v>SWEATER</v>
      </c>
      <c r="D75" s="151" t="s">
        <v>90</v>
      </c>
      <c r="E75" s="135" t="s">
        <v>90</v>
      </c>
      <c r="F75" s="136" t="str">
        <f t="shared" si="6"/>
        <v xml:space="preserve">KNITTED </v>
      </c>
      <c r="G75" s="136"/>
      <c r="H75" s="136"/>
      <c r="I75" s="136"/>
      <c r="J75" s="139">
        <f t="shared" si="10"/>
        <v>8.8508571428571443</v>
      </c>
      <c r="K75" s="139"/>
      <c r="L75" s="139"/>
      <c r="M75" s="165">
        <v>0.73757142857142866</v>
      </c>
      <c r="N75" s="165"/>
      <c r="O75" s="165"/>
      <c r="P75" s="131">
        <f t="shared" si="7"/>
        <v>160</v>
      </c>
      <c r="Q75" s="131"/>
      <c r="R75" s="131"/>
      <c r="S75" s="131"/>
      <c r="T75" s="131"/>
      <c r="U75" s="161">
        <f t="shared" si="9"/>
        <v>118.01142857142858</v>
      </c>
      <c r="V75" s="161"/>
      <c r="W75" s="161"/>
      <c r="X75" s="161"/>
      <c r="Y75" s="161"/>
    </row>
    <row r="76" spans="1:34" ht="20.100000000000001" hidden="1" customHeight="1" x14ac:dyDescent="0.25">
      <c r="A76" s="150" t="str">
        <f t="shared" si="4"/>
        <v>WOMEN</v>
      </c>
      <c r="B76" s="151" t="s">
        <v>82</v>
      </c>
      <c r="C76" s="151" t="str">
        <f t="shared" si="5"/>
        <v>JECKET</v>
      </c>
      <c r="D76" s="151" t="s">
        <v>90</v>
      </c>
      <c r="E76" s="135" t="s">
        <v>90</v>
      </c>
      <c r="F76" s="136" t="str">
        <f t="shared" si="6"/>
        <v xml:space="preserve">KNITTED </v>
      </c>
      <c r="G76" s="136"/>
      <c r="H76" s="136"/>
      <c r="I76" s="136"/>
      <c r="J76" s="139">
        <f t="shared" si="10"/>
        <v>9.1687500000000011</v>
      </c>
      <c r="K76" s="139"/>
      <c r="L76" s="139"/>
      <c r="M76" s="165">
        <v>0.76406250000000009</v>
      </c>
      <c r="N76" s="165"/>
      <c r="O76" s="165"/>
      <c r="P76" s="131">
        <f t="shared" si="7"/>
        <v>80</v>
      </c>
      <c r="Q76" s="131"/>
      <c r="R76" s="131"/>
      <c r="S76" s="131"/>
      <c r="T76" s="131"/>
      <c r="U76" s="161">
        <f t="shared" si="9"/>
        <v>61.125000000000007</v>
      </c>
      <c r="V76" s="161"/>
      <c r="W76" s="161"/>
      <c r="X76" s="161"/>
      <c r="Y76" s="161"/>
    </row>
    <row r="77" spans="1:34" ht="20.100000000000001" hidden="1" customHeight="1" x14ac:dyDescent="0.25">
      <c r="A77" s="150" t="str">
        <f t="shared" si="4"/>
        <v>WOMEN</v>
      </c>
      <c r="B77" s="151" t="s">
        <v>82</v>
      </c>
      <c r="C77" s="151" t="str">
        <f t="shared" si="5"/>
        <v xml:space="preserve">SHIRT </v>
      </c>
      <c r="D77" s="151" t="s">
        <v>90</v>
      </c>
      <c r="E77" s="135" t="s">
        <v>90</v>
      </c>
      <c r="F77" s="136" t="str">
        <f t="shared" si="6"/>
        <v xml:space="preserve">KNITTED </v>
      </c>
      <c r="G77" s="136"/>
      <c r="H77" s="136"/>
      <c r="I77" s="136"/>
      <c r="J77" s="139">
        <f t="shared" si="10"/>
        <v>6.6782608695652179</v>
      </c>
      <c r="K77" s="139"/>
      <c r="L77" s="139"/>
      <c r="M77" s="165">
        <v>0.55652173913043479</v>
      </c>
      <c r="N77" s="165"/>
      <c r="O77" s="165"/>
      <c r="P77" s="131">
        <f t="shared" si="7"/>
        <v>160</v>
      </c>
      <c r="Q77" s="131"/>
      <c r="R77" s="131"/>
      <c r="S77" s="131"/>
      <c r="T77" s="131"/>
      <c r="U77" s="161">
        <f t="shared" si="9"/>
        <v>89.043478260869563</v>
      </c>
      <c r="V77" s="161"/>
      <c r="W77" s="161"/>
      <c r="X77" s="161"/>
      <c r="Y77" s="161"/>
    </row>
    <row r="78" spans="1:34" ht="20.100000000000001" hidden="1" customHeight="1" x14ac:dyDescent="0.25">
      <c r="A78" s="150" t="str">
        <f t="shared" si="4"/>
        <v>UNISEX</v>
      </c>
      <c r="B78" s="151" t="s">
        <v>82</v>
      </c>
      <c r="C78" s="151" t="str">
        <f t="shared" si="5"/>
        <v>VEST</v>
      </c>
      <c r="D78" s="151" t="s">
        <v>90</v>
      </c>
      <c r="E78" s="135" t="s">
        <v>90</v>
      </c>
      <c r="F78" s="136" t="str">
        <f t="shared" si="6"/>
        <v>WOVEN</v>
      </c>
      <c r="G78" s="136"/>
      <c r="H78" s="136"/>
      <c r="I78" s="136"/>
      <c r="J78" s="139">
        <f t="shared" si="10"/>
        <v>2.514418604651163</v>
      </c>
      <c r="K78" s="139"/>
      <c r="L78" s="139"/>
      <c r="M78" s="165">
        <v>0.20953488372093027</v>
      </c>
      <c r="N78" s="165"/>
      <c r="O78" s="165"/>
      <c r="P78" s="131">
        <f t="shared" si="7"/>
        <v>200</v>
      </c>
      <c r="Q78" s="131"/>
      <c r="R78" s="131"/>
      <c r="S78" s="131"/>
      <c r="T78" s="131"/>
      <c r="U78" s="161">
        <f t="shared" si="9"/>
        <v>41.906976744186053</v>
      </c>
      <c r="V78" s="161"/>
      <c r="W78" s="161"/>
      <c r="X78" s="161"/>
      <c r="Y78" s="161"/>
    </row>
    <row r="79" spans="1:34" ht="20.100000000000001" hidden="1" customHeight="1" x14ac:dyDescent="0.25">
      <c r="A79" s="150" t="str">
        <f t="shared" si="4"/>
        <v>UNISEX</v>
      </c>
      <c r="B79" s="151" t="s">
        <v>82</v>
      </c>
      <c r="C79" s="151" t="str">
        <f t="shared" si="5"/>
        <v>BELT</v>
      </c>
      <c r="D79" s="151" t="s">
        <v>90</v>
      </c>
      <c r="E79" s="135" t="s">
        <v>90</v>
      </c>
      <c r="F79" s="136" t="str">
        <f t="shared" si="6"/>
        <v xml:space="preserve">KNITTED </v>
      </c>
      <c r="G79" s="136"/>
      <c r="H79" s="136"/>
      <c r="I79" s="136"/>
      <c r="J79" s="139">
        <f t="shared" si="10"/>
        <v>1.1274418604651162</v>
      </c>
      <c r="K79" s="139"/>
      <c r="L79" s="139"/>
      <c r="M79" s="165">
        <v>9.3953488372093025E-2</v>
      </c>
      <c r="N79" s="165"/>
      <c r="O79" s="165"/>
      <c r="P79" s="131">
        <f t="shared" si="7"/>
        <v>200</v>
      </c>
      <c r="Q79" s="131"/>
      <c r="R79" s="131"/>
      <c r="S79" s="131"/>
      <c r="T79" s="131"/>
      <c r="U79" s="161">
        <f t="shared" si="9"/>
        <v>18.790697674418606</v>
      </c>
      <c r="V79" s="161"/>
      <c r="W79" s="161"/>
      <c r="X79" s="161"/>
      <c r="Y79" s="161"/>
    </row>
    <row r="80" spans="1:34" ht="20.100000000000001" hidden="1" customHeight="1" x14ac:dyDescent="0.25">
      <c r="A80" s="150"/>
      <c r="B80" s="151"/>
      <c r="C80" s="151"/>
      <c r="D80" s="151"/>
      <c r="E80" s="135"/>
      <c r="F80" s="136"/>
      <c r="G80" s="136"/>
      <c r="H80" s="136"/>
      <c r="I80" s="136"/>
      <c r="J80" s="139"/>
      <c r="K80" s="139"/>
      <c r="L80" s="139"/>
      <c r="M80" s="166"/>
      <c r="N80" s="166"/>
      <c r="O80" s="166"/>
      <c r="P80" s="131">
        <f t="shared" si="7"/>
        <v>0</v>
      </c>
      <c r="Q80" s="131"/>
      <c r="R80" s="131"/>
      <c r="S80" s="131"/>
      <c r="T80" s="131"/>
      <c r="U80" s="161">
        <f t="shared" si="9"/>
        <v>0</v>
      </c>
      <c r="V80" s="161"/>
      <c r="W80" s="161"/>
      <c r="X80" s="161"/>
      <c r="Y80" s="161"/>
    </row>
    <row r="81" spans="1:25" ht="20.100000000000001" hidden="1" customHeight="1" x14ac:dyDescent="0.25">
      <c r="A81" s="150"/>
      <c r="B81" s="151"/>
      <c r="C81" s="151"/>
      <c r="D81" s="151"/>
      <c r="E81" s="135"/>
      <c r="F81" s="136"/>
      <c r="G81" s="136"/>
      <c r="H81" s="136"/>
      <c r="I81" s="136"/>
      <c r="J81" s="139"/>
      <c r="K81" s="139"/>
      <c r="L81" s="139"/>
      <c r="M81" s="166"/>
      <c r="N81" s="166"/>
      <c r="O81" s="166"/>
      <c r="P81" s="131">
        <f t="shared" si="7"/>
        <v>0</v>
      </c>
      <c r="Q81" s="131"/>
      <c r="R81" s="131"/>
      <c r="S81" s="131"/>
      <c r="T81" s="131"/>
      <c r="U81" s="161">
        <f t="shared" si="9"/>
        <v>0</v>
      </c>
      <c r="V81" s="161"/>
      <c r="W81" s="161"/>
      <c r="X81" s="161"/>
      <c r="Y81" s="161"/>
    </row>
    <row r="82" spans="1:25" ht="20.100000000000001" hidden="1" customHeight="1" x14ac:dyDescent="0.25">
      <c r="A82" s="150"/>
      <c r="B82" s="151"/>
      <c r="C82" s="151"/>
      <c r="D82" s="151"/>
      <c r="E82" s="135"/>
      <c r="F82" s="136"/>
      <c r="G82" s="136"/>
      <c r="H82" s="136"/>
      <c r="I82" s="136"/>
      <c r="J82" s="139"/>
      <c r="K82" s="139"/>
      <c r="L82" s="139"/>
      <c r="M82" s="166"/>
      <c r="N82" s="166"/>
      <c r="O82" s="166"/>
      <c r="P82" s="131" t="str">
        <f t="shared" si="7"/>
        <v>ទម្ងន់សរុប</v>
      </c>
      <c r="Q82" s="131"/>
      <c r="R82" s="131"/>
      <c r="S82" s="131"/>
      <c r="T82" s="131"/>
      <c r="U82" s="161" t="e">
        <f t="shared" si="9"/>
        <v>#VALUE!</v>
      </c>
      <c r="V82" s="161"/>
      <c r="W82" s="161"/>
      <c r="X82" s="161"/>
      <c r="Y82" s="161"/>
    </row>
    <row r="83" spans="1:25" ht="20.100000000000001" hidden="1" customHeight="1" x14ac:dyDescent="0.25">
      <c r="A83" s="150"/>
      <c r="B83" s="151"/>
      <c r="C83" s="151"/>
      <c r="D83" s="151"/>
      <c r="E83" s="135"/>
      <c r="F83" s="136"/>
      <c r="G83" s="136"/>
      <c r="H83" s="136"/>
      <c r="I83" s="136"/>
      <c r="J83" s="139"/>
      <c r="K83" s="139"/>
      <c r="L83" s="139"/>
      <c r="M83" s="166"/>
      <c r="N83" s="166"/>
      <c r="O83" s="166"/>
      <c r="P83" s="131">
        <f t="shared" si="7"/>
        <v>0</v>
      </c>
      <c r="Q83" s="131"/>
      <c r="R83" s="131"/>
      <c r="S83" s="131"/>
      <c r="T83" s="131"/>
      <c r="U83" s="161">
        <f t="shared" si="9"/>
        <v>0</v>
      </c>
      <c r="V83" s="161"/>
      <c r="W83" s="161"/>
      <c r="X83" s="161"/>
      <c r="Y83" s="161"/>
    </row>
    <row r="84" spans="1:25" ht="20.100000000000001" hidden="1" customHeight="1" x14ac:dyDescent="0.25">
      <c r="A84" s="150" t="e">
        <f>#REF!</f>
        <v>#REF!</v>
      </c>
      <c r="B84" s="151" t="s">
        <v>82</v>
      </c>
      <c r="C84" s="151" t="e">
        <f>#REF!</f>
        <v>#REF!</v>
      </c>
      <c r="D84" s="151" t="s">
        <v>90</v>
      </c>
      <c r="E84" s="135" t="s">
        <v>90</v>
      </c>
      <c r="F84" s="136" t="s">
        <v>105</v>
      </c>
      <c r="G84" s="136"/>
      <c r="H84" s="136"/>
      <c r="I84" s="136"/>
      <c r="J84" s="167">
        <f t="shared" ref="J84:J86" si="11">M84*12</f>
        <v>4.9379999999999997</v>
      </c>
      <c r="K84" s="168"/>
      <c r="L84" s="169"/>
      <c r="M84" s="165">
        <v>0.41149999999999998</v>
      </c>
      <c r="N84" s="165">
        <v>0.41149999999999998</v>
      </c>
      <c r="O84" s="165">
        <v>0.41149999999999998</v>
      </c>
      <c r="P84" s="131" t="str">
        <f t="shared" si="7"/>
        <v>Total Weight</v>
      </c>
      <c r="Q84" s="131"/>
      <c r="R84" s="131"/>
      <c r="S84" s="131"/>
      <c r="T84" s="131"/>
      <c r="U84" s="161" t="e">
        <f t="shared" si="9"/>
        <v>#VALUE!</v>
      </c>
      <c r="V84" s="161"/>
      <c r="W84" s="161"/>
      <c r="X84" s="161"/>
      <c r="Y84" s="161"/>
    </row>
    <row r="85" spans="1:25" ht="20.100000000000001" hidden="1" customHeight="1" x14ac:dyDescent="0.25">
      <c r="A85" s="150" t="e">
        <f>#REF!</f>
        <v>#REF!</v>
      </c>
      <c r="B85" s="151" t="s">
        <v>82</v>
      </c>
      <c r="C85" s="151" t="e">
        <f>#REF!</f>
        <v>#REF!</v>
      </c>
      <c r="D85" s="151" t="s">
        <v>90</v>
      </c>
      <c r="E85" s="135" t="s">
        <v>90</v>
      </c>
      <c r="F85" s="136" t="s">
        <v>105</v>
      </c>
      <c r="G85" s="136"/>
      <c r="H85" s="136"/>
      <c r="I85" s="136"/>
      <c r="J85" s="139">
        <f t="shared" si="11"/>
        <v>2.2251499999999997</v>
      </c>
      <c r="K85" s="139"/>
      <c r="L85" s="139"/>
      <c r="M85" s="165">
        <v>0.18542916666666664</v>
      </c>
      <c r="N85" s="165">
        <v>0.18542916666666664</v>
      </c>
      <c r="O85" s="165">
        <v>0.18542916666666664</v>
      </c>
      <c r="P85" s="131">
        <f t="shared" si="7"/>
        <v>0</v>
      </c>
      <c r="Q85" s="131"/>
      <c r="R85" s="131"/>
      <c r="S85" s="131"/>
      <c r="T85" s="131"/>
      <c r="U85" s="161">
        <f t="shared" si="9"/>
        <v>0</v>
      </c>
      <c r="V85" s="161"/>
      <c r="W85" s="161"/>
      <c r="X85" s="161"/>
      <c r="Y85" s="161"/>
    </row>
    <row r="86" spans="1:25" ht="23.25" hidden="1" customHeight="1" x14ac:dyDescent="0.25">
      <c r="A86" s="150" t="e">
        <f>#REF!</f>
        <v>#REF!</v>
      </c>
      <c r="B86" s="151" t="s">
        <v>82</v>
      </c>
      <c r="C86" s="151" t="e">
        <f>#REF!</f>
        <v>#REF!</v>
      </c>
      <c r="D86" s="151" t="s">
        <v>90</v>
      </c>
      <c r="E86" s="135" t="s">
        <v>90</v>
      </c>
      <c r="F86" s="170" t="s">
        <v>105</v>
      </c>
      <c r="G86" s="170"/>
      <c r="H86" s="170"/>
      <c r="I86" s="170"/>
      <c r="J86" s="167">
        <f t="shared" si="11"/>
        <v>0</v>
      </c>
      <c r="K86" s="168"/>
      <c r="L86" s="169"/>
      <c r="M86" s="171"/>
      <c r="N86" s="171"/>
      <c r="O86" s="171"/>
      <c r="P86" s="131">
        <f t="shared" si="7"/>
        <v>7550.4</v>
      </c>
      <c r="Q86" s="131"/>
      <c r="R86" s="131"/>
      <c r="S86" s="131"/>
      <c r="T86" s="131"/>
      <c r="U86" s="161">
        <f t="shared" si="9"/>
        <v>0</v>
      </c>
      <c r="V86" s="161"/>
      <c r="W86" s="161"/>
      <c r="X86" s="161"/>
      <c r="Y86" s="161"/>
    </row>
    <row r="87" spans="1:25" ht="23.25" hidden="1" customHeight="1" x14ac:dyDescent="0.25">
      <c r="A87" s="150" t="e">
        <f>#REF!</f>
        <v>#REF!</v>
      </c>
      <c r="B87" s="151" t="s">
        <v>82</v>
      </c>
      <c r="C87" s="151" t="e">
        <f>#REF!</f>
        <v>#REF!</v>
      </c>
      <c r="D87" s="151" t="s">
        <v>90</v>
      </c>
      <c r="E87" s="135" t="s">
        <v>90</v>
      </c>
      <c r="F87" s="170" t="s">
        <v>105</v>
      </c>
      <c r="G87" s="170"/>
      <c r="H87" s="170"/>
      <c r="I87" s="170"/>
      <c r="J87" s="139">
        <f>M87*12</f>
        <v>0</v>
      </c>
      <c r="K87" s="139"/>
      <c r="L87" s="139"/>
      <c r="M87" s="171"/>
      <c r="N87" s="171"/>
      <c r="O87" s="171"/>
      <c r="P87" s="131">
        <f t="shared" si="7"/>
        <v>5720</v>
      </c>
      <c r="Q87" s="131"/>
      <c r="R87" s="131"/>
      <c r="S87" s="131"/>
      <c r="T87" s="131"/>
      <c r="U87" s="161">
        <f t="shared" si="9"/>
        <v>0</v>
      </c>
      <c r="V87" s="161"/>
      <c r="W87" s="161"/>
      <c r="X87" s="161"/>
      <c r="Y87" s="161"/>
    </row>
    <row r="88" spans="1:25" ht="9.9499999999999993" customHeigh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34"/>
      <c r="K88" s="34"/>
      <c r="L88" s="34"/>
      <c r="M88" s="35"/>
      <c r="N88" s="35"/>
      <c r="O88" s="35"/>
      <c r="P88" s="32"/>
      <c r="Q88" s="32"/>
      <c r="R88" s="32"/>
      <c r="S88" s="32"/>
      <c r="T88" s="32"/>
      <c r="U88" s="35"/>
      <c r="V88" s="35"/>
      <c r="W88" s="35"/>
      <c r="X88" s="35"/>
      <c r="Y88" s="35"/>
    </row>
    <row r="89" spans="1:25" ht="23.25" x14ac:dyDescent="0.65">
      <c r="A89" s="3" t="s">
        <v>106</v>
      </c>
      <c r="B89" s="25"/>
      <c r="C89" s="25"/>
      <c r="D89" s="25"/>
      <c r="E89" s="25"/>
      <c r="F89" s="2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20.100000000000001" customHeight="1" x14ac:dyDescent="0.65">
      <c r="A90" s="36"/>
      <c r="B90" s="4" t="s">
        <v>107</v>
      </c>
      <c r="C90" s="25"/>
      <c r="D90" s="25"/>
      <c r="E90" s="25"/>
      <c r="F90" s="2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20.100000000000001" customHeight="1" x14ac:dyDescent="0.65">
      <c r="A91" s="4" t="s">
        <v>108</v>
      </c>
      <c r="B91" s="25"/>
      <c r="C91" s="25"/>
      <c r="D91" s="25"/>
      <c r="E91" s="25"/>
      <c r="F91" s="2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23.25" x14ac:dyDescent="0.65">
      <c r="A92" s="36"/>
      <c r="B92" s="3" t="s">
        <v>109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3.25" x14ac:dyDescent="0.65">
      <c r="A93" s="4" t="s">
        <v>122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23.25" x14ac:dyDescent="0.65">
      <c r="A94" s="3"/>
      <c r="B94" s="3" t="s">
        <v>110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1.95" customHeight="1" x14ac:dyDescent="0.65">
      <c r="A95" s="37" t="s">
        <v>111</v>
      </c>
      <c r="B95" s="38"/>
      <c r="C95" s="38"/>
      <c r="D95" s="38"/>
      <c r="E95" s="38"/>
      <c r="F95" s="38"/>
      <c r="G95" s="37"/>
      <c r="H95" s="3"/>
      <c r="I95" s="3"/>
      <c r="J95" s="3"/>
      <c r="K95" s="3"/>
      <c r="L95" s="3"/>
      <c r="M95" s="3"/>
      <c r="N95" s="3"/>
      <c r="O95" s="3"/>
      <c r="P95" s="176" t="s">
        <v>112</v>
      </c>
      <c r="Q95" s="176"/>
      <c r="R95" s="176"/>
      <c r="S95" s="176"/>
      <c r="T95" s="176"/>
      <c r="U95" s="176"/>
      <c r="V95" s="176"/>
      <c r="W95" s="176"/>
      <c r="X95" s="176"/>
      <c r="Y95" s="176"/>
    </row>
    <row r="96" spans="1:25" ht="21.95" customHeight="1" x14ac:dyDescent="0.65">
      <c r="A96" s="176" t="s">
        <v>113</v>
      </c>
      <c r="B96" s="176"/>
      <c r="C96" s="176"/>
      <c r="D96" s="176"/>
      <c r="E96" s="176"/>
      <c r="F96" s="176"/>
      <c r="G96" s="176"/>
      <c r="H96" s="3"/>
      <c r="I96" s="3"/>
      <c r="J96" s="3"/>
      <c r="K96" s="3"/>
      <c r="L96" s="3"/>
      <c r="M96" s="3"/>
      <c r="N96" s="3"/>
      <c r="O96" s="3"/>
      <c r="P96" s="176" t="s">
        <v>114</v>
      </c>
      <c r="Q96" s="176"/>
      <c r="R96" s="176"/>
      <c r="S96" s="176"/>
      <c r="T96" s="176"/>
      <c r="U96" s="176"/>
      <c r="V96" s="176"/>
      <c r="W96" s="176"/>
      <c r="X96" s="176"/>
      <c r="Y96" s="176"/>
    </row>
    <row r="97" spans="1:25" ht="21.95" customHeight="1" x14ac:dyDescent="0.65">
      <c r="A97" s="176" t="s">
        <v>115</v>
      </c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</row>
    <row r="98" spans="1:25" ht="21.95" customHeight="1" x14ac:dyDescent="0.25">
      <c r="A98" s="177" t="s">
        <v>116</v>
      </c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</row>
    <row r="99" spans="1:25" ht="21" x14ac:dyDescent="0.6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</row>
    <row r="100" spans="1:25" ht="21" x14ac:dyDescent="0.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 spans="1:25" ht="21" x14ac:dyDescent="0.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 spans="1:25" ht="25.5" x14ac:dyDescent="0.7">
      <c r="A102" s="173" t="s">
        <v>130</v>
      </c>
      <c r="B102" s="173"/>
      <c r="C102" s="173"/>
      <c r="D102" s="173"/>
      <c r="E102" s="173"/>
      <c r="F102" s="17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5.5" x14ac:dyDescent="0.7">
      <c r="A103" s="40"/>
      <c r="B103" s="40"/>
      <c r="C103" s="40"/>
      <c r="D103" s="40"/>
      <c r="E103" s="40"/>
      <c r="F103" s="4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29.25" x14ac:dyDescent="0.7">
      <c r="A104" s="40"/>
      <c r="B104" s="40"/>
      <c r="C104" s="40"/>
      <c r="D104" s="40"/>
      <c r="E104" s="40"/>
      <c r="F104" s="40"/>
      <c r="G104" s="3"/>
      <c r="H104" s="3"/>
      <c r="I104" s="3"/>
      <c r="J104" s="3"/>
      <c r="K104" s="174" t="s">
        <v>131</v>
      </c>
      <c r="L104" s="174"/>
      <c r="M104" s="174"/>
      <c r="N104" s="174"/>
      <c r="O104" s="174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9.25" x14ac:dyDescent="0.8">
      <c r="A105" s="41"/>
      <c r="B105" s="41"/>
      <c r="C105" s="41"/>
      <c r="D105" s="41"/>
      <c r="E105" s="41"/>
      <c r="F105" s="41"/>
      <c r="G105" s="41"/>
      <c r="H105" s="41"/>
      <c r="I105" s="41"/>
      <c r="J105" s="175"/>
      <c r="K105" s="175"/>
      <c r="L105" s="175"/>
      <c r="M105" s="175"/>
      <c r="N105" s="175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</sheetData>
  <mergeCells count="319">
    <mergeCell ref="A99:Y99"/>
    <mergeCell ref="A102:F102"/>
    <mergeCell ref="K104:O104"/>
    <mergeCell ref="J105:N105"/>
    <mergeCell ref="U87:Y87"/>
    <mergeCell ref="P95:Y95"/>
    <mergeCell ref="A96:G96"/>
    <mergeCell ref="P96:Y96"/>
    <mergeCell ref="A97:Y97"/>
    <mergeCell ref="A98:Y98"/>
    <mergeCell ref="A87:B87"/>
    <mergeCell ref="C87:E87"/>
    <mergeCell ref="F87:I87"/>
    <mergeCell ref="J87:L87"/>
    <mergeCell ref="M87:O87"/>
    <mergeCell ref="P87:T87"/>
    <mergeCell ref="U85:Y85"/>
    <mergeCell ref="A86:B86"/>
    <mergeCell ref="C86:E86"/>
    <mergeCell ref="F86:I86"/>
    <mergeCell ref="J86:L86"/>
    <mergeCell ref="M86:O86"/>
    <mergeCell ref="P86:T86"/>
    <mergeCell ref="U86:Y86"/>
    <mergeCell ref="A85:B85"/>
    <mergeCell ref="C85:E85"/>
    <mergeCell ref="F85:I85"/>
    <mergeCell ref="J85:L85"/>
    <mergeCell ref="M85:O85"/>
    <mergeCell ref="P85:T85"/>
    <mergeCell ref="U83:Y83"/>
    <mergeCell ref="A84:B84"/>
    <mergeCell ref="C84:E84"/>
    <mergeCell ref="F84:I84"/>
    <mergeCell ref="J84:L84"/>
    <mergeCell ref="M84:O84"/>
    <mergeCell ref="P84:T84"/>
    <mergeCell ref="U84:Y84"/>
    <mergeCell ref="A83:B83"/>
    <mergeCell ref="C83:E83"/>
    <mergeCell ref="F83:I83"/>
    <mergeCell ref="J83:L83"/>
    <mergeCell ref="M83:O83"/>
    <mergeCell ref="P83:T83"/>
    <mergeCell ref="U81:Y81"/>
    <mergeCell ref="A82:B82"/>
    <mergeCell ref="C82:E82"/>
    <mergeCell ref="F82:I82"/>
    <mergeCell ref="J82:L82"/>
    <mergeCell ref="M82:O82"/>
    <mergeCell ref="P82:T82"/>
    <mergeCell ref="U82:Y82"/>
    <mergeCell ref="A81:B81"/>
    <mergeCell ref="C81:E81"/>
    <mergeCell ref="F81:I81"/>
    <mergeCell ref="J81:L81"/>
    <mergeCell ref="M81:O81"/>
    <mergeCell ref="P81:T81"/>
    <mergeCell ref="U79:Y79"/>
    <mergeCell ref="A80:B80"/>
    <mergeCell ref="C80:E80"/>
    <mergeCell ref="F80:I80"/>
    <mergeCell ref="J80:L80"/>
    <mergeCell ref="M80:O80"/>
    <mergeCell ref="P80:T80"/>
    <mergeCell ref="U80:Y80"/>
    <mergeCell ref="A79:B79"/>
    <mergeCell ref="C79:E79"/>
    <mergeCell ref="F79:I79"/>
    <mergeCell ref="J79:L79"/>
    <mergeCell ref="M79:O79"/>
    <mergeCell ref="P79:T79"/>
    <mergeCell ref="U77:Y77"/>
    <mergeCell ref="A78:B78"/>
    <mergeCell ref="C78:E78"/>
    <mergeCell ref="F78:I78"/>
    <mergeCell ref="J78:L78"/>
    <mergeCell ref="M78:O78"/>
    <mergeCell ref="P78:T78"/>
    <mergeCell ref="U78:Y78"/>
    <mergeCell ref="A77:B77"/>
    <mergeCell ref="C77:E77"/>
    <mergeCell ref="F77:I77"/>
    <mergeCell ref="J77:L77"/>
    <mergeCell ref="M77:O77"/>
    <mergeCell ref="P77:T77"/>
    <mergeCell ref="U75:Y75"/>
    <mergeCell ref="A76:B76"/>
    <mergeCell ref="C76:E76"/>
    <mergeCell ref="F76:I76"/>
    <mergeCell ref="J76:L76"/>
    <mergeCell ref="M76:O76"/>
    <mergeCell ref="P76:T76"/>
    <mergeCell ref="U76:Y76"/>
    <mergeCell ref="A75:B75"/>
    <mergeCell ref="C75:E75"/>
    <mergeCell ref="F75:I75"/>
    <mergeCell ref="J75:L75"/>
    <mergeCell ref="M75:O75"/>
    <mergeCell ref="P75:T75"/>
    <mergeCell ref="A72:B72"/>
    <mergeCell ref="C72:E72"/>
    <mergeCell ref="F72:I72"/>
    <mergeCell ref="J72:L72"/>
    <mergeCell ref="M72:O72"/>
    <mergeCell ref="P72:T72"/>
    <mergeCell ref="U72:Y72"/>
    <mergeCell ref="U73:Y73"/>
    <mergeCell ref="A74:B74"/>
    <mergeCell ref="C74:E74"/>
    <mergeCell ref="F74:I74"/>
    <mergeCell ref="J74:L74"/>
    <mergeCell ref="M74:O74"/>
    <mergeCell ref="P74:T74"/>
    <mergeCell ref="U74:Y74"/>
    <mergeCell ref="A73:B73"/>
    <mergeCell ref="C73:E73"/>
    <mergeCell ref="F73:I73"/>
    <mergeCell ref="J73:L73"/>
    <mergeCell ref="M73:O73"/>
    <mergeCell ref="P73:T73"/>
    <mergeCell ref="U70:Y70"/>
    <mergeCell ref="A71:B71"/>
    <mergeCell ref="C71:E71"/>
    <mergeCell ref="F71:I71"/>
    <mergeCell ref="J71:L71"/>
    <mergeCell ref="M71:O71"/>
    <mergeCell ref="P71:T71"/>
    <mergeCell ref="U71:Y71"/>
    <mergeCell ref="A70:B70"/>
    <mergeCell ref="C70:E70"/>
    <mergeCell ref="F70:I70"/>
    <mergeCell ref="J70:L70"/>
    <mergeCell ref="M70:O70"/>
    <mergeCell ref="P70:T70"/>
    <mergeCell ref="U68:Y68"/>
    <mergeCell ref="A69:B69"/>
    <mergeCell ref="C69:E69"/>
    <mergeCell ref="F69:I69"/>
    <mergeCell ref="J69:L69"/>
    <mergeCell ref="M69:O69"/>
    <mergeCell ref="P69:T69"/>
    <mergeCell ref="U69:Y69"/>
    <mergeCell ref="A68:B68"/>
    <mergeCell ref="C68:E68"/>
    <mergeCell ref="F68:I68"/>
    <mergeCell ref="J68:L68"/>
    <mergeCell ref="M68:O68"/>
    <mergeCell ref="P68:T68"/>
    <mergeCell ref="A66:E67"/>
    <mergeCell ref="F66:I67"/>
    <mergeCell ref="J66:L66"/>
    <mergeCell ref="M66:O66"/>
    <mergeCell ref="P66:T67"/>
    <mergeCell ref="U66:Y67"/>
    <mergeCell ref="J67:L67"/>
    <mergeCell ref="M67:O67"/>
    <mergeCell ref="U61:Y61"/>
    <mergeCell ref="A64:E65"/>
    <mergeCell ref="F64:I65"/>
    <mergeCell ref="J64:O64"/>
    <mergeCell ref="P64:T65"/>
    <mergeCell ref="U64:Y65"/>
    <mergeCell ref="J65:O65"/>
    <mergeCell ref="A61:B61"/>
    <mergeCell ref="C61:E61"/>
    <mergeCell ref="F61:I61"/>
    <mergeCell ref="J61:L61"/>
    <mergeCell ref="M61:O61"/>
    <mergeCell ref="P61:T61"/>
    <mergeCell ref="U59:Y59"/>
    <mergeCell ref="A60:B60"/>
    <mergeCell ref="C60:E60"/>
    <mergeCell ref="F60:I60"/>
    <mergeCell ref="J60:L60"/>
    <mergeCell ref="M60:O60"/>
    <mergeCell ref="P60:T60"/>
    <mergeCell ref="U60:Y60"/>
    <mergeCell ref="A59:B59"/>
    <mergeCell ref="C59:E59"/>
    <mergeCell ref="F59:I59"/>
    <mergeCell ref="J59:L59"/>
    <mergeCell ref="M59:O59"/>
    <mergeCell ref="P59:T59"/>
    <mergeCell ref="U57:Y57"/>
    <mergeCell ref="A58:B58"/>
    <mergeCell ref="C58:E58"/>
    <mergeCell ref="F58:I58"/>
    <mergeCell ref="J58:L58"/>
    <mergeCell ref="M58:O58"/>
    <mergeCell ref="P58:T58"/>
    <mergeCell ref="U58:Y58"/>
    <mergeCell ref="A57:B57"/>
    <mergeCell ref="C57:E57"/>
    <mergeCell ref="F57:I57"/>
    <mergeCell ref="J57:L57"/>
    <mergeCell ref="M57:O57"/>
    <mergeCell ref="P57:T57"/>
    <mergeCell ref="A54:B54"/>
    <mergeCell ref="C54:E54"/>
    <mergeCell ref="F54:I54"/>
    <mergeCell ref="J54:L54"/>
    <mergeCell ref="M54:O54"/>
    <mergeCell ref="P54:T54"/>
    <mergeCell ref="U54:Y54"/>
    <mergeCell ref="U55:Y55"/>
    <mergeCell ref="A56:B56"/>
    <mergeCell ref="C56:E56"/>
    <mergeCell ref="F56:I56"/>
    <mergeCell ref="J56:L56"/>
    <mergeCell ref="M56:O56"/>
    <mergeCell ref="P56:T56"/>
    <mergeCell ref="U56:Y56"/>
    <mergeCell ref="A55:B55"/>
    <mergeCell ref="C55:E55"/>
    <mergeCell ref="F55:I55"/>
    <mergeCell ref="J55:L55"/>
    <mergeCell ref="M55:O55"/>
    <mergeCell ref="P55:T55"/>
    <mergeCell ref="U52:Y52"/>
    <mergeCell ref="A53:B53"/>
    <mergeCell ref="C53:E53"/>
    <mergeCell ref="F53:I53"/>
    <mergeCell ref="J53:L53"/>
    <mergeCell ref="M53:O53"/>
    <mergeCell ref="P53:T53"/>
    <mergeCell ref="U53:Y53"/>
    <mergeCell ref="A52:B52"/>
    <mergeCell ref="C52:E52"/>
    <mergeCell ref="F52:I52"/>
    <mergeCell ref="J52:L52"/>
    <mergeCell ref="M52:O52"/>
    <mergeCell ref="P52:T52"/>
    <mergeCell ref="U50:Y50"/>
    <mergeCell ref="A51:B51"/>
    <mergeCell ref="C51:E51"/>
    <mergeCell ref="F51:I51"/>
    <mergeCell ref="J51:L51"/>
    <mergeCell ref="M51:O51"/>
    <mergeCell ref="P51:T51"/>
    <mergeCell ref="U51:Y51"/>
    <mergeCell ref="A50:B50"/>
    <mergeCell ref="C50:E50"/>
    <mergeCell ref="F50:I50"/>
    <mergeCell ref="J50:L50"/>
    <mergeCell ref="M50:O50"/>
    <mergeCell ref="P50:T50"/>
    <mergeCell ref="A48:E49"/>
    <mergeCell ref="F48:I49"/>
    <mergeCell ref="J48:L48"/>
    <mergeCell ref="M48:O48"/>
    <mergeCell ref="P48:T49"/>
    <mergeCell ref="U48:Y49"/>
    <mergeCell ref="J49:L49"/>
    <mergeCell ref="M49:O49"/>
    <mergeCell ref="A46:E47"/>
    <mergeCell ref="F46:I47"/>
    <mergeCell ref="J46:O46"/>
    <mergeCell ref="P46:T47"/>
    <mergeCell ref="U46:Y47"/>
    <mergeCell ref="J47:O47"/>
    <mergeCell ref="N41:O41"/>
    <mergeCell ref="V41:W41"/>
    <mergeCell ref="N42:O42"/>
    <mergeCell ref="V42:W42"/>
    <mergeCell ref="N43:O43"/>
    <mergeCell ref="S43:U43"/>
    <mergeCell ref="V43:W43"/>
    <mergeCell ref="N38:O38"/>
    <mergeCell ref="V38:W38"/>
    <mergeCell ref="N39:O39"/>
    <mergeCell ref="V39:W39"/>
    <mergeCell ref="N40:O40"/>
    <mergeCell ref="V40:W40"/>
    <mergeCell ref="U28:Y28"/>
    <mergeCell ref="N29:R29"/>
    <mergeCell ref="N36:O36"/>
    <mergeCell ref="V36:W36"/>
    <mergeCell ref="N37:O37"/>
    <mergeCell ref="V37:W37"/>
    <mergeCell ref="I21:J21"/>
    <mergeCell ref="G22:I22"/>
    <mergeCell ref="G23:I23"/>
    <mergeCell ref="G24:I24"/>
    <mergeCell ref="G25:I25"/>
    <mergeCell ref="G26:I26"/>
    <mergeCell ref="I20:J20"/>
    <mergeCell ref="O20:P20"/>
    <mergeCell ref="V20:W20"/>
    <mergeCell ref="I17:J17"/>
    <mergeCell ref="L17:M17"/>
    <mergeCell ref="O17:P17"/>
    <mergeCell ref="R17:S17"/>
    <mergeCell ref="V17:W17"/>
    <mergeCell ref="I18:J18"/>
    <mergeCell ref="L18:M18"/>
    <mergeCell ref="O18:P18"/>
    <mergeCell ref="R18:S18"/>
    <mergeCell ref="V18:W18"/>
    <mergeCell ref="P14:S14"/>
    <mergeCell ref="I16:J16"/>
    <mergeCell ref="L16:M16"/>
    <mergeCell ref="O16:P16"/>
    <mergeCell ref="R16:S16"/>
    <mergeCell ref="V16:W16"/>
    <mergeCell ref="I19:J19"/>
    <mergeCell ref="L19:M19"/>
    <mergeCell ref="O19:P19"/>
    <mergeCell ref="R19:S19"/>
    <mergeCell ref="V19:W19"/>
    <mergeCell ref="A3:H3"/>
    <mergeCell ref="A4:H4"/>
    <mergeCell ref="A5:H5"/>
    <mergeCell ref="A8:Y8"/>
    <mergeCell ref="P13:S13"/>
    <mergeCell ref="A6:Y6"/>
    <mergeCell ref="A7:Y7"/>
    <mergeCell ref="A1:Y1"/>
    <mergeCell ref="A2:Y2"/>
  </mergeCells>
  <conditionalFormatting sqref="AF50:AH61">
    <cfRule type="duplicateValues" dxfId="11" priority="2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3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7"/>
  <sheetViews>
    <sheetView view="pageBreakPreview" zoomScale="115" zoomScaleNormal="100" zoomScaleSheetLayoutView="115" workbookViewId="0">
      <selection activeCell="L14" sqref="L14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2.140625" style="2" bestFit="1" customWidth="1"/>
    <col min="27" max="27" width="11.5703125" style="2" bestFit="1" customWidth="1"/>
    <col min="28" max="28" width="13.7109375" style="2" customWidth="1"/>
    <col min="29" max="34" width="9.140625" style="2"/>
    <col min="35" max="35" width="10.5703125" style="2" bestFit="1" customWidth="1"/>
    <col min="36" max="16384" width="9.140625" style="2"/>
  </cols>
  <sheetData>
    <row r="1" spans="1:28" ht="25.5" x14ac:dyDescent="0.7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 spans="1:28" ht="25.5" x14ac:dyDescent="0.7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28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8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8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28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28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28" ht="23.25" customHeight="1" x14ac:dyDescent="0.25">
      <c r="A8" s="105" t="s">
        <v>125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28" ht="21.95" customHeight="1" x14ac:dyDescent="0.25">
      <c r="A9" s="5" t="s">
        <v>8</v>
      </c>
      <c r="B9" s="6"/>
      <c r="C9" s="7"/>
      <c r="D9" s="7"/>
      <c r="E9" s="7"/>
      <c r="F9" s="7" t="s">
        <v>117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8" ht="21.95" customHeight="1" x14ac:dyDescent="0.25">
      <c r="A10" s="7"/>
      <c r="B10" s="6" t="s">
        <v>9</v>
      </c>
      <c r="C10" s="7"/>
      <c r="D10" s="7"/>
      <c r="E10" s="7"/>
      <c r="F10" s="7" t="s">
        <v>118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8" ht="21.95" customHeight="1" x14ac:dyDescent="0.25">
      <c r="A11" s="7"/>
      <c r="B11" s="7"/>
      <c r="C11" s="7"/>
      <c r="D11" s="7"/>
      <c r="E11" s="7"/>
      <c r="F11" s="7" t="s">
        <v>119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8" ht="21.95" customHeight="1" x14ac:dyDescent="0.25">
      <c r="A12" s="6" t="s">
        <v>10</v>
      </c>
      <c r="B12" s="6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8" ht="21.95" customHeight="1" x14ac:dyDescent="0.25">
      <c r="A13" s="6" t="s">
        <v>11</v>
      </c>
      <c r="B13" s="6"/>
      <c r="C13" s="6"/>
      <c r="D13" s="7"/>
      <c r="E13" s="7"/>
      <c r="F13" s="7"/>
      <c r="G13" s="7"/>
      <c r="H13" s="7" t="s">
        <v>121</v>
      </c>
      <c r="I13" s="7"/>
      <c r="J13" s="7"/>
      <c r="K13" s="7"/>
      <c r="L13" s="7"/>
      <c r="M13" s="7"/>
      <c r="N13" s="7"/>
      <c r="O13" s="7" t="s">
        <v>12</v>
      </c>
      <c r="P13" s="106">
        <v>46014</v>
      </c>
      <c r="Q13" s="106"/>
      <c r="R13" s="106"/>
      <c r="S13" s="106"/>
      <c r="T13" s="7"/>
      <c r="U13" s="7"/>
      <c r="V13" s="7"/>
      <c r="W13" s="7"/>
      <c r="X13" s="7"/>
      <c r="Y13" s="7"/>
    </row>
    <row r="14" spans="1:28" ht="21.95" customHeight="1" x14ac:dyDescent="0.65">
      <c r="A14" s="8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</row>
    <row r="15" spans="1:28" ht="21.95" customHeight="1" x14ac:dyDescent="0.65">
      <c r="A15" s="6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8" ht="21" customHeight="1" x14ac:dyDescent="0.25">
      <c r="A16" s="7"/>
      <c r="B16" s="6" t="s">
        <v>15</v>
      </c>
      <c r="C16" s="7"/>
      <c r="D16" s="7"/>
      <c r="E16" s="7"/>
      <c r="F16" s="7" t="s">
        <v>14</v>
      </c>
      <c r="G16" s="9"/>
      <c r="H16" s="6" t="s">
        <v>16</v>
      </c>
      <c r="I16" s="105">
        <v>1</v>
      </c>
      <c r="J16" s="105">
        <v>3</v>
      </c>
      <c r="K16" s="7" t="s">
        <v>17</v>
      </c>
      <c r="L16" s="105"/>
      <c r="M16" s="105"/>
      <c r="N16" s="6" t="s">
        <v>18</v>
      </c>
      <c r="O16" s="105">
        <v>4</v>
      </c>
      <c r="P16" s="105">
        <v>6</v>
      </c>
      <c r="Q16" s="6" t="s">
        <v>17</v>
      </c>
      <c r="R16" s="105"/>
      <c r="S16" s="105"/>
      <c r="T16" s="6" t="s">
        <v>19</v>
      </c>
      <c r="U16" s="6"/>
      <c r="V16" s="109">
        <f>O16+I16</f>
        <v>5</v>
      </c>
      <c r="W16" s="109"/>
      <c r="X16" s="6" t="s">
        <v>17</v>
      </c>
      <c r="Y16" s="6"/>
      <c r="AB16" s="10">
        <v>11700</v>
      </c>
    </row>
    <row r="17" spans="1:28" ht="21" customHeight="1" x14ac:dyDescent="0.25">
      <c r="A17" s="7"/>
      <c r="B17" s="6" t="s">
        <v>20</v>
      </c>
      <c r="C17" s="7"/>
      <c r="D17" s="7"/>
      <c r="E17" s="7"/>
      <c r="F17" s="7" t="s">
        <v>14</v>
      </c>
      <c r="G17" s="7"/>
      <c r="H17" s="6" t="s">
        <v>16</v>
      </c>
      <c r="I17" s="105">
        <v>2</v>
      </c>
      <c r="J17" s="105"/>
      <c r="K17" s="7" t="s">
        <v>17</v>
      </c>
      <c r="L17" s="105"/>
      <c r="M17" s="105"/>
      <c r="N17" s="6" t="s">
        <v>18</v>
      </c>
      <c r="O17" s="105">
        <v>1</v>
      </c>
      <c r="P17" s="105">
        <v>61</v>
      </c>
      <c r="Q17" s="6" t="s">
        <v>17</v>
      </c>
      <c r="R17" s="105"/>
      <c r="S17" s="105"/>
      <c r="T17" s="6" t="s">
        <v>19</v>
      </c>
      <c r="U17" s="6"/>
      <c r="V17" s="109">
        <f>O17+I17</f>
        <v>3</v>
      </c>
      <c r="W17" s="109"/>
      <c r="X17" s="6" t="s">
        <v>17</v>
      </c>
      <c r="Y17" s="6"/>
      <c r="AB17" s="10">
        <v>31298.12</v>
      </c>
    </row>
    <row r="18" spans="1:28" ht="21" customHeight="1" x14ac:dyDescent="0.25">
      <c r="A18" s="7"/>
      <c r="B18" s="6" t="s">
        <v>21</v>
      </c>
      <c r="C18" s="7"/>
      <c r="D18" s="7"/>
      <c r="E18" s="7"/>
      <c r="F18" s="7" t="s">
        <v>14</v>
      </c>
      <c r="G18" s="7"/>
      <c r="H18" s="6" t="s">
        <v>16</v>
      </c>
      <c r="I18" s="105">
        <v>36</v>
      </c>
      <c r="J18" s="105"/>
      <c r="K18" s="8" t="s">
        <v>17</v>
      </c>
      <c r="L18" s="110"/>
      <c r="M18" s="110"/>
      <c r="N18" s="6" t="s">
        <v>18</v>
      </c>
      <c r="O18" s="105">
        <v>93</v>
      </c>
      <c r="P18" s="105"/>
      <c r="Q18" s="6" t="s">
        <v>17</v>
      </c>
      <c r="R18" s="110"/>
      <c r="S18" s="110"/>
      <c r="T18" s="6" t="s">
        <v>19</v>
      </c>
      <c r="U18" s="6"/>
      <c r="V18" s="109">
        <f>O18+I18</f>
        <v>129</v>
      </c>
      <c r="W18" s="109"/>
      <c r="X18" s="6" t="s">
        <v>17</v>
      </c>
      <c r="Y18" s="6"/>
      <c r="AB18" s="10">
        <v>143072.10999999999</v>
      </c>
    </row>
    <row r="19" spans="1:28" ht="21" customHeight="1" x14ac:dyDescent="0.25">
      <c r="A19" s="7"/>
      <c r="B19" s="11" t="s">
        <v>22</v>
      </c>
      <c r="C19" s="6"/>
      <c r="D19" s="6"/>
      <c r="E19" s="7"/>
      <c r="F19" s="7" t="s">
        <v>14</v>
      </c>
      <c r="G19" s="7"/>
      <c r="H19" s="6" t="s">
        <v>16</v>
      </c>
      <c r="I19" s="105">
        <v>17</v>
      </c>
      <c r="J19" s="105"/>
      <c r="K19" s="8" t="s">
        <v>17</v>
      </c>
      <c r="L19" s="110"/>
      <c r="M19" s="110"/>
      <c r="N19" s="6" t="s">
        <v>18</v>
      </c>
      <c r="O19" s="105">
        <v>23</v>
      </c>
      <c r="P19" s="105">
        <v>683</v>
      </c>
      <c r="Q19" s="6" t="s">
        <v>17</v>
      </c>
      <c r="R19" s="110"/>
      <c r="S19" s="110"/>
      <c r="T19" s="6" t="s">
        <v>19</v>
      </c>
      <c r="U19" s="6"/>
      <c r="V19" s="109">
        <f>O19+I19</f>
        <v>40</v>
      </c>
      <c r="W19" s="109"/>
      <c r="X19" s="6" t="s">
        <v>17</v>
      </c>
      <c r="Y19" s="6"/>
      <c r="Z19" s="12">
        <f>V16+V17+V18+V19</f>
        <v>177</v>
      </c>
      <c r="AB19" s="10">
        <v>62861.24</v>
      </c>
    </row>
    <row r="20" spans="1:28" ht="21" customHeight="1" x14ac:dyDescent="0.25">
      <c r="A20" s="7"/>
      <c r="B20" s="11" t="s">
        <v>23</v>
      </c>
      <c r="C20" s="6"/>
      <c r="D20" s="6"/>
      <c r="E20" s="7"/>
      <c r="F20" s="7" t="s">
        <v>14</v>
      </c>
      <c r="G20" s="7"/>
      <c r="H20" s="6" t="s">
        <v>16</v>
      </c>
      <c r="I20" s="105">
        <f>I18+I19</f>
        <v>53</v>
      </c>
      <c r="J20" s="105"/>
      <c r="K20" s="8" t="s">
        <v>17</v>
      </c>
      <c r="L20" s="13"/>
      <c r="M20" s="13"/>
      <c r="N20" s="6" t="s">
        <v>18</v>
      </c>
      <c r="O20" s="105">
        <f>O18+O19</f>
        <v>116</v>
      </c>
      <c r="P20" s="105"/>
      <c r="Q20" s="6" t="s">
        <v>17</v>
      </c>
      <c r="R20" s="13"/>
      <c r="S20" s="13"/>
      <c r="T20" s="6" t="s">
        <v>19</v>
      </c>
      <c r="U20" s="6"/>
      <c r="V20" s="109">
        <f>V18+V19</f>
        <v>169</v>
      </c>
      <c r="W20" s="109"/>
      <c r="X20" s="6" t="s">
        <v>17</v>
      </c>
      <c r="Y20" s="6"/>
      <c r="AB20" s="10"/>
    </row>
    <row r="21" spans="1:28" ht="21.95" customHeight="1" x14ac:dyDescent="0.25">
      <c r="A21" s="6" t="s">
        <v>24</v>
      </c>
      <c r="B21" s="7"/>
      <c r="C21" s="7"/>
      <c r="D21" s="7"/>
      <c r="E21" s="7"/>
      <c r="F21" s="7" t="s">
        <v>14</v>
      </c>
      <c r="G21" s="8"/>
      <c r="H21" s="7"/>
      <c r="I21" s="114"/>
      <c r="J21" s="11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8" ht="21.95" customHeight="1" x14ac:dyDescent="0.25">
      <c r="A22" s="7"/>
      <c r="B22" s="6" t="s">
        <v>15</v>
      </c>
      <c r="C22" s="6"/>
      <c r="D22" s="6"/>
      <c r="E22" s="7"/>
      <c r="F22" s="7" t="s">
        <v>14</v>
      </c>
      <c r="G22" s="115">
        <v>8200</v>
      </c>
      <c r="H22" s="115">
        <v>35255</v>
      </c>
      <c r="I22" s="115">
        <v>35255</v>
      </c>
      <c r="J22" s="14"/>
      <c r="K22" s="6" t="s">
        <v>25</v>
      </c>
      <c r="L22" s="6"/>
      <c r="M22" s="14"/>
      <c r="N22" s="1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8" ht="21.95" customHeight="1" x14ac:dyDescent="0.25">
      <c r="A23" s="7"/>
      <c r="B23" s="6" t="s">
        <v>20</v>
      </c>
      <c r="C23" s="6"/>
      <c r="D23" s="6"/>
      <c r="E23" s="7"/>
      <c r="F23" s="7" t="s">
        <v>14</v>
      </c>
      <c r="G23" s="115">
        <v>2736.71</v>
      </c>
      <c r="H23" s="115">
        <v>15646.4375</v>
      </c>
      <c r="I23" s="115">
        <v>15646.4375</v>
      </c>
      <c r="J23" s="14"/>
      <c r="K23" s="6" t="s">
        <v>25</v>
      </c>
      <c r="L23" s="6"/>
      <c r="M23" s="14"/>
      <c r="N23" s="1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8" ht="21.95" customHeight="1" x14ac:dyDescent="0.25">
      <c r="A24" s="7"/>
      <c r="B24" s="6" t="s">
        <v>21</v>
      </c>
      <c r="C24" s="6"/>
      <c r="D24" s="6"/>
      <c r="E24" s="7"/>
      <c r="F24" s="7" t="s">
        <v>14</v>
      </c>
      <c r="G24" s="115">
        <v>35576.730000000003</v>
      </c>
      <c r="H24" s="115"/>
      <c r="I24" s="115"/>
      <c r="J24" s="14"/>
      <c r="K24" s="6" t="s">
        <v>25</v>
      </c>
      <c r="L24" s="6"/>
      <c r="M24" s="14"/>
      <c r="N24" s="1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8" ht="21.95" customHeight="1" x14ac:dyDescent="0.25">
      <c r="A25" s="7"/>
      <c r="B25" s="6" t="s">
        <v>22</v>
      </c>
      <c r="C25" s="6"/>
      <c r="D25" s="6"/>
      <c r="E25" s="7"/>
      <c r="F25" s="7" t="s">
        <v>14</v>
      </c>
      <c r="G25" s="115">
        <v>10191.174000000001</v>
      </c>
      <c r="H25" s="115">
        <v>205933.34999999998</v>
      </c>
      <c r="I25" s="115">
        <v>205933.34999999998</v>
      </c>
      <c r="J25" s="14"/>
      <c r="K25" s="6" t="s">
        <v>25</v>
      </c>
      <c r="L25" s="6"/>
      <c r="M25" s="14"/>
      <c r="N25" s="14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28" ht="21.6" customHeight="1" x14ac:dyDescent="0.25">
      <c r="A26" s="7"/>
      <c r="B26" s="11" t="s">
        <v>23</v>
      </c>
      <c r="C26" s="6"/>
      <c r="D26" s="6"/>
      <c r="E26" s="7"/>
      <c r="F26" s="7" t="s">
        <v>14</v>
      </c>
      <c r="G26" s="115">
        <v>45767.9</v>
      </c>
      <c r="H26" s="115"/>
      <c r="I26" s="115"/>
      <c r="J26" s="14"/>
      <c r="K26" s="6" t="s">
        <v>25</v>
      </c>
      <c r="L26" s="6"/>
      <c r="M26" s="14"/>
      <c r="N26" s="14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8" ht="21.95" customHeight="1" x14ac:dyDescent="0.65">
      <c r="A27" s="6" t="s">
        <v>26</v>
      </c>
      <c r="B27" s="3"/>
      <c r="C27" s="3"/>
      <c r="D27" s="3"/>
      <c r="E27" s="3"/>
      <c r="F27" s="3" t="s">
        <v>14</v>
      </c>
      <c r="G27" s="3"/>
      <c r="H27" s="17"/>
      <c r="I27" s="3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8" ht="23.25" x14ac:dyDescent="0.65">
      <c r="A28" s="3"/>
      <c r="B28" s="6" t="s">
        <v>27</v>
      </c>
      <c r="C28" s="6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6"/>
      <c r="O28" s="6" t="s">
        <v>30</v>
      </c>
      <c r="P28" s="3"/>
      <c r="Q28" s="3"/>
      <c r="R28" s="3"/>
      <c r="S28" s="3"/>
      <c r="T28" s="3"/>
      <c r="U28" s="111">
        <v>208</v>
      </c>
      <c r="V28" s="111"/>
      <c r="W28" s="111"/>
      <c r="X28" s="111"/>
      <c r="Y28" s="111"/>
    </row>
    <row r="29" spans="1:28" ht="23.25" x14ac:dyDescent="0.65">
      <c r="A29" s="3"/>
      <c r="B29" s="6" t="s">
        <v>31</v>
      </c>
      <c r="C29" s="6"/>
      <c r="D29" s="3"/>
      <c r="E29" s="3" t="s">
        <v>32</v>
      </c>
      <c r="F29" s="3"/>
      <c r="G29" s="3"/>
      <c r="H29" s="3"/>
      <c r="I29" s="6" t="s">
        <v>33</v>
      </c>
      <c r="J29" s="3"/>
      <c r="K29" s="3"/>
      <c r="L29" s="3"/>
      <c r="M29" s="3"/>
      <c r="N29" s="112">
        <v>30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28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18">
        <f>U28+N29</f>
        <v>238</v>
      </c>
    </row>
    <row r="31" spans="1:28" ht="23.25" x14ac:dyDescent="0.65">
      <c r="A31" s="7"/>
      <c r="B31" s="3" t="s">
        <v>35</v>
      </c>
      <c r="C31" s="7"/>
      <c r="D31" s="7" t="s">
        <v>36</v>
      </c>
      <c r="E31" s="7"/>
      <c r="F31" s="7"/>
      <c r="G31" s="7"/>
      <c r="H31" s="7"/>
      <c r="I31" s="7"/>
      <c r="J31" s="7"/>
      <c r="K31" s="7"/>
      <c r="L31" s="3" t="s">
        <v>37</v>
      </c>
      <c r="M31" s="7"/>
      <c r="N31" s="7"/>
      <c r="O31" s="7"/>
      <c r="P31" s="7" t="s">
        <v>38</v>
      </c>
      <c r="Q31" s="7"/>
      <c r="R31" s="7" t="s">
        <v>39</v>
      </c>
      <c r="S31" s="7"/>
      <c r="T31" s="7"/>
      <c r="U31" s="7"/>
      <c r="V31" s="7"/>
      <c r="W31" s="7"/>
      <c r="X31" s="7"/>
      <c r="Y31" s="7"/>
    </row>
    <row r="32" spans="1:28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6" ht="23.25" x14ac:dyDescent="0.25">
      <c r="A33" s="9"/>
      <c r="B33" s="19" t="s">
        <v>41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6" ht="23.25" x14ac:dyDescent="0.65">
      <c r="A34" s="9"/>
      <c r="B34" s="19" t="s">
        <v>42</v>
      </c>
      <c r="C34" s="7"/>
      <c r="D34" s="7"/>
      <c r="E34" s="20" t="s">
        <v>43</v>
      </c>
      <c r="F34" s="7" t="s">
        <v>44</v>
      </c>
      <c r="G34" s="7" t="s">
        <v>45</v>
      </c>
      <c r="H34" s="7" t="s">
        <v>46</v>
      </c>
      <c r="I34" s="7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6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6" ht="23.25" x14ac:dyDescent="0.65">
      <c r="A36" s="3"/>
      <c r="B36" s="3" t="s">
        <v>49</v>
      </c>
      <c r="C36" s="3"/>
      <c r="D36" s="3"/>
      <c r="E36" s="3"/>
      <c r="F36" s="3"/>
      <c r="G36" s="3" t="s">
        <v>50</v>
      </c>
      <c r="H36" s="3"/>
      <c r="I36" s="3"/>
      <c r="J36" s="3"/>
      <c r="K36" s="3"/>
      <c r="L36" s="3"/>
      <c r="M36" s="3" t="s">
        <v>19</v>
      </c>
      <c r="N36" s="113">
        <v>2</v>
      </c>
      <c r="O36" s="113"/>
      <c r="P36" s="3" t="s">
        <v>51</v>
      </c>
      <c r="Q36" s="21"/>
      <c r="R36" s="3"/>
      <c r="S36" s="3" t="s">
        <v>52</v>
      </c>
      <c r="T36" s="3"/>
      <c r="U36" s="3"/>
      <c r="V36" s="113">
        <v>1</v>
      </c>
      <c r="W36" s="113"/>
      <c r="X36" s="3" t="s">
        <v>53</v>
      </c>
      <c r="Y36" s="3"/>
    </row>
    <row r="37" spans="1:26" ht="23.25" x14ac:dyDescent="0.65">
      <c r="A37" s="3"/>
      <c r="B37" s="3" t="s">
        <v>54</v>
      </c>
      <c r="C37" s="3"/>
      <c r="D37" s="3"/>
      <c r="E37" s="3"/>
      <c r="F37" s="3"/>
      <c r="G37" s="4" t="s">
        <v>55</v>
      </c>
      <c r="H37" s="3"/>
      <c r="I37" s="3"/>
      <c r="J37" s="3"/>
      <c r="K37" s="3"/>
      <c r="L37" s="3"/>
      <c r="M37" s="3" t="s">
        <v>19</v>
      </c>
      <c r="N37" s="113">
        <v>1</v>
      </c>
      <c r="O37" s="113"/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2">
        <f>SUM(V37:W42)</f>
        <v>167</v>
      </c>
    </row>
    <row r="38" spans="1:26" ht="23.25" x14ac:dyDescent="0.65">
      <c r="A38" s="3"/>
      <c r="B38" s="3" t="s">
        <v>56</v>
      </c>
      <c r="C38" s="3"/>
      <c r="D38" s="3"/>
      <c r="E38" s="3"/>
      <c r="F38" s="3"/>
      <c r="G38" s="3" t="s">
        <v>57</v>
      </c>
      <c r="H38" s="3"/>
      <c r="I38" s="3"/>
      <c r="J38" s="3"/>
      <c r="K38" s="3"/>
      <c r="L38" s="3"/>
      <c r="M38" s="3" t="s">
        <v>19</v>
      </c>
      <c r="N38" s="113">
        <v>3</v>
      </c>
      <c r="O38" s="113"/>
      <c r="P38" s="3" t="s">
        <v>53</v>
      </c>
      <c r="Q38" s="3"/>
      <c r="R38" s="3"/>
      <c r="S38" s="3" t="s">
        <v>52</v>
      </c>
      <c r="T38" s="3"/>
      <c r="U38" s="3"/>
      <c r="V38" s="113">
        <v>2</v>
      </c>
      <c r="W38" s="113"/>
      <c r="X38" s="3" t="s">
        <v>53</v>
      </c>
      <c r="Y38" s="3"/>
    </row>
    <row r="39" spans="1:26" ht="23.25" x14ac:dyDescent="0.65">
      <c r="A39" s="3"/>
      <c r="B39" s="3" t="s">
        <v>58</v>
      </c>
      <c r="C39" s="3"/>
      <c r="D39" s="3"/>
      <c r="E39" s="3"/>
      <c r="F39" s="3"/>
      <c r="G39" s="3" t="s">
        <v>59</v>
      </c>
      <c r="H39" s="3"/>
      <c r="I39" s="3"/>
      <c r="J39" s="3"/>
      <c r="K39" s="3"/>
      <c r="L39" s="3"/>
      <c r="M39" s="3" t="s">
        <v>19</v>
      </c>
      <c r="N39" s="113">
        <v>141</v>
      </c>
      <c r="O39" s="113"/>
      <c r="P39" s="3" t="s">
        <v>53</v>
      </c>
      <c r="Q39" s="3"/>
      <c r="R39" s="3"/>
      <c r="S39" s="3" t="s">
        <v>52</v>
      </c>
      <c r="T39" s="3"/>
      <c r="U39" s="3"/>
      <c r="V39" s="113">
        <v>136</v>
      </c>
      <c r="W39" s="113"/>
      <c r="X39" s="3" t="s">
        <v>53</v>
      </c>
      <c r="Y39" s="3"/>
    </row>
    <row r="40" spans="1:26" ht="23.25" x14ac:dyDescent="0.65">
      <c r="A40" s="3"/>
      <c r="B40" s="3" t="s">
        <v>60</v>
      </c>
      <c r="C40" s="3"/>
      <c r="D40" s="3"/>
      <c r="E40" s="3"/>
      <c r="F40" s="3"/>
      <c r="G40" s="3" t="s">
        <v>61</v>
      </c>
      <c r="H40" s="3"/>
      <c r="I40" s="3"/>
      <c r="J40" s="3"/>
      <c r="K40" s="3"/>
      <c r="L40" s="3"/>
      <c r="M40" s="3" t="s">
        <v>19</v>
      </c>
      <c r="N40" s="113">
        <v>21</v>
      </c>
      <c r="O40" s="113"/>
      <c r="P40" s="3" t="s">
        <v>53</v>
      </c>
      <c r="Q40" s="3"/>
      <c r="R40" s="3"/>
      <c r="S40" s="3" t="s">
        <v>52</v>
      </c>
      <c r="T40" s="3"/>
      <c r="U40" s="3"/>
      <c r="V40" s="113">
        <v>11</v>
      </c>
      <c r="W40" s="113"/>
      <c r="X40" s="3" t="s">
        <v>53</v>
      </c>
      <c r="Y40" s="3"/>
    </row>
    <row r="41" spans="1:26" ht="23.25" x14ac:dyDescent="0.65">
      <c r="A41" s="3"/>
      <c r="B41" s="3" t="s">
        <v>62</v>
      </c>
      <c r="C41" s="3"/>
      <c r="D41" s="3"/>
      <c r="E41" s="3"/>
      <c r="F41" s="3"/>
      <c r="G41" s="4" t="s">
        <v>63</v>
      </c>
      <c r="H41" s="3"/>
      <c r="I41" s="3"/>
      <c r="J41" s="3"/>
      <c r="K41" s="3"/>
      <c r="L41" s="3"/>
      <c r="M41" s="3" t="s">
        <v>19</v>
      </c>
      <c r="N41" s="113">
        <v>5</v>
      </c>
      <c r="O41" s="113"/>
      <c r="P41" s="3" t="s">
        <v>53</v>
      </c>
      <c r="Q41" s="3"/>
      <c r="R41" s="3"/>
      <c r="S41" s="3" t="s">
        <v>52</v>
      </c>
      <c r="T41" s="3"/>
      <c r="U41" s="3"/>
      <c r="V41" s="113">
        <v>3</v>
      </c>
      <c r="W41" s="113"/>
      <c r="X41" s="3" t="s">
        <v>53</v>
      </c>
      <c r="Y41" s="3"/>
    </row>
    <row r="42" spans="1:26" ht="23.25" x14ac:dyDescent="0.65">
      <c r="A42" s="3"/>
      <c r="B42" s="3" t="s">
        <v>64</v>
      </c>
      <c r="C42" s="3"/>
      <c r="D42" s="3"/>
      <c r="E42" s="3"/>
      <c r="F42" s="3"/>
      <c r="G42" s="3" t="s">
        <v>65</v>
      </c>
      <c r="H42" s="3"/>
      <c r="I42" s="3"/>
      <c r="J42" s="3"/>
      <c r="K42" s="3"/>
      <c r="L42" s="3"/>
      <c r="M42" s="3" t="s">
        <v>19</v>
      </c>
      <c r="N42" s="113">
        <v>41</v>
      </c>
      <c r="O42" s="113"/>
      <c r="P42" s="3" t="s">
        <v>53</v>
      </c>
      <c r="Q42" s="3"/>
      <c r="R42" s="3"/>
      <c r="S42" s="3" t="s">
        <v>52</v>
      </c>
      <c r="T42" s="3"/>
      <c r="U42" s="3"/>
      <c r="V42" s="113">
        <v>14</v>
      </c>
      <c r="W42" s="113"/>
      <c r="X42" s="3" t="s">
        <v>53</v>
      </c>
      <c r="Y42" s="3"/>
    </row>
    <row r="43" spans="1:26" ht="23.25" x14ac:dyDescent="0.6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 t="s">
        <v>66</v>
      </c>
      <c r="M43" s="22"/>
      <c r="N43" s="116">
        <f>SUM(N36:N42)</f>
        <v>214</v>
      </c>
      <c r="O43" s="116"/>
      <c r="P43" s="24" t="s">
        <v>53</v>
      </c>
      <c r="Q43" s="22"/>
      <c r="R43" s="22"/>
      <c r="S43" s="116" t="s">
        <v>52</v>
      </c>
      <c r="T43" s="116"/>
      <c r="U43" s="116"/>
      <c r="V43" s="116">
        <f>SUM(V36:W42)</f>
        <v>168</v>
      </c>
      <c r="W43" s="116"/>
      <c r="X43" s="24" t="s">
        <v>53</v>
      </c>
      <c r="Y43" s="23"/>
      <c r="Z43" s="12">
        <f>V43-V19</f>
        <v>128</v>
      </c>
    </row>
    <row r="44" spans="1:26" ht="23.25" x14ac:dyDescent="0.65">
      <c r="A44" s="3" t="s">
        <v>67</v>
      </c>
      <c r="B44" s="25"/>
      <c r="C44" s="25"/>
      <c r="D44" s="25"/>
      <c r="E44" s="25"/>
      <c r="F44" s="2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6" ht="9.9499999999999993" customHeight="1" x14ac:dyDescent="0.6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6" ht="21" x14ac:dyDescent="0.6">
      <c r="A46" s="122" t="s">
        <v>68</v>
      </c>
      <c r="B46" s="123"/>
      <c r="C46" s="123"/>
      <c r="D46" s="123"/>
      <c r="E46" s="124"/>
      <c r="F46" s="122" t="s">
        <v>69</v>
      </c>
      <c r="G46" s="123"/>
      <c r="H46" s="123"/>
      <c r="I46" s="124"/>
      <c r="J46" s="119" t="s">
        <v>70</v>
      </c>
      <c r="K46" s="119"/>
      <c r="L46" s="119"/>
      <c r="M46" s="119"/>
      <c r="N46" s="119"/>
      <c r="O46" s="119"/>
      <c r="P46" s="128" t="s">
        <v>71</v>
      </c>
      <c r="Q46" s="128"/>
      <c r="R46" s="128"/>
      <c r="S46" s="128"/>
      <c r="T46" s="128"/>
      <c r="U46" s="128" t="s">
        <v>72</v>
      </c>
      <c r="V46" s="128"/>
      <c r="W46" s="128"/>
      <c r="X46" s="128"/>
      <c r="Y46" s="128"/>
    </row>
    <row r="47" spans="1:26" ht="19.5" x14ac:dyDescent="0.55000000000000004">
      <c r="A47" s="125"/>
      <c r="B47" s="126"/>
      <c r="C47" s="126"/>
      <c r="D47" s="126"/>
      <c r="E47" s="127"/>
      <c r="F47" s="125"/>
      <c r="G47" s="126"/>
      <c r="H47" s="126"/>
      <c r="I47" s="127"/>
      <c r="J47" s="130" t="s">
        <v>73</v>
      </c>
      <c r="K47" s="130"/>
      <c r="L47" s="130"/>
      <c r="M47" s="130"/>
      <c r="N47" s="130"/>
      <c r="O47" s="130"/>
      <c r="P47" s="129"/>
      <c r="Q47" s="129"/>
      <c r="R47" s="129"/>
      <c r="S47" s="129"/>
      <c r="T47" s="129"/>
      <c r="U47" s="129"/>
      <c r="V47" s="129"/>
      <c r="W47" s="129"/>
      <c r="X47" s="129"/>
      <c r="Y47" s="129"/>
    </row>
    <row r="48" spans="1:26" ht="21" x14ac:dyDescent="0.6">
      <c r="A48" s="117" t="s">
        <v>74</v>
      </c>
      <c r="B48" s="117"/>
      <c r="C48" s="117"/>
      <c r="D48" s="117"/>
      <c r="E48" s="117"/>
      <c r="F48" s="117" t="s">
        <v>75</v>
      </c>
      <c r="G48" s="117"/>
      <c r="H48" s="117"/>
      <c r="I48" s="117"/>
      <c r="J48" s="119" t="s">
        <v>76</v>
      </c>
      <c r="K48" s="119"/>
      <c r="L48" s="119"/>
      <c r="M48" s="119" t="s">
        <v>77</v>
      </c>
      <c r="N48" s="119"/>
      <c r="O48" s="119"/>
      <c r="P48" s="120" t="s">
        <v>78</v>
      </c>
      <c r="Q48" s="117"/>
      <c r="R48" s="117"/>
      <c r="S48" s="117"/>
      <c r="T48" s="117"/>
      <c r="U48" s="117" t="s">
        <v>79</v>
      </c>
      <c r="V48" s="117"/>
      <c r="W48" s="117"/>
      <c r="X48" s="117"/>
      <c r="Y48" s="117"/>
    </row>
    <row r="49" spans="1:37" ht="21" x14ac:dyDescent="0.6">
      <c r="A49" s="118"/>
      <c r="B49" s="118"/>
      <c r="C49" s="118"/>
      <c r="D49" s="118"/>
      <c r="E49" s="118"/>
      <c r="F49" s="118"/>
      <c r="G49" s="118"/>
      <c r="H49" s="118"/>
      <c r="I49" s="118"/>
      <c r="J49" s="121" t="s">
        <v>80</v>
      </c>
      <c r="K49" s="121"/>
      <c r="L49" s="121"/>
      <c r="M49" s="121" t="s">
        <v>81</v>
      </c>
      <c r="N49" s="121"/>
      <c r="O49" s="121"/>
      <c r="P49" s="118"/>
      <c r="Q49" s="118"/>
      <c r="R49" s="118"/>
      <c r="S49" s="118"/>
      <c r="T49" s="118"/>
      <c r="U49" s="118"/>
      <c r="V49" s="118"/>
      <c r="W49" s="118"/>
      <c r="X49" s="118"/>
      <c r="Y49" s="118"/>
    </row>
    <row r="50" spans="1:37" ht="20.100000000000001" customHeight="1" x14ac:dyDescent="0.25">
      <c r="A50" s="195" t="s">
        <v>127</v>
      </c>
      <c r="B50" s="195"/>
      <c r="C50" s="195" t="s">
        <v>132</v>
      </c>
      <c r="D50" s="195"/>
      <c r="E50" s="195"/>
      <c r="F50" s="136" t="s">
        <v>83</v>
      </c>
      <c r="G50" s="136"/>
      <c r="H50" s="136"/>
      <c r="I50" s="136"/>
      <c r="J50" s="137">
        <v>8</v>
      </c>
      <c r="K50" s="137"/>
      <c r="L50" s="137"/>
      <c r="M50" s="138">
        <v>24</v>
      </c>
      <c r="N50" s="138"/>
      <c r="O50" s="138"/>
      <c r="P50" s="139">
        <f>M50*J50</f>
        <v>192</v>
      </c>
      <c r="Q50" s="139"/>
      <c r="R50" s="139"/>
      <c r="S50" s="139"/>
      <c r="T50" s="139"/>
      <c r="U50" s="131">
        <f>M50*($U$28)</f>
        <v>4992</v>
      </c>
      <c r="V50" s="131"/>
      <c r="W50" s="131"/>
      <c r="X50" s="131"/>
      <c r="Y50" s="131"/>
      <c r="Z50" s="45">
        <v>5036</v>
      </c>
      <c r="AA50" s="2">
        <f>Z50/208</f>
        <v>24.21153846153846</v>
      </c>
      <c r="AI50" s="26"/>
      <c r="AK50" s="27"/>
    </row>
    <row r="51" spans="1:37" ht="20.100000000000001" customHeight="1" x14ac:dyDescent="0.25">
      <c r="A51" s="195" t="s">
        <v>127</v>
      </c>
      <c r="B51" s="195"/>
      <c r="C51" s="195" t="s">
        <v>129</v>
      </c>
      <c r="D51" s="195"/>
      <c r="E51" s="195"/>
      <c r="F51" s="136" t="s">
        <v>83</v>
      </c>
      <c r="G51" s="136"/>
      <c r="H51" s="136"/>
      <c r="I51" s="136"/>
      <c r="J51" s="137">
        <v>8</v>
      </c>
      <c r="K51" s="137"/>
      <c r="L51" s="137"/>
      <c r="M51" s="138">
        <v>29</v>
      </c>
      <c r="N51" s="138"/>
      <c r="O51" s="138"/>
      <c r="P51" s="139">
        <f>M51*J51</f>
        <v>232</v>
      </c>
      <c r="Q51" s="139"/>
      <c r="R51" s="139"/>
      <c r="S51" s="139"/>
      <c r="T51" s="139"/>
      <c r="U51" s="131">
        <f>M51*($U$28)</f>
        <v>6032</v>
      </c>
      <c r="V51" s="131"/>
      <c r="W51" s="131"/>
      <c r="X51" s="131"/>
      <c r="Y51" s="131"/>
      <c r="Z51" s="45">
        <v>5976</v>
      </c>
      <c r="AA51" s="2">
        <f>Z51/208</f>
        <v>28.73076923076923</v>
      </c>
      <c r="AI51" s="26"/>
      <c r="AK51" s="27"/>
    </row>
    <row r="52" spans="1:37" ht="20.100000000000001" customHeight="1" x14ac:dyDescent="0.25">
      <c r="A52" s="195" t="s">
        <v>127</v>
      </c>
      <c r="B52" s="195"/>
      <c r="C52" s="195" t="s">
        <v>129</v>
      </c>
      <c r="D52" s="195"/>
      <c r="E52" s="195"/>
      <c r="F52" s="136" t="s">
        <v>88</v>
      </c>
      <c r="G52" s="136" t="s">
        <v>83</v>
      </c>
      <c r="H52" s="136" t="s">
        <v>83</v>
      </c>
      <c r="I52" s="136" t="s">
        <v>83</v>
      </c>
      <c r="J52" s="137">
        <v>8</v>
      </c>
      <c r="K52" s="137"/>
      <c r="L52" s="137"/>
      <c r="M52" s="138">
        <v>133</v>
      </c>
      <c r="N52" s="138"/>
      <c r="O52" s="138"/>
      <c r="P52" s="139">
        <f t="shared" ref="P52:P62" si="0">M52*J52</f>
        <v>1064</v>
      </c>
      <c r="Q52" s="139"/>
      <c r="R52" s="139"/>
      <c r="S52" s="139"/>
      <c r="T52" s="139"/>
      <c r="U52" s="131">
        <f>M52*($U$28)</f>
        <v>27664</v>
      </c>
      <c r="V52" s="131"/>
      <c r="W52" s="131"/>
      <c r="X52" s="131"/>
      <c r="Y52" s="131"/>
      <c r="Z52" s="45">
        <v>28584</v>
      </c>
      <c r="AA52" s="28">
        <f>Z52-860</f>
        <v>27724</v>
      </c>
      <c r="AB52" s="2">
        <f>AA52/208</f>
        <v>133.28846153846155</v>
      </c>
      <c r="AC52" s="2">
        <f>860/N29</f>
        <v>28.666666666666668</v>
      </c>
      <c r="AI52" s="26"/>
      <c r="AK52" s="27"/>
    </row>
    <row r="53" spans="1:37" ht="20.100000000000001" customHeight="1" x14ac:dyDescent="0.25">
      <c r="A53" s="195" t="s">
        <v>127</v>
      </c>
      <c r="B53" s="195"/>
      <c r="C53" s="195" t="s">
        <v>134</v>
      </c>
      <c r="D53" s="195"/>
      <c r="E53" s="195"/>
      <c r="F53" s="136" t="s">
        <v>83</v>
      </c>
      <c r="G53" s="136" t="s">
        <v>83</v>
      </c>
      <c r="H53" s="136" t="s">
        <v>83</v>
      </c>
      <c r="I53" s="136" t="s">
        <v>83</v>
      </c>
      <c r="J53" s="137">
        <v>8</v>
      </c>
      <c r="K53" s="137"/>
      <c r="L53" s="137"/>
      <c r="M53" s="138">
        <v>3</v>
      </c>
      <c r="N53" s="138"/>
      <c r="O53" s="138"/>
      <c r="P53" s="139">
        <f t="shared" si="0"/>
        <v>24</v>
      </c>
      <c r="Q53" s="139"/>
      <c r="R53" s="139"/>
      <c r="S53" s="139"/>
      <c r="T53" s="139"/>
      <c r="U53" s="131">
        <f t="shared" ref="U53:U54" si="1">M53*($U$28)</f>
        <v>624</v>
      </c>
      <c r="V53" s="131"/>
      <c r="W53" s="131"/>
      <c r="X53" s="131"/>
      <c r="Y53" s="131"/>
      <c r="Z53" s="45">
        <v>576</v>
      </c>
      <c r="AA53" s="2">
        <f>Z53/208</f>
        <v>2.7692307692307692</v>
      </c>
      <c r="AI53" s="26"/>
      <c r="AK53" s="27"/>
    </row>
    <row r="54" spans="1:37" ht="20.100000000000001" customHeight="1" x14ac:dyDescent="0.25">
      <c r="A54" s="195" t="s">
        <v>127</v>
      </c>
      <c r="B54" s="195"/>
      <c r="C54" s="195" t="s">
        <v>132</v>
      </c>
      <c r="D54" s="195"/>
      <c r="E54" s="195"/>
      <c r="F54" s="136" t="s">
        <v>88</v>
      </c>
      <c r="G54" s="136" t="s">
        <v>83</v>
      </c>
      <c r="H54" s="136" t="s">
        <v>83</v>
      </c>
      <c r="I54" s="136" t="s">
        <v>83</v>
      </c>
      <c r="J54" s="137">
        <v>8</v>
      </c>
      <c r="K54" s="137"/>
      <c r="L54" s="137"/>
      <c r="M54" s="138">
        <v>144</v>
      </c>
      <c r="N54" s="138"/>
      <c r="O54" s="138"/>
      <c r="P54" s="139">
        <f t="shared" si="0"/>
        <v>1152</v>
      </c>
      <c r="Q54" s="139"/>
      <c r="R54" s="139"/>
      <c r="S54" s="139"/>
      <c r="T54" s="139"/>
      <c r="U54" s="131">
        <f t="shared" si="1"/>
        <v>29952</v>
      </c>
      <c r="V54" s="131"/>
      <c r="W54" s="131"/>
      <c r="X54" s="131"/>
      <c r="Y54" s="131"/>
      <c r="Z54" s="45">
        <v>30772</v>
      </c>
      <c r="AA54" s="28">
        <f>Z54-770</f>
        <v>30002</v>
      </c>
      <c r="AB54" s="2">
        <f>AA54/208</f>
        <v>144.24038461538461</v>
      </c>
      <c r="AC54" s="2">
        <f>770/30</f>
        <v>25.666666666666668</v>
      </c>
      <c r="AI54" s="26"/>
      <c r="AK54" s="27"/>
    </row>
    <row r="55" spans="1:37" ht="20.100000000000001" customHeight="1" x14ac:dyDescent="0.25">
      <c r="A55" s="195" t="s">
        <v>127</v>
      </c>
      <c r="B55" s="195"/>
      <c r="C55" s="195" t="s">
        <v>129</v>
      </c>
      <c r="D55" s="195"/>
      <c r="E55" s="195"/>
      <c r="F55" s="136" t="s">
        <v>88</v>
      </c>
      <c r="G55" s="136" t="s">
        <v>83</v>
      </c>
      <c r="H55" s="136" t="s">
        <v>83</v>
      </c>
      <c r="I55" s="136" t="s">
        <v>83</v>
      </c>
      <c r="J55" s="137">
        <v>2</v>
      </c>
      <c r="K55" s="137"/>
      <c r="L55" s="137"/>
      <c r="M55" s="138">
        <v>28</v>
      </c>
      <c r="N55" s="138">
        <v>4</v>
      </c>
      <c r="O55" s="138">
        <v>4</v>
      </c>
      <c r="P55" s="139">
        <f t="shared" si="0"/>
        <v>56</v>
      </c>
      <c r="Q55" s="139"/>
      <c r="R55" s="139"/>
      <c r="S55" s="139"/>
      <c r="T55" s="139"/>
      <c r="U55" s="145">
        <f>M55*($N$29)</f>
        <v>840</v>
      </c>
      <c r="V55" s="145"/>
      <c r="W55" s="145"/>
      <c r="X55" s="145"/>
      <c r="Y55" s="145"/>
      <c r="AA55" s="28"/>
    </row>
    <row r="56" spans="1:37" ht="20.100000000000001" customHeight="1" x14ac:dyDescent="0.25">
      <c r="A56" s="195" t="s">
        <v>127</v>
      </c>
      <c r="B56" s="195"/>
      <c r="C56" s="195" t="s">
        <v>132</v>
      </c>
      <c r="D56" s="195"/>
      <c r="E56" s="195"/>
      <c r="F56" s="136" t="s">
        <v>88</v>
      </c>
      <c r="G56" s="136" t="s">
        <v>83</v>
      </c>
      <c r="H56" s="136" t="s">
        <v>83</v>
      </c>
      <c r="I56" s="136" t="s">
        <v>83</v>
      </c>
      <c r="J56" s="137">
        <v>2</v>
      </c>
      <c r="K56" s="137"/>
      <c r="L56" s="137"/>
      <c r="M56" s="138">
        <v>25</v>
      </c>
      <c r="N56" s="138"/>
      <c r="O56" s="138"/>
      <c r="P56" s="139">
        <f t="shared" si="0"/>
        <v>50</v>
      </c>
      <c r="Q56" s="139"/>
      <c r="R56" s="139"/>
      <c r="S56" s="139"/>
      <c r="T56" s="139"/>
      <c r="U56" s="131">
        <f t="shared" ref="U56:U62" si="2">M56*($N$29)</f>
        <v>750</v>
      </c>
      <c r="V56" s="131"/>
      <c r="W56" s="131"/>
      <c r="X56" s="131"/>
      <c r="Y56" s="131"/>
      <c r="AA56" s="28"/>
    </row>
    <row r="57" spans="1:37" ht="20.100000000000001" hidden="1" customHeight="1" x14ac:dyDescent="0.25">
      <c r="A57" s="178" t="s">
        <v>127</v>
      </c>
      <c r="B57" s="179"/>
      <c r="C57" s="141" t="s">
        <v>89</v>
      </c>
      <c r="D57" s="141"/>
      <c r="E57" s="142"/>
      <c r="F57" s="143" t="s">
        <v>83</v>
      </c>
      <c r="G57" s="143" t="s">
        <v>83</v>
      </c>
      <c r="H57" s="143" t="s">
        <v>83</v>
      </c>
      <c r="I57" s="143" t="s">
        <v>83</v>
      </c>
      <c r="J57" s="137">
        <v>2</v>
      </c>
      <c r="K57" s="137"/>
      <c r="L57" s="137"/>
      <c r="M57" s="138">
        <v>19</v>
      </c>
      <c r="N57" s="138">
        <v>4</v>
      </c>
      <c r="O57" s="138">
        <v>4</v>
      </c>
      <c r="P57" s="139">
        <f t="shared" si="0"/>
        <v>38</v>
      </c>
      <c r="Q57" s="139"/>
      <c r="R57" s="139"/>
      <c r="S57" s="139"/>
      <c r="T57" s="139"/>
      <c r="U57" s="145">
        <f t="shared" si="2"/>
        <v>570</v>
      </c>
      <c r="V57" s="145"/>
      <c r="W57" s="145"/>
      <c r="X57" s="145"/>
      <c r="Y57" s="145"/>
      <c r="AA57" s="28"/>
    </row>
    <row r="58" spans="1:37" ht="20.100000000000001" hidden="1" customHeight="1" x14ac:dyDescent="0.25">
      <c r="A58" s="178" t="s">
        <v>127</v>
      </c>
      <c r="B58" s="179"/>
      <c r="C58" s="141" t="s">
        <v>91</v>
      </c>
      <c r="D58" s="141"/>
      <c r="E58" s="142"/>
      <c r="F58" s="143" t="s">
        <v>88</v>
      </c>
      <c r="G58" s="143"/>
      <c r="H58" s="143"/>
      <c r="I58" s="143"/>
      <c r="J58" s="137">
        <v>2</v>
      </c>
      <c r="K58" s="137"/>
      <c r="L58" s="137"/>
      <c r="M58" s="138">
        <v>4</v>
      </c>
      <c r="N58" s="138"/>
      <c r="O58" s="138"/>
      <c r="P58" s="139">
        <f t="shared" si="0"/>
        <v>8</v>
      </c>
      <c r="Q58" s="139"/>
      <c r="R58" s="139"/>
      <c r="S58" s="139"/>
      <c r="T58" s="139"/>
      <c r="U58" s="145">
        <f>M58*($N$29)</f>
        <v>120</v>
      </c>
      <c r="V58" s="145"/>
      <c r="W58" s="145"/>
      <c r="X58" s="145"/>
      <c r="Y58" s="145"/>
      <c r="AA58" s="28"/>
    </row>
    <row r="59" spans="1:37" ht="20.100000000000001" hidden="1" customHeight="1" x14ac:dyDescent="0.25">
      <c r="A59" s="178" t="s">
        <v>127</v>
      </c>
      <c r="B59" s="179"/>
      <c r="C59" s="141" t="s">
        <v>89</v>
      </c>
      <c r="D59" s="141"/>
      <c r="E59" s="142"/>
      <c r="F59" s="143" t="s">
        <v>88</v>
      </c>
      <c r="G59" s="143"/>
      <c r="H59" s="143"/>
      <c r="I59" s="143"/>
      <c r="J59" s="137">
        <v>2</v>
      </c>
      <c r="K59" s="137"/>
      <c r="L59" s="137"/>
      <c r="M59" s="138">
        <v>2</v>
      </c>
      <c r="N59" s="138"/>
      <c r="O59" s="138"/>
      <c r="P59" s="139">
        <f t="shared" si="0"/>
        <v>4</v>
      </c>
      <c r="Q59" s="139"/>
      <c r="R59" s="139"/>
      <c r="S59" s="139"/>
      <c r="T59" s="139"/>
      <c r="U59" s="145">
        <f t="shared" ref="U59:U61" si="3">M59*($N$29)</f>
        <v>60</v>
      </c>
      <c r="V59" s="145"/>
      <c r="W59" s="145"/>
      <c r="X59" s="145"/>
      <c r="Y59" s="145"/>
      <c r="AA59" s="28"/>
    </row>
    <row r="60" spans="1:37" ht="20.100000000000001" hidden="1" customHeight="1" x14ac:dyDescent="0.25">
      <c r="A60" s="178" t="s">
        <v>127</v>
      </c>
      <c r="B60" s="179"/>
      <c r="C60" s="141" t="s">
        <v>86</v>
      </c>
      <c r="D60" s="141"/>
      <c r="E60" s="142"/>
      <c r="F60" s="143" t="s">
        <v>88</v>
      </c>
      <c r="G60" s="143"/>
      <c r="H60" s="143"/>
      <c r="I60" s="143"/>
      <c r="J60" s="137">
        <v>2</v>
      </c>
      <c r="K60" s="137"/>
      <c r="L60" s="137"/>
      <c r="M60" s="138">
        <v>4</v>
      </c>
      <c r="N60" s="138"/>
      <c r="O60" s="138"/>
      <c r="P60" s="139">
        <f t="shared" si="0"/>
        <v>8</v>
      </c>
      <c r="Q60" s="139"/>
      <c r="R60" s="139"/>
      <c r="S60" s="139"/>
      <c r="T60" s="139"/>
      <c r="U60" s="145">
        <f t="shared" si="3"/>
        <v>120</v>
      </c>
      <c r="V60" s="145"/>
      <c r="W60" s="145"/>
      <c r="X60" s="145"/>
      <c r="Y60" s="145"/>
      <c r="AA60" s="28"/>
    </row>
    <row r="61" spans="1:37" ht="20.100000000000001" hidden="1" customHeight="1" x14ac:dyDescent="0.25">
      <c r="A61" s="178" t="s">
        <v>127</v>
      </c>
      <c r="B61" s="179"/>
      <c r="C61" s="141" t="s">
        <v>93</v>
      </c>
      <c r="D61" s="141"/>
      <c r="E61" s="142"/>
      <c r="F61" s="143" t="s">
        <v>83</v>
      </c>
      <c r="G61" s="143"/>
      <c r="H61" s="143"/>
      <c r="I61" s="143"/>
      <c r="J61" s="137">
        <v>2</v>
      </c>
      <c r="K61" s="137"/>
      <c r="L61" s="137"/>
      <c r="M61" s="138">
        <v>5</v>
      </c>
      <c r="N61" s="138"/>
      <c r="O61" s="138"/>
      <c r="P61" s="139">
        <f t="shared" si="0"/>
        <v>10</v>
      </c>
      <c r="Q61" s="139"/>
      <c r="R61" s="139"/>
      <c r="S61" s="139"/>
      <c r="T61" s="139"/>
      <c r="U61" s="145">
        <f t="shared" si="3"/>
        <v>150</v>
      </c>
      <c r="V61" s="145"/>
      <c r="W61" s="145"/>
      <c r="X61" s="145"/>
      <c r="Y61" s="145"/>
      <c r="AA61" s="28"/>
    </row>
    <row r="62" spans="1:37" ht="8.4499999999999993" hidden="1" customHeight="1" x14ac:dyDescent="0.25">
      <c r="A62" s="178" t="s">
        <v>127</v>
      </c>
      <c r="B62" s="179"/>
      <c r="C62" s="141" t="s">
        <v>94</v>
      </c>
      <c r="D62" s="141"/>
      <c r="E62" s="142"/>
      <c r="F62" s="150" t="s">
        <v>88</v>
      </c>
      <c r="G62" s="151"/>
      <c r="H62" s="151"/>
      <c r="I62" s="135"/>
      <c r="J62" s="152">
        <v>2</v>
      </c>
      <c r="K62" s="153"/>
      <c r="L62" s="154"/>
      <c r="M62" s="155">
        <v>5</v>
      </c>
      <c r="N62" s="156"/>
      <c r="O62" s="157"/>
      <c r="P62" s="158">
        <f t="shared" si="0"/>
        <v>10</v>
      </c>
      <c r="Q62" s="159"/>
      <c r="R62" s="159"/>
      <c r="S62" s="159"/>
      <c r="T62" s="160"/>
      <c r="U62" s="146">
        <f t="shared" si="2"/>
        <v>150</v>
      </c>
      <c r="V62" s="147"/>
      <c r="W62" s="147"/>
      <c r="X62" s="147"/>
      <c r="Y62" s="148"/>
      <c r="AA62" s="28"/>
    </row>
    <row r="63" spans="1:37" ht="23.25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30"/>
      <c r="K63" s="30"/>
      <c r="L63" s="30"/>
      <c r="M63" s="31"/>
      <c r="N63" s="31"/>
      <c r="O63" s="31"/>
      <c r="P63" s="32"/>
      <c r="Q63" s="32"/>
      <c r="R63" s="32"/>
      <c r="S63" s="32"/>
      <c r="T63" s="32"/>
      <c r="U63" s="32"/>
      <c r="V63" s="32"/>
      <c r="W63" s="32"/>
      <c r="X63" s="32"/>
      <c r="Y63" s="32"/>
      <c r="AA63" s="27"/>
      <c r="AF63"/>
      <c r="AG63"/>
      <c r="AH63"/>
    </row>
    <row r="64" spans="1:37" s="3" customFormat="1" ht="23.25" x14ac:dyDescent="0.65">
      <c r="A64" s="3" t="s">
        <v>95</v>
      </c>
      <c r="Z64" s="46">
        <f>SUM(Z50:Z54)</f>
        <v>70944</v>
      </c>
    </row>
    <row r="65" spans="1:34" ht="21" x14ac:dyDescent="0.6">
      <c r="A65" s="122" t="s">
        <v>68</v>
      </c>
      <c r="B65" s="123"/>
      <c r="C65" s="123"/>
      <c r="D65" s="123"/>
      <c r="E65" s="124"/>
      <c r="F65" s="122" t="s">
        <v>69</v>
      </c>
      <c r="G65" s="123"/>
      <c r="H65" s="123"/>
      <c r="I65" s="124"/>
      <c r="J65" s="119" t="s">
        <v>96</v>
      </c>
      <c r="K65" s="119"/>
      <c r="L65" s="119"/>
      <c r="M65" s="119"/>
      <c r="N65" s="119"/>
      <c r="O65" s="119"/>
      <c r="P65" s="122" t="s">
        <v>66</v>
      </c>
      <c r="Q65" s="123"/>
      <c r="R65" s="123"/>
      <c r="S65" s="123"/>
      <c r="T65" s="124"/>
      <c r="U65" s="122" t="s">
        <v>97</v>
      </c>
      <c r="V65" s="123"/>
      <c r="W65" s="123"/>
      <c r="X65" s="123"/>
      <c r="Y65" s="124"/>
      <c r="Z65" s="28">
        <f>SUM(U50:Y56)</f>
        <v>70854</v>
      </c>
      <c r="AF65"/>
      <c r="AG65"/>
      <c r="AH65"/>
    </row>
    <row r="66" spans="1:34" ht="21" x14ac:dyDescent="0.6">
      <c r="A66" s="125"/>
      <c r="B66" s="126"/>
      <c r="C66" s="126"/>
      <c r="D66" s="126"/>
      <c r="E66" s="127"/>
      <c r="F66" s="125"/>
      <c r="G66" s="126"/>
      <c r="H66" s="126"/>
      <c r="I66" s="127"/>
      <c r="J66" s="149" t="s">
        <v>98</v>
      </c>
      <c r="K66" s="149"/>
      <c r="L66" s="149"/>
      <c r="M66" s="149"/>
      <c r="N66" s="149"/>
      <c r="O66" s="149"/>
      <c r="P66" s="125"/>
      <c r="Q66" s="126"/>
      <c r="R66" s="126"/>
      <c r="S66" s="126"/>
      <c r="T66" s="127"/>
      <c r="U66" s="125"/>
      <c r="V66" s="126"/>
      <c r="W66" s="126"/>
      <c r="X66" s="126"/>
      <c r="Y66" s="127"/>
      <c r="AF66"/>
      <c r="AG66"/>
      <c r="AH66"/>
    </row>
    <row r="67" spans="1:34" ht="19.5" customHeight="1" x14ac:dyDescent="0.25">
      <c r="A67" s="117" t="s">
        <v>74</v>
      </c>
      <c r="B67" s="117"/>
      <c r="C67" s="117"/>
      <c r="D67" s="117"/>
      <c r="E67" s="117"/>
      <c r="F67" s="117" t="s">
        <v>75</v>
      </c>
      <c r="G67" s="117"/>
      <c r="H67" s="117"/>
      <c r="I67" s="117"/>
      <c r="J67" s="122" t="s">
        <v>99</v>
      </c>
      <c r="K67" s="123"/>
      <c r="L67" s="123"/>
      <c r="M67" s="122" t="s">
        <v>100</v>
      </c>
      <c r="N67" s="123"/>
      <c r="O67" s="123"/>
      <c r="P67" s="117" t="s">
        <v>101</v>
      </c>
      <c r="Q67" s="117"/>
      <c r="R67" s="117"/>
      <c r="S67" s="117"/>
      <c r="T67" s="117"/>
      <c r="U67" s="117" t="s">
        <v>102</v>
      </c>
      <c r="V67" s="117"/>
      <c r="W67" s="117"/>
      <c r="X67" s="117"/>
      <c r="Y67" s="117"/>
      <c r="AF67"/>
      <c r="AG67"/>
      <c r="AH67"/>
    </row>
    <row r="68" spans="1:34" ht="21" x14ac:dyDescent="0.6">
      <c r="A68" s="118"/>
      <c r="B68" s="118"/>
      <c r="C68" s="118"/>
      <c r="D68" s="118"/>
      <c r="E68" s="118"/>
      <c r="F68" s="118"/>
      <c r="G68" s="118"/>
      <c r="H68" s="118"/>
      <c r="I68" s="118"/>
      <c r="J68" s="121" t="s">
        <v>103</v>
      </c>
      <c r="K68" s="121"/>
      <c r="L68" s="121"/>
      <c r="M68" s="121" t="s">
        <v>104</v>
      </c>
      <c r="N68" s="121"/>
      <c r="O68" s="121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AF68"/>
      <c r="AG68"/>
      <c r="AH68"/>
    </row>
    <row r="69" spans="1:34" ht="20.100000000000001" customHeight="1" x14ac:dyDescent="0.25">
      <c r="A69" s="150" t="str">
        <f t="shared" ref="A69:A81" si="4">A50</f>
        <v>LADIES</v>
      </c>
      <c r="B69" s="151" t="s">
        <v>82</v>
      </c>
      <c r="C69" s="151" t="str">
        <f t="shared" ref="C69:C81" si="5">C50</f>
        <v>PANTS</v>
      </c>
      <c r="D69" s="151" t="s">
        <v>90</v>
      </c>
      <c r="E69" s="135" t="s">
        <v>90</v>
      </c>
      <c r="F69" s="136" t="str">
        <f t="shared" ref="F69:F81" si="6">F50</f>
        <v>WOVEN</v>
      </c>
      <c r="G69" s="136"/>
      <c r="H69" s="136"/>
      <c r="I69" s="136"/>
      <c r="J69" s="158">
        <f>M69*12</f>
        <v>4.8000000000000007</v>
      </c>
      <c r="K69" s="159"/>
      <c r="L69" s="160"/>
      <c r="M69" s="165">
        <v>0.4</v>
      </c>
      <c r="N69" s="165"/>
      <c r="O69" s="165"/>
      <c r="P69" s="131">
        <f t="shared" ref="P69:P89" si="7">U50</f>
        <v>4992</v>
      </c>
      <c r="Q69" s="131"/>
      <c r="R69" s="131"/>
      <c r="S69" s="131"/>
      <c r="T69" s="131"/>
      <c r="U69" s="161">
        <f>P69*M69</f>
        <v>1996.8000000000002</v>
      </c>
      <c r="V69" s="161"/>
      <c r="W69" s="161"/>
      <c r="X69" s="161"/>
      <c r="Y69" s="161"/>
      <c r="AF69"/>
      <c r="AG69"/>
      <c r="AH69"/>
    </row>
    <row r="70" spans="1:34" ht="20.100000000000001" customHeight="1" x14ac:dyDescent="0.25">
      <c r="A70" s="150" t="str">
        <f t="shared" si="4"/>
        <v>LADIES</v>
      </c>
      <c r="B70" s="151" t="s">
        <v>82</v>
      </c>
      <c r="C70" s="151" t="str">
        <f t="shared" si="5"/>
        <v>PAJAMAS</v>
      </c>
      <c r="D70" s="151" t="s">
        <v>90</v>
      </c>
      <c r="E70" s="135" t="s">
        <v>90</v>
      </c>
      <c r="F70" s="136" t="str">
        <f t="shared" si="6"/>
        <v>WOVEN</v>
      </c>
      <c r="G70" s="136"/>
      <c r="H70" s="136"/>
      <c r="I70" s="136"/>
      <c r="J70" s="139">
        <f>M70*12</f>
        <v>2.4000000000000004</v>
      </c>
      <c r="K70" s="139"/>
      <c r="L70" s="139"/>
      <c r="M70" s="162">
        <v>0.2</v>
      </c>
      <c r="N70" s="163"/>
      <c r="O70" s="164"/>
      <c r="P70" s="131">
        <f t="shared" si="7"/>
        <v>6032</v>
      </c>
      <c r="Q70" s="131"/>
      <c r="R70" s="131"/>
      <c r="S70" s="131"/>
      <c r="T70" s="131"/>
      <c r="U70" s="161">
        <f>P70*M70</f>
        <v>1206.4000000000001</v>
      </c>
      <c r="V70" s="161"/>
      <c r="W70" s="161"/>
      <c r="X70" s="161"/>
      <c r="Y70" s="161"/>
    </row>
    <row r="71" spans="1:34" ht="20.100000000000001" customHeight="1" x14ac:dyDescent="0.25">
      <c r="A71" s="150" t="str">
        <f t="shared" si="4"/>
        <v>LADIES</v>
      </c>
      <c r="B71" s="151" t="s">
        <v>82</v>
      </c>
      <c r="C71" s="151" t="str">
        <f t="shared" si="5"/>
        <v>PAJAMAS</v>
      </c>
      <c r="D71" s="151" t="s">
        <v>90</v>
      </c>
      <c r="E71" s="135" t="s">
        <v>90</v>
      </c>
      <c r="F71" s="136" t="str">
        <f t="shared" si="6"/>
        <v xml:space="preserve">KNITTED </v>
      </c>
      <c r="G71" s="136"/>
      <c r="H71" s="136"/>
      <c r="I71" s="136"/>
      <c r="J71" s="139">
        <f t="shared" ref="J71:J73" si="8">M71*12</f>
        <v>3.5999999999999996</v>
      </c>
      <c r="K71" s="139"/>
      <c r="L71" s="139"/>
      <c r="M71" s="162">
        <v>0.3</v>
      </c>
      <c r="N71" s="163"/>
      <c r="O71" s="164"/>
      <c r="P71" s="131">
        <f t="shared" si="7"/>
        <v>27664</v>
      </c>
      <c r="Q71" s="131"/>
      <c r="R71" s="131"/>
      <c r="S71" s="131"/>
      <c r="T71" s="131"/>
      <c r="U71" s="161">
        <f t="shared" ref="U71:U89" si="9">P71*M71</f>
        <v>8299.1999999999989</v>
      </c>
      <c r="V71" s="161"/>
      <c r="W71" s="161"/>
      <c r="X71" s="161"/>
      <c r="Y71" s="161"/>
    </row>
    <row r="72" spans="1:34" ht="20.100000000000001" customHeight="1" x14ac:dyDescent="0.25">
      <c r="A72" s="150" t="str">
        <f t="shared" si="4"/>
        <v>LADIES</v>
      </c>
      <c r="B72" s="151" t="s">
        <v>82</v>
      </c>
      <c r="C72" s="151" t="str">
        <f t="shared" si="5"/>
        <v>DRESS</v>
      </c>
      <c r="D72" s="151" t="s">
        <v>90</v>
      </c>
      <c r="E72" s="135" t="s">
        <v>90</v>
      </c>
      <c r="F72" s="136" t="str">
        <f t="shared" si="6"/>
        <v>WOVEN</v>
      </c>
      <c r="G72" s="136"/>
      <c r="H72" s="136"/>
      <c r="I72" s="136"/>
      <c r="J72" s="139">
        <f t="shared" si="8"/>
        <v>4.8000000000000007</v>
      </c>
      <c r="K72" s="139"/>
      <c r="L72" s="139"/>
      <c r="M72" s="162">
        <v>0.4</v>
      </c>
      <c r="N72" s="163"/>
      <c r="O72" s="164"/>
      <c r="P72" s="131">
        <f t="shared" si="7"/>
        <v>624</v>
      </c>
      <c r="Q72" s="131"/>
      <c r="R72" s="131"/>
      <c r="S72" s="131"/>
      <c r="T72" s="131"/>
      <c r="U72" s="161">
        <f t="shared" si="9"/>
        <v>249.60000000000002</v>
      </c>
      <c r="V72" s="161"/>
      <c r="W72" s="161"/>
      <c r="X72" s="161"/>
      <c r="Y72" s="161"/>
      <c r="AB72" s="33"/>
    </row>
    <row r="73" spans="1:34" ht="20.100000000000001" customHeight="1" x14ac:dyDescent="0.25">
      <c r="A73" s="150" t="str">
        <f t="shared" si="4"/>
        <v>LADIES</v>
      </c>
      <c r="B73" s="151" t="s">
        <v>82</v>
      </c>
      <c r="C73" s="151" t="str">
        <f t="shared" si="5"/>
        <v>PANTS</v>
      </c>
      <c r="D73" s="151" t="s">
        <v>90</v>
      </c>
      <c r="E73" s="135" t="s">
        <v>90</v>
      </c>
      <c r="F73" s="136" t="str">
        <f t="shared" si="6"/>
        <v xml:space="preserve">KNITTED </v>
      </c>
      <c r="G73" s="136"/>
      <c r="H73" s="136"/>
      <c r="I73" s="136"/>
      <c r="J73" s="139">
        <f t="shared" si="8"/>
        <v>4.8000000000000007</v>
      </c>
      <c r="K73" s="139"/>
      <c r="L73" s="139"/>
      <c r="M73" s="162">
        <v>0.4</v>
      </c>
      <c r="N73" s="163"/>
      <c r="O73" s="164"/>
      <c r="P73" s="131">
        <f t="shared" si="7"/>
        <v>29952</v>
      </c>
      <c r="Q73" s="131"/>
      <c r="R73" s="131"/>
      <c r="S73" s="131"/>
      <c r="T73" s="131"/>
      <c r="U73" s="161">
        <f t="shared" si="9"/>
        <v>11980.800000000001</v>
      </c>
      <c r="V73" s="161"/>
      <c r="W73" s="161"/>
      <c r="X73" s="161"/>
      <c r="Y73" s="161"/>
    </row>
    <row r="74" spans="1:34" ht="20.100000000000001" customHeight="1" x14ac:dyDescent="0.25">
      <c r="A74" s="150" t="str">
        <f t="shared" si="4"/>
        <v>LADIES</v>
      </c>
      <c r="B74" s="151" t="s">
        <v>82</v>
      </c>
      <c r="C74" s="151" t="str">
        <f t="shared" si="5"/>
        <v>PAJAMAS</v>
      </c>
      <c r="D74" s="151" t="s">
        <v>90</v>
      </c>
      <c r="E74" s="135" t="s">
        <v>90</v>
      </c>
      <c r="F74" s="136" t="str">
        <f t="shared" si="6"/>
        <v xml:space="preserve">KNITTED </v>
      </c>
      <c r="G74" s="136"/>
      <c r="H74" s="136"/>
      <c r="I74" s="136"/>
      <c r="J74" s="139">
        <f>M74*12</f>
        <v>11.626285714285713</v>
      </c>
      <c r="K74" s="139"/>
      <c r="L74" s="139"/>
      <c r="M74" s="165">
        <v>0.96885714285714275</v>
      </c>
      <c r="N74" s="165"/>
      <c r="O74" s="165"/>
      <c r="P74" s="131">
        <f t="shared" si="7"/>
        <v>840</v>
      </c>
      <c r="Q74" s="131"/>
      <c r="R74" s="131"/>
      <c r="S74" s="131"/>
      <c r="T74" s="131"/>
      <c r="U74" s="161">
        <f t="shared" si="9"/>
        <v>813.83999999999992</v>
      </c>
      <c r="V74" s="161"/>
      <c r="W74" s="161"/>
      <c r="X74" s="161"/>
      <c r="Y74" s="161"/>
    </row>
    <row r="75" spans="1:34" ht="20.100000000000001" customHeight="1" x14ac:dyDescent="0.25">
      <c r="A75" s="150" t="str">
        <f t="shared" si="4"/>
        <v>LADIES</v>
      </c>
      <c r="B75" s="151" t="s">
        <v>82</v>
      </c>
      <c r="C75" s="151" t="str">
        <f t="shared" si="5"/>
        <v>PANTS</v>
      </c>
      <c r="D75" s="151" t="s">
        <v>90</v>
      </c>
      <c r="E75" s="135" t="s">
        <v>90</v>
      </c>
      <c r="F75" s="136" t="str">
        <f t="shared" si="6"/>
        <v xml:space="preserve">KNITTED </v>
      </c>
      <c r="G75" s="136"/>
      <c r="H75" s="136"/>
      <c r="I75" s="136"/>
      <c r="J75" s="139">
        <f t="shared" ref="J75:J81" si="10">M75*12</f>
        <v>8.5215189873417714</v>
      </c>
      <c r="K75" s="139"/>
      <c r="L75" s="139"/>
      <c r="M75" s="165">
        <v>0.71012658227848091</v>
      </c>
      <c r="N75" s="165"/>
      <c r="O75" s="165"/>
      <c r="P75" s="131">
        <f t="shared" si="7"/>
        <v>750</v>
      </c>
      <c r="Q75" s="131"/>
      <c r="R75" s="131"/>
      <c r="S75" s="131"/>
      <c r="T75" s="131"/>
      <c r="U75" s="161">
        <f t="shared" si="9"/>
        <v>532.5949367088607</v>
      </c>
      <c r="V75" s="161"/>
      <c r="W75" s="161"/>
      <c r="X75" s="161"/>
      <c r="Y75" s="161"/>
    </row>
    <row r="76" spans="1:34" ht="20.100000000000001" hidden="1" customHeight="1" x14ac:dyDescent="0.25">
      <c r="A76" s="150" t="str">
        <f t="shared" si="4"/>
        <v>LADIES</v>
      </c>
      <c r="B76" s="151" t="s">
        <v>82</v>
      </c>
      <c r="C76" s="151" t="str">
        <f t="shared" si="5"/>
        <v>JECKET</v>
      </c>
      <c r="D76" s="151" t="s">
        <v>90</v>
      </c>
      <c r="E76" s="135" t="s">
        <v>90</v>
      </c>
      <c r="F76" s="136" t="str">
        <f t="shared" si="6"/>
        <v>WOVEN</v>
      </c>
      <c r="G76" s="136"/>
      <c r="H76" s="136"/>
      <c r="I76" s="136"/>
      <c r="J76" s="139">
        <f t="shared" si="10"/>
        <v>6.8461538461538458</v>
      </c>
      <c r="K76" s="139"/>
      <c r="L76" s="139"/>
      <c r="M76" s="165">
        <v>0.57051282051282048</v>
      </c>
      <c r="N76" s="165"/>
      <c r="O76" s="165"/>
      <c r="P76" s="131">
        <f t="shared" si="7"/>
        <v>570</v>
      </c>
      <c r="Q76" s="131"/>
      <c r="R76" s="131"/>
      <c r="S76" s="131"/>
      <c r="T76" s="131"/>
      <c r="U76" s="161">
        <f t="shared" si="9"/>
        <v>325.19230769230768</v>
      </c>
      <c r="V76" s="161"/>
      <c r="W76" s="161"/>
      <c r="X76" s="161"/>
      <c r="Y76" s="161"/>
    </row>
    <row r="77" spans="1:34" ht="20.100000000000001" hidden="1" customHeight="1" x14ac:dyDescent="0.25">
      <c r="A77" s="150" t="str">
        <f t="shared" si="4"/>
        <v>LADIES</v>
      </c>
      <c r="B77" s="151" t="s">
        <v>82</v>
      </c>
      <c r="C77" s="151" t="str">
        <f t="shared" si="5"/>
        <v>SWEATER</v>
      </c>
      <c r="D77" s="151" t="s">
        <v>90</v>
      </c>
      <c r="E77" s="135" t="s">
        <v>90</v>
      </c>
      <c r="F77" s="136" t="str">
        <f t="shared" si="6"/>
        <v xml:space="preserve">KNITTED </v>
      </c>
      <c r="G77" s="136"/>
      <c r="H77" s="136"/>
      <c r="I77" s="136"/>
      <c r="J77" s="139">
        <f t="shared" si="10"/>
        <v>8.8508571428571443</v>
      </c>
      <c r="K77" s="139"/>
      <c r="L77" s="139"/>
      <c r="M77" s="165">
        <v>0.73757142857142866</v>
      </c>
      <c r="N77" s="165"/>
      <c r="O77" s="165"/>
      <c r="P77" s="131">
        <f t="shared" si="7"/>
        <v>120</v>
      </c>
      <c r="Q77" s="131"/>
      <c r="R77" s="131"/>
      <c r="S77" s="131"/>
      <c r="T77" s="131"/>
      <c r="U77" s="161">
        <f t="shared" si="9"/>
        <v>88.508571428571443</v>
      </c>
      <c r="V77" s="161"/>
      <c r="W77" s="161"/>
      <c r="X77" s="161"/>
      <c r="Y77" s="161"/>
    </row>
    <row r="78" spans="1:34" ht="20.100000000000001" hidden="1" customHeight="1" x14ac:dyDescent="0.25">
      <c r="A78" s="150" t="str">
        <f t="shared" si="4"/>
        <v>LADIES</v>
      </c>
      <c r="B78" s="151" t="s">
        <v>82</v>
      </c>
      <c r="C78" s="151" t="str">
        <f t="shared" si="5"/>
        <v>JECKET</v>
      </c>
      <c r="D78" s="151" t="s">
        <v>90</v>
      </c>
      <c r="E78" s="135" t="s">
        <v>90</v>
      </c>
      <c r="F78" s="136" t="str">
        <f t="shared" si="6"/>
        <v xml:space="preserve">KNITTED </v>
      </c>
      <c r="G78" s="136"/>
      <c r="H78" s="136"/>
      <c r="I78" s="136"/>
      <c r="J78" s="139">
        <f t="shared" si="10"/>
        <v>9.1687500000000011</v>
      </c>
      <c r="K78" s="139"/>
      <c r="L78" s="139"/>
      <c r="M78" s="165">
        <v>0.76406250000000009</v>
      </c>
      <c r="N78" s="165"/>
      <c r="O78" s="165"/>
      <c r="P78" s="131">
        <f t="shared" si="7"/>
        <v>60</v>
      </c>
      <c r="Q78" s="131"/>
      <c r="R78" s="131"/>
      <c r="S78" s="131"/>
      <c r="T78" s="131"/>
      <c r="U78" s="161">
        <f t="shared" si="9"/>
        <v>45.843750000000007</v>
      </c>
      <c r="V78" s="161"/>
      <c r="W78" s="161"/>
      <c r="X78" s="161"/>
      <c r="Y78" s="161"/>
    </row>
    <row r="79" spans="1:34" ht="20.100000000000001" hidden="1" customHeight="1" x14ac:dyDescent="0.25">
      <c r="A79" s="150" t="str">
        <f t="shared" si="4"/>
        <v>LADIES</v>
      </c>
      <c r="B79" s="151" t="s">
        <v>82</v>
      </c>
      <c r="C79" s="151" t="str">
        <f t="shared" si="5"/>
        <v xml:space="preserve">SHIRT </v>
      </c>
      <c r="D79" s="151" t="s">
        <v>90</v>
      </c>
      <c r="E79" s="135" t="s">
        <v>90</v>
      </c>
      <c r="F79" s="136" t="str">
        <f t="shared" si="6"/>
        <v xml:space="preserve">KNITTED </v>
      </c>
      <c r="G79" s="136"/>
      <c r="H79" s="136"/>
      <c r="I79" s="136"/>
      <c r="J79" s="139">
        <f t="shared" si="10"/>
        <v>6.6782608695652179</v>
      </c>
      <c r="K79" s="139"/>
      <c r="L79" s="139"/>
      <c r="M79" s="165">
        <v>0.55652173913043479</v>
      </c>
      <c r="N79" s="165"/>
      <c r="O79" s="165"/>
      <c r="P79" s="131">
        <f t="shared" si="7"/>
        <v>120</v>
      </c>
      <c r="Q79" s="131"/>
      <c r="R79" s="131"/>
      <c r="S79" s="131"/>
      <c r="T79" s="131"/>
      <c r="U79" s="161">
        <f t="shared" si="9"/>
        <v>66.782608695652172</v>
      </c>
      <c r="V79" s="161"/>
      <c r="W79" s="161"/>
      <c r="X79" s="161"/>
      <c r="Y79" s="161"/>
    </row>
    <row r="80" spans="1:34" ht="20.100000000000001" hidden="1" customHeight="1" x14ac:dyDescent="0.25">
      <c r="A80" s="150" t="str">
        <f t="shared" si="4"/>
        <v>LADIES</v>
      </c>
      <c r="B80" s="151" t="s">
        <v>82</v>
      </c>
      <c r="C80" s="151" t="str">
        <f t="shared" si="5"/>
        <v>VEST</v>
      </c>
      <c r="D80" s="151" t="s">
        <v>90</v>
      </c>
      <c r="E80" s="135" t="s">
        <v>90</v>
      </c>
      <c r="F80" s="136" t="str">
        <f t="shared" si="6"/>
        <v>WOVEN</v>
      </c>
      <c r="G80" s="136"/>
      <c r="H80" s="136"/>
      <c r="I80" s="136"/>
      <c r="J80" s="139">
        <f t="shared" si="10"/>
        <v>2.514418604651163</v>
      </c>
      <c r="K80" s="139"/>
      <c r="L80" s="139"/>
      <c r="M80" s="165">
        <v>0.20953488372093027</v>
      </c>
      <c r="N80" s="165"/>
      <c r="O80" s="165"/>
      <c r="P80" s="131">
        <f t="shared" si="7"/>
        <v>150</v>
      </c>
      <c r="Q80" s="131"/>
      <c r="R80" s="131"/>
      <c r="S80" s="131"/>
      <c r="T80" s="131"/>
      <c r="U80" s="161">
        <f t="shared" si="9"/>
        <v>31.43023255813954</v>
      </c>
      <c r="V80" s="161"/>
      <c r="W80" s="161"/>
      <c r="X80" s="161"/>
      <c r="Y80" s="161"/>
    </row>
    <row r="81" spans="1:25" ht="20.100000000000001" hidden="1" customHeight="1" x14ac:dyDescent="0.25">
      <c r="A81" s="150" t="str">
        <f t="shared" si="4"/>
        <v>LADIES</v>
      </c>
      <c r="B81" s="151" t="s">
        <v>82</v>
      </c>
      <c r="C81" s="151" t="str">
        <f t="shared" si="5"/>
        <v>BELT</v>
      </c>
      <c r="D81" s="151" t="s">
        <v>90</v>
      </c>
      <c r="E81" s="135" t="s">
        <v>90</v>
      </c>
      <c r="F81" s="136" t="str">
        <f t="shared" si="6"/>
        <v xml:space="preserve">KNITTED </v>
      </c>
      <c r="G81" s="136"/>
      <c r="H81" s="136"/>
      <c r="I81" s="136"/>
      <c r="J81" s="139">
        <f t="shared" si="10"/>
        <v>1.1274418604651162</v>
      </c>
      <c r="K81" s="139"/>
      <c r="L81" s="139"/>
      <c r="M81" s="165">
        <v>9.3953488372093025E-2</v>
      </c>
      <c r="N81" s="165"/>
      <c r="O81" s="165"/>
      <c r="P81" s="131">
        <f t="shared" si="7"/>
        <v>150</v>
      </c>
      <c r="Q81" s="131"/>
      <c r="R81" s="131"/>
      <c r="S81" s="131"/>
      <c r="T81" s="131"/>
      <c r="U81" s="161">
        <f t="shared" si="9"/>
        <v>14.093023255813954</v>
      </c>
      <c r="V81" s="161"/>
      <c r="W81" s="161"/>
      <c r="X81" s="161"/>
      <c r="Y81" s="161"/>
    </row>
    <row r="82" spans="1:25" ht="20.100000000000001" hidden="1" customHeight="1" x14ac:dyDescent="0.25">
      <c r="A82" s="150"/>
      <c r="B82" s="151"/>
      <c r="C82" s="151"/>
      <c r="D82" s="151"/>
      <c r="E82" s="135"/>
      <c r="F82" s="136"/>
      <c r="G82" s="136"/>
      <c r="H82" s="136"/>
      <c r="I82" s="136"/>
      <c r="J82" s="139"/>
      <c r="K82" s="139"/>
      <c r="L82" s="139"/>
      <c r="M82" s="166"/>
      <c r="N82" s="166"/>
      <c r="O82" s="166"/>
      <c r="P82" s="131">
        <f t="shared" si="7"/>
        <v>0</v>
      </c>
      <c r="Q82" s="131"/>
      <c r="R82" s="131"/>
      <c r="S82" s="131"/>
      <c r="T82" s="131"/>
      <c r="U82" s="161">
        <f t="shared" si="9"/>
        <v>0</v>
      </c>
      <c r="V82" s="161"/>
      <c r="W82" s="161"/>
      <c r="X82" s="161"/>
      <c r="Y82" s="161"/>
    </row>
    <row r="83" spans="1:25" ht="20.100000000000001" hidden="1" customHeight="1" x14ac:dyDescent="0.25">
      <c r="A83" s="150"/>
      <c r="B83" s="151"/>
      <c r="C83" s="151"/>
      <c r="D83" s="151"/>
      <c r="E83" s="135"/>
      <c r="F83" s="136"/>
      <c r="G83" s="136"/>
      <c r="H83" s="136"/>
      <c r="I83" s="136"/>
      <c r="J83" s="139"/>
      <c r="K83" s="139"/>
      <c r="L83" s="139"/>
      <c r="M83" s="166"/>
      <c r="N83" s="166"/>
      <c r="O83" s="166"/>
      <c r="P83" s="131">
        <f t="shared" si="7"/>
        <v>0</v>
      </c>
      <c r="Q83" s="131"/>
      <c r="R83" s="131"/>
      <c r="S83" s="131"/>
      <c r="T83" s="131"/>
      <c r="U83" s="161">
        <f t="shared" si="9"/>
        <v>0</v>
      </c>
      <c r="V83" s="161"/>
      <c r="W83" s="161"/>
      <c r="X83" s="161"/>
      <c r="Y83" s="161"/>
    </row>
    <row r="84" spans="1:25" ht="20.100000000000001" hidden="1" customHeight="1" x14ac:dyDescent="0.25">
      <c r="A84" s="150"/>
      <c r="B84" s="151"/>
      <c r="C84" s="151"/>
      <c r="D84" s="151"/>
      <c r="E84" s="135"/>
      <c r="F84" s="136"/>
      <c r="G84" s="136"/>
      <c r="H84" s="136"/>
      <c r="I84" s="136"/>
      <c r="J84" s="139"/>
      <c r="K84" s="139"/>
      <c r="L84" s="139"/>
      <c r="M84" s="166"/>
      <c r="N84" s="166"/>
      <c r="O84" s="166"/>
      <c r="P84" s="131" t="str">
        <f t="shared" si="7"/>
        <v>ទម្ងន់សរុប</v>
      </c>
      <c r="Q84" s="131"/>
      <c r="R84" s="131"/>
      <c r="S84" s="131"/>
      <c r="T84" s="131"/>
      <c r="U84" s="161" t="e">
        <f t="shared" si="9"/>
        <v>#VALUE!</v>
      </c>
      <c r="V84" s="161"/>
      <c r="W84" s="161"/>
      <c r="X84" s="161"/>
      <c r="Y84" s="161"/>
    </row>
    <row r="85" spans="1:25" ht="20.100000000000001" hidden="1" customHeight="1" x14ac:dyDescent="0.25">
      <c r="A85" s="150"/>
      <c r="B85" s="151"/>
      <c r="C85" s="151"/>
      <c r="D85" s="151"/>
      <c r="E85" s="135"/>
      <c r="F85" s="136"/>
      <c r="G85" s="136"/>
      <c r="H85" s="136"/>
      <c r="I85" s="136"/>
      <c r="J85" s="139"/>
      <c r="K85" s="139"/>
      <c r="L85" s="139"/>
      <c r="M85" s="166"/>
      <c r="N85" s="166"/>
      <c r="O85" s="166"/>
      <c r="P85" s="131">
        <f t="shared" si="7"/>
        <v>0</v>
      </c>
      <c r="Q85" s="131"/>
      <c r="R85" s="131"/>
      <c r="S85" s="131"/>
      <c r="T85" s="131"/>
      <c r="U85" s="161">
        <f t="shared" si="9"/>
        <v>0</v>
      </c>
      <c r="V85" s="161"/>
      <c r="W85" s="161"/>
      <c r="X85" s="161"/>
      <c r="Y85" s="161"/>
    </row>
    <row r="86" spans="1:25" ht="20.100000000000001" hidden="1" customHeight="1" x14ac:dyDescent="0.25">
      <c r="A86" s="150" t="e">
        <f>#REF!</f>
        <v>#REF!</v>
      </c>
      <c r="B86" s="151" t="s">
        <v>82</v>
      </c>
      <c r="C86" s="151" t="e">
        <f>#REF!</f>
        <v>#REF!</v>
      </c>
      <c r="D86" s="151" t="s">
        <v>90</v>
      </c>
      <c r="E86" s="135" t="s">
        <v>90</v>
      </c>
      <c r="F86" s="136" t="s">
        <v>105</v>
      </c>
      <c r="G86" s="136"/>
      <c r="H86" s="136"/>
      <c r="I86" s="136"/>
      <c r="J86" s="167">
        <f t="shared" ref="J86:J88" si="11">M86*12</f>
        <v>4.9379999999999997</v>
      </c>
      <c r="K86" s="168"/>
      <c r="L86" s="169"/>
      <c r="M86" s="165">
        <v>0.41149999999999998</v>
      </c>
      <c r="N86" s="165">
        <v>0.41149999999999998</v>
      </c>
      <c r="O86" s="165">
        <v>0.41149999999999998</v>
      </c>
      <c r="P86" s="131" t="str">
        <f t="shared" si="7"/>
        <v>Total Weight</v>
      </c>
      <c r="Q86" s="131"/>
      <c r="R86" s="131"/>
      <c r="S86" s="131"/>
      <c r="T86" s="131"/>
      <c r="U86" s="161" t="e">
        <f t="shared" si="9"/>
        <v>#VALUE!</v>
      </c>
      <c r="V86" s="161"/>
      <c r="W86" s="161"/>
      <c r="X86" s="161"/>
      <c r="Y86" s="161"/>
    </row>
    <row r="87" spans="1:25" ht="20.100000000000001" hidden="1" customHeight="1" x14ac:dyDescent="0.25">
      <c r="A87" s="150" t="e">
        <f>#REF!</f>
        <v>#REF!</v>
      </c>
      <c r="B87" s="151" t="s">
        <v>82</v>
      </c>
      <c r="C87" s="151" t="e">
        <f>#REF!</f>
        <v>#REF!</v>
      </c>
      <c r="D87" s="151" t="s">
        <v>90</v>
      </c>
      <c r="E87" s="135" t="s">
        <v>90</v>
      </c>
      <c r="F87" s="136" t="s">
        <v>105</v>
      </c>
      <c r="G87" s="136"/>
      <c r="H87" s="136"/>
      <c r="I87" s="136"/>
      <c r="J87" s="139">
        <f t="shared" si="11"/>
        <v>2.2251499999999997</v>
      </c>
      <c r="K87" s="139"/>
      <c r="L87" s="139"/>
      <c r="M87" s="165">
        <v>0.18542916666666664</v>
      </c>
      <c r="N87" s="165">
        <v>0.18542916666666664</v>
      </c>
      <c r="O87" s="165">
        <v>0.18542916666666664</v>
      </c>
      <c r="P87" s="131">
        <f t="shared" si="7"/>
        <v>0</v>
      </c>
      <c r="Q87" s="131"/>
      <c r="R87" s="131"/>
      <c r="S87" s="131"/>
      <c r="T87" s="131"/>
      <c r="U87" s="161">
        <f t="shared" si="9"/>
        <v>0</v>
      </c>
      <c r="V87" s="161"/>
      <c r="W87" s="161"/>
      <c r="X87" s="161"/>
      <c r="Y87" s="161"/>
    </row>
    <row r="88" spans="1:25" ht="23.25" hidden="1" customHeight="1" x14ac:dyDescent="0.25">
      <c r="A88" s="150" t="e">
        <f>#REF!</f>
        <v>#REF!</v>
      </c>
      <c r="B88" s="151" t="s">
        <v>82</v>
      </c>
      <c r="C88" s="151" t="e">
        <f>#REF!</f>
        <v>#REF!</v>
      </c>
      <c r="D88" s="151" t="s">
        <v>90</v>
      </c>
      <c r="E88" s="135" t="s">
        <v>90</v>
      </c>
      <c r="F88" s="170" t="s">
        <v>105</v>
      </c>
      <c r="G88" s="170"/>
      <c r="H88" s="170"/>
      <c r="I88" s="170"/>
      <c r="J88" s="167">
        <f t="shared" si="11"/>
        <v>0</v>
      </c>
      <c r="K88" s="168"/>
      <c r="L88" s="169"/>
      <c r="M88" s="171"/>
      <c r="N88" s="171"/>
      <c r="O88" s="171"/>
      <c r="P88" s="131">
        <f t="shared" si="7"/>
        <v>1996.8000000000002</v>
      </c>
      <c r="Q88" s="131"/>
      <c r="R88" s="131"/>
      <c r="S88" s="131"/>
      <c r="T88" s="131"/>
      <c r="U88" s="161">
        <f t="shared" si="9"/>
        <v>0</v>
      </c>
      <c r="V88" s="161"/>
      <c r="W88" s="161"/>
      <c r="X88" s="161"/>
      <c r="Y88" s="161"/>
    </row>
    <row r="89" spans="1:25" ht="23.25" hidden="1" customHeight="1" x14ac:dyDescent="0.25">
      <c r="A89" s="150" t="e">
        <f>#REF!</f>
        <v>#REF!</v>
      </c>
      <c r="B89" s="151" t="s">
        <v>82</v>
      </c>
      <c r="C89" s="151" t="e">
        <f>#REF!</f>
        <v>#REF!</v>
      </c>
      <c r="D89" s="151" t="s">
        <v>90</v>
      </c>
      <c r="E89" s="135" t="s">
        <v>90</v>
      </c>
      <c r="F89" s="170" t="s">
        <v>105</v>
      </c>
      <c r="G89" s="170"/>
      <c r="H89" s="170"/>
      <c r="I89" s="170"/>
      <c r="J89" s="139">
        <f>M89*12</f>
        <v>0</v>
      </c>
      <c r="K89" s="139"/>
      <c r="L89" s="139"/>
      <c r="M89" s="171"/>
      <c r="N89" s="171"/>
      <c r="O89" s="171"/>
      <c r="P89" s="131">
        <f t="shared" si="7"/>
        <v>1206.4000000000001</v>
      </c>
      <c r="Q89" s="131"/>
      <c r="R89" s="131"/>
      <c r="S89" s="131"/>
      <c r="T89" s="131"/>
      <c r="U89" s="161">
        <f t="shared" si="9"/>
        <v>0</v>
      </c>
      <c r="V89" s="161"/>
      <c r="W89" s="161"/>
      <c r="X89" s="161"/>
      <c r="Y89" s="161"/>
    </row>
    <row r="90" spans="1:25" ht="9.9499999999999993" customHeigh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34"/>
      <c r="K90" s="34"/>
      <c r="L90" s="34"/>
      <c r="M90" s="35"/>
      <c r="N90" s="35"/>
      <c r="O90" s="35"/>
      <c r="P90" s="32"/>
      <c r="Q90" s="32"/>
      <c r="R90" s="32"/>
      <c r="S90" s="32"/>
      <c r="T90" s="32"/>
      <c r="U90" s="35"/>
      <c r="V90" s="35"/>
      <c r="W90" s="35"/>
      <c r="X90" s="35"/>
      <c r="Y90" s="35"/>
    </row>
    <row r="91" spans="1:25" ht="23.25" x14ac:dyDescent="0.65">
      <c r="A91" s="3" t="s">
        <v>106</v>
      </c>
      <c r="B91" s="25"/>
      <c r="C91" s="25"/>
      <c r="D91" s="25"/>
      <c r="E91" s="25"/>
      <c r="F91" s="2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20.100000000000001" customHeight="1" x14ac:dyDescent="0.65">
      <c r="A92" s="36"/>
      <c r="B92" s="4" t="s">
        <v>107</v>
      </c>
      <c r="C92" s="25"/>
      <c r="D92" s="25"/>
      <c r="E92" s="25"/>
      <c r="F92" s="2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0.100000000000001" customHeight="1" x14ac:dyDescent="0.65">
      <c r="A93" s="4" t="s">
        <v>108</v>
      </c>
      <c r="B93" s="25"/>
      <c r="C93" s="25"/>
      <c r="D93" s="25"/>
      <c r="E93" s="25"/>
      <c r="F93" s="2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23.25" x14ac:dyDescent="0.65">
      <c r="A94" s="36"/>
      <c r="B94" s="3" t="s">
        <v>109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3.25" x14ac:dyDescent="0.65">
      <c r="A95" s="4" t="s">
        <v>122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23.25" x14ac:dyDescent="0.65">
      <c r="A96" s="3"/>
      <c r="B96" s="3" t="s">
        <v>110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21.95" customHeight="1" x14ac:dyDescent="0.65">
      <c r="A97" s="37" t="s">
        <v>111</v>
      </c>
      <c r="B97" s="38"/>
      <c r="C97" s="38"/>
      <c r="D97" s="38"/>
      <c r="E97" s="38"/>
      <c r="F97" s="38"/>
      <c r="G97" s="37"/>
      <c r="H97" s="3"/>
      <c r="I97" s="3"/>
      <c r="J97" s="3"/>
      <c r="K97" s="3"/>
      <c r="L97" s="3"/>
      <c r="M97" s="3"/>
      <c r="N97" s="3"/>
      <c r="O97" s="3"/>
      <c r="P97" s="176" t="s">
        <v>112</v>
      </c>
      <c r="Q97" s="176"/>
      <c r="R97" s="176"/>
      <c r="S97" s="176"/>
      <c r="T97" s="176"/>
      <c r="U97" s="176"/>
      <c r="V97" s="176"/>
      <c r="W97" s="176"/>
      <c r="X97" s="176"/>
      <c r="Y97" s="176"/>
    </row>
    <row r="98" spans="1:25" ht="21.95" customHeight="1" x14ac:dyDescent="0.65">
      <c r="A98" s="176" t="s">
        <v>113</v>
      </c>
      <c r="B98" s="176"/>
      <c r="C98" s="176"/>
      <c r="D98" s="176"/>
      <c r="E98" s="176"/>
      <c r="F98" s="176"/>
      <c r="G98" s="176"/>
      <c r="H98" s="3"/>
      <c r="I98" s="3"/>
      <c r="J98" s="3"/>
      <c r="K98" s="3"/>
      <c r="L98" s="3"/>
      <c r="M98" s="3"/>
      <c r="N98" s="3"/>
      <c r="O98" s="3"/>
      <c r="P98" s="176" t="s">
        <v>114</v>
      </c>
      <c r="Q98" s="176"/>
      <c r="R98" s="176"/>
      <c r="S98" s="176"/>
      <c r="T98" s="176"/>
      <c r="U98" s="176"/>
      <c r="V98" s="176"/>
      <c r="W98" s="176"/>
      <c r="X98" s="176"/>
      <c r="Y98" s="176"/>
    </row>
    <row r="99" spans="1:25" ht="21.95" customHeight="1" x14ac:dyDescent="0.65">
      <c r="A99" s="176" t="s">
        <v>115</v>
      </c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</row>
    <row r="100" spans="1:25" ht="21.95" customHeight="1" x14ac:dyDescent="0.25">
      <c r="A100" s="177" t="s">
        <v>116</v>
      </c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</row>
    <row r="101" spans="1:25" ht="21" x14ac:dyDescent="0.6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</row>
    <row r="102" spans="1:25" ht="21" x14ac:dyDescent="0.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 spans="1:25" ht="21" x14ac:dyDescent="0.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 spans="1:25" ht="25.5" x14ac:dyDescent="0.7">
      <c r="A104" s="173" t="s">
        <v>130</v>
      </c>
      <c r="B104" s="173"/>
      <c r="C104" s="173"/>
      <c r="D104" s="173"/>
      <c r="E104" s="173"/>
      <c r="F104" s="17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5.5" x14ac:dyDescent="0.7">
      <c r="A105" s="40"/>
      <c r="B105" s="40"/>
      <c r="C105" s="40"/>
      <c r="D105" s="40"/>
      <c r="E105" s="40"/>
      <c r="F105" s="4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9.25" x14ac:dyDescent="0.7">
      <c r="A106" s="40"/>
      <c r="B106" s="40"/>
      <c r="C106" s="40"/>
      <c r="D106" s="40"/>
      <c r="E106" s="40"/>
      <c r="F106" s="40"/>
      <c r="G106" s="3"/>
      <c r="H106" s="3"/>
      <c r="I106" s="3"/>
      <c r="J106" s="3"/>
      <c r="K106" s="174" t="s">
        <v>131</v>
      </c>
      <c r="L106" s="174"/>
      <c r="M106" s="174"/>
      <c r="N106" s="174"/>
      <c r="O106" s="174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29.25" x14ac:dyDescent="0.8">
      <c r="A107" s="41"/>
      <c r="B107" s="41"/>
      <c r="C107" s="41"/>
      <c r="D107" s="41"/>
      <c r="E107" s="41"/>
      <c r="F107" s="41"/>
      <c r="G107" s="41"/>
      <c r="H107" s="41"/>
      <c r="I107" s="41"/>
      <c r="J107" s="175"/>
      <c r="K107" s="175"/>
      <c r="L107" s="175"/>
      <c r="M107" s="175"/>
      <c r="N107" s="175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</sheetData>
  <mergeCells count="333">
    <mergeCell ref="A101:Y101"/>
    <mergeCell ref="A104:F104"/>
    <mergeCell ref="K106:O106"/>
    <mergeCell ref="J107:N107"/>
    <mergeCell ref="U89:Y89"/>
    <mergeCell ref="P97:Y97"/>
    <mergeCell ref="A98:G98"/>
    <mergeCell ref="P98:Y98"/>
    <mergeCell ref="A99:Y99"/>
    <mergeCell ref="A100:Y100"/>
    <mergeCell ref="A89:B89"/>
    <mergeCell ref="C89:E89"/>
    <mergeCell ref="F89:I89"/>
    <mergeCell ref="J89:L89"/>
    <mergeCell ref="M89:O89"/>
    <mergeCell ref="P89:T89"/>
    <mergeCell ref="U87:Y87"/>
    <mergeCell ref="A88:B88"/>
    <mergeCell ref="C88:E88"/>
    <mergeCell ref="F88:I88"/>
    <mergeCell ref="J88:L88"/>
    <mergeCell ref="M88:O88"/>
    <mergeCell ref="P88:T88"/>
    <mergeCell ref="U88:Y88"/>
    <mergeCell ref="A87:B87"/>
    <mergeCell ref="C87:E87"/>
    <mergeCell ref="F87:I87"/>
    <mergeCell ref="J87:L87"/>
    <mergeCell ref="M87:O87"/>
    <mergeCell ref="P87:T87"/>
    <mergeCell ref="U85:Y85"/>
    <mergeCell ref="A86:B86"/>
    <mergeCell ref="C86:E86"/>
    <mergeCell ref="F86:I86"/>
    <mergeCell ref="J86:L86"/>
    <mergeCell ref="M86:O86"/>
    <mergeCell ref="P86:T86"/>
    <mergeCell ref="U86:Y86"/>
    <mergeCell ref="A85:B85"/>
    <mergeCell ref="C85:E85"/>
    <mergeCell ref="F85:I85"/>
    <mergeCell ref="J85:L85"/>
    <mergeCell ref="M85:O85"/>
    <mergeCell ref="P85:T85"/>
    <mergeCell ref="U83:Y83"/>
    <mergeCell ref="A84:B84"/>
    <mergeCell ref="C84:E84"/>
    <mergeCell ref="F84:I84"/>
    <mergeCell ref="J84:L84"/>
    <mergeCell ref="M84:O84"/>
    <mergeCell ref="P84:T84"/>
    <mergeCell ref="U84:Y84"/>
    <mergeCell ref="A83:B83"/>
    <mergeCell ref="C83:E83"/>
    <mergeCell ref="F83:I83"/>
    <mergeCell ref="J83:L83"/>
    <mergeCell ref="M83:O83"/>
    <mergeCell ref="P83:T83"/>
    <mergeCell ref="U81:Y81"/>
    <mergeCell ref="A82:B82"/>
    <mergeCell ref="C82:E82"/>
    <mergeCell ref="F82:I82"/>
    <mergeCell ref="J82:L82"/>
    <mergeCell ref="M82:O82"/>
    <mergeCell ref="P82:T82"/>
    <mergeCell ref="U82:Y82"/>
    <mergeCell ref="A81:B81"/>
    <mergeCell ref="C81:E81"/>
    <mergeCell ref="F81:I81"/>
    <mergeCell ref="J81:L81"/>
    <mergeCell ref="M81:O81"/>
    <mergeCell ref="P81:T81"/>
    <mergeCell ref="U79:Y79"/>
    <mergeCell ref="A80:B80"/>
    <mergeCell ref="C80:E80"/>
    <mergeCell ref="F80:I80"/>
    <mergeCell ref="J80:L80"/>
    <mergeCell ref="M80:O80"/>
    <mergeCell ref="P80:T80"/>
    <mergeCell ref="U80:Y80"/>
    <mergeCell ref="A79:B79"/>
    <mergeCell ref="C79:E79"/>
    <mergeCell ref="F79:I79"/>
    <mergeCell ref="J79:L79"/>
    <mergeCell ref="M79:O79"/>
    <mergeCell ref="P79:T79"/>
    <mergeCell ref="U77:Y77"/>
    <mergeCell ref="A78:B78"/>
    <mergeCell ref="C78:E78"/>
    <mergeCell ref="F78:I78"/>
    <mergeCell ref="J78:L78"/>
    <mergeCell ref="M78:O78"/>
    <mergeCell ref="P78:T78"/>
    <mergeCell ref="U78:Y78"/>
    <mergeCell ref="A77:B77"/>
    <mergeCell ref="C77:E77"/>
    <mergeCell ref="F77:I77"/>
    <mergeCell ref="J77:L77"/>
    <mergeCell ref="M77:O77"/>
    <mergeCell ref="P77:T77"/>
    <mergeCell ref="U75:Y75"/>
    <mergeCell ref="A76:B76"/>
    <mergeCell ref="C76:E76"/>
    <mergeCell ref="F76:I76"/>
    <mergeCell ref="J76:L76"/>
    <mergeCell ref="M76:O76"/>
    <mergeCell ref="P76:T76"/>
    <mergeCell ref="U76:Y76"/>
    <mergeCell ref="A75:B75"/>
    <mergeCell ref="C75:E75"/>
    <mergeCell ref="F75:I75"/>
    <mergeCell ref="J75:L75"/>
    <mergeCell ref="M75:O75"/>
    <mergeCell ref="P75:T75"/>
    <mergeCell ref="A74:B74"/>
    <mergeCell ref="C74:E74"/>
    <mergeCell ref="F74:I74"/>
    <mergeCell ref="J74:L74"/>
    <mergeCell ref="M74:O74"/>
    <mergeCell ref="P74:T74"/>
    <mergeCell ref="U74:Y74"/>
    <mergeCell ref="U73:Y73"/>
    <mergeCell ref="A73:B73"/>
    <mergeCell ref="C73:E73"/>
    <mergeCell ref="F73:I73"/>
    <mergeCell ref="J73:L73"/>
    <mergeCell ref="M73:O73"/>
    <mergeCell ref="P73:T73"/>
    <mergeCell ref="U71:Y71"/>
    <mergeCell ref="A72:B72"/>
    <mergeCell ref="C72:E72"/>
    <mergeCell ref="F72:I72"/>
    <mergeCell ref="J72:L72"/>
    <mergeCell ref="M72:O72"/>
    <mergeCell ref="P72:T72"/>
    <mergeCell ref="U72:Y72"/>
    <mergeCell ref="A71:B71"/>
    <mergeCell ref="C71:E71"/>
    <mergeCell ref="F71:I71"/>
    <mergeCell ref="J71:L71"/>
    <mergeCell ref="M71:O71"/>
    <mergeCell ref="P71:T71"/>
    <mergeCell ref="U69:Y69"/>
    <mergeCell ref="A70:B70"/>
    <mergeCell ref="C70:E70"/>
    <mergeCell ref="F70:I70"/>
    <mergeCell ref="J70:L70"/>
    <mergeCell ref="M70:O70"/>
    <mergeCell ref="P70:T70"/>
    <mergeCell ref="U70:Y70"/>
    <mergeCell ref="A69:B69"/>
    <mergeCell ref="C69:E69"/>
    <mergeCell ref="F69:I69"/>
    <mergeCell ref="J69:L69"/>
    <mergeCell ref="M69:O69"/>
    <mergeCell ref="P69:T69"/>
    <mergeCell ref="A67:E68"/>
    <mergeCell ref="F67:I68"/>
    <mergeCell ref="J67:L67"/>
    <mergeCell ref="M67:O67"/>
    <mergeCell ref="P67:T68"/>
    <mergeCell ref="U67:Y68"/>
    <mergeCell ref="J68:L68"/>
    <mergeCell ref="M68:O68"/>
    <mergeCell ref="U62:Y62"/>
    <mergeCell ref="A65:E66"/>
    <mergeCell ref="F65:I66"/>
    <mergeCell ref="J65:O65"/>
    <mergeCell ref="P65:T66"/>
    <mergeCell ref="U65:Y66"/>
    <mergeCell ref="J66:O66"/>
    <mergeCell ref="A62:B62"/>
    <mergeCell ref="C62:E62"/>
    <mergeCell ref="F62:I62"/>
    <mergeCell ref="J62:L62"/>
    <mergeCell ref="M62:O62"/>
    <mergeCell ref="P62:T62"/>
    <mergeCell ref="U60:Y60"/>
    <mergeCell ref="A61:B61"/>
    <mergeCell ref="C61:E61"/>
    <mergeCell ref="F61:I61"/>
    <mergeCell ref="J61:L61"/>
    <mergeCell ref="M61:O61"/>
    <mergeCell ref="P61:T61"/>
    <mergeCell ref="U61:Y61"/>
    <mergeCell ref="A60:B60"/>
    <mergeCell ref="C60:E60"/>
    <mergeCell ref="F60:I60"/>
    <mergeCell ref="J60:L60"/>
    <mergeCell ref="M60:O60"/>
    <mergeCell ref="P60:T60"/>
    <mergeCell ref="U58:Y58"/>
    <mergeCell ref="A59:B59"/>
    <mergeCell ref="C59:E59"/>
    <mergeCell ref="F59:I59"/>
    <mergeCell ref="J59:L59"/>
    <mergeCell ref="M59:O59"/>
    <mergeCell ref="P59:T59"/>
    <mergeCell ref="U59:Y59"/>
    <mergeCell ref="A58:B58"/>
    <mergeCell ref="C58:E58"/>
    <mergeCell ref="F58:I58"/>
    <mergeCell ref="J58:L58"/>
    <mergeCell ref="M58:O58"/>
    <mergeCell ref="P58:T58"/>
    <mergeCell ref="U56:Y56"/>
    <mergeCell ref="A57:B57"/>
    <mergeCell ref="C57:E57"/>
    <mergeCell ref="F57:I57"/>
    <mergeCell ref="J57:L57"/>
    <mergeCell ref="M57:O57"/>
    <mergeCell ref="P57:T57"/>
    <mergeCell ref="U57:Y57"/>
    <mergeCell ref="A56:B56"/>
    <mergeCell ref="C56:E56"/>
    <mergeCell ref="F56:I56"/>
    <mergeCell ref="J56:L56"/>
    <mergeCell ref="M56:O56"/>
    <mergeCell ref="P56:T56"/>
    <mergeCell ref="A55:B55"/>
    <mergeCell ref="C55:E55"/>
    <mergeCell ref="F55:I55"/>
    <mergeCell ref="J55:L55"/>
    <mergeCell ref="M55:O55"/>
    <mergeCell ref="P55:T55"/>
    <mergeCell ref="U55:Y55"/>
    <mergeCell ref="U54:Y54"/>
    <mergeCell ref="A54:B54"/>
    <mergeCell ref="C54:E54"/>
    <mergeCell ref="F54:I54"/>
    <mergeCell ref="J54:L54"/>
    <mergeCell ref="M54:O54"/>
    <mergeCell ref="P54:T54"/>
    <mergeCell ref="U52:Y52"/>
    <mergeCell ref="A53:B53"/>
    <mergeCell ref="C53:E53"/>
    <mergeCell ref="F53:I53"/>
    <mergeCell ref="J53:L53"/>
    <mergeCell ref="M53:O53"/>
    <mergeCell ref="P53:T53"/>
    <mergeCell ref="U53:Y53"/>
    <mergeCell ref="A52:B52"/>
    <mergeCell ref="C52:E52"/>
    <mergeCell ref="F52:I52"/>
    <mergeCell ref="J52:L52"/>
    <mergeCell ref="M52:O52"/>
    <mergeCell ref="P52:T52"/>
    <mergeCell ref="U50:Y50"/>
    <mergeCell ref="A51:B51"/>
    <mergeCell ref="C51:E51"/>
    <mergeCell ref="F51:I51"/>
    <mergeCell ref="J51:L51"/>
    <mergeCell ref="M51:O51"/>
    <mergeCell ref="P51:T51"/>
    <mergeCell ref="U51:Y51"/>
    <mergeCell ref="A50:B50"/>
    <mergeCell ref="C50:E50"/>
    <mergeCell ref="F50:I50"/>
    <mergeCell ref="J50:L50"/>
    <mergeCell ref="M50:O50"/>
    <mergeCell ref="P50:T50"/>
    <mergeCell ref="A48:E49"/>
    <mergeCell ref="F48:I49"/>
    <mergeCell ref="J48:L48"/>
    <mergeCell ref="M48:O48"/>
    <mergeCell ref="P48:T49"/>
    <mergeCell ref="U48:Y49"/>
    <mergeCell ref="J49:L49"/>
    <mergeCell ref="M49:O49"/>
    <mergeCell ref="A46:E47"/>
    <mergeCell ref="F46:I47"/>
    <mergeCell ref="J46:O46"/>
    <mergeCell ref="P46:T47"/>
    <mergeCell ref="U46:Y47"/>
    <mergeCell ref="J47:O47"/>
    <mergeCell ref="N41:O41"/>
    <mergeCell ref="V41:W41"/>
    <mergeCell ref="N42:O42"/>
    <mergeCell ref="V42:W42"/>
    <mergeCell ref="N43:O43"/>
    <mergeCell ref="S43:U43"/>
    <mergeCell ref="V43:W43"/>
    <mergeCell ref="N38:O38"/>
    <mergeCell ref="V38:W38"/>
    <mergeCell ref="N39:O39"/>
    <mergeCell ref="V39:W39"/>
    <mergeCell ref="N40:O40"/>
    <mergeCell ref="V40:W40"/>
    <mergeCell ref="U28:Y28"/>
    <mergeCell ref="N29:R29"/>
    <mergeCell ref="N36:O36"/>
    <mergeCell ref="V36:W36"/>
    <mergeCell ref="N37:O37"/>
    <mergeCell ref="V37:W37"/>
    <mergeCell ref="I21:J21"/>
    <mergeCell ref="G22:I22"/>
    <mergeCell ref="G23:I23"/>
    <mergeCell ref="G24:I24"/>
    <mergeCell ref="G25:I25"/>
    <mergeCell ref="G26:I26"/>
    <mergeCell ref="I20:J20"/>
    <mergeCell ref="O20:P20"/>
    <mergeCell ref="V20:W20"/>
    <mergeCell ref="I17:J17"/>
    <mergeCell ref="L17:M17"/>
    <mergeCell ref="O17:P17"/>
    <mergeCell ref="R17:S17"/>
    <mergeCell ref="V17:W17"/>
    <mergeCell ref="I18:J18"/>
    <mergeCell ref="L18:M18"/>
    <mergeCell ref="O18:P18"/>
    <mergeCell ref="R18:S18"/>
    <mergeCell ref="V18:W18"/>
    <mergeCell ref="P14:S14"/>
    <mergeCell ref="I16:J16"/>
    <mergeCell ref="L16:M16"/>
    <mergeCell ref="O16:P16"/>
    <mergeCell ref="R16:S16"/>
    <mergeCell ref="V16:W16"/>
    <mergeCell ref="I19:J19"/>
    <mergeCell ref="L19:M19"/>
    <mergeCell ref="O19:P19"/>
    <mergeCell ref="R19:S19"/>
    <mergeCell ref="V19:W19"/>
    <mergeCell ref="A3:H3"/>
    <mergeCell ref="A4:H4"/>
    <mergeCell ref="A5:H5"/>
    <mergeCell ref="A8:Y8"/>
    <mergeCell ref="P13:S13"/>
    <mergeCell ref="A1:Y1"/>
    <mergeCell ref="A2:Y2"/>
    <mergeCell ref="A6:Y6"/>
    <mergeCell ref="A7:Y7"/>
  </mergeCells>
  <conditionalFormatting sqref="AF50:AH62">
    <cfRule type="duplicateValues" dxfId="10" priority="3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3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view="pageBreakPreview" topLeftCell="A22" zoomScale="142" zoomScaleNormal="100" zoomScaleSheetLayoutView="100" workbookViewId="0">
      <selection activeCell="A6" sqref="A6:Y6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4" style="2" customWidth="1"/>
    <col min="27" max="27" width="16.28515625" style="2" customWidth="1"/>
    <col min="28" max="28" width="14.5703125" style="2" customWidth="1"/>
    <col min="29" max="29" width="13.85546875" style="2" customWidth="1"/>
    <col min="30" max="30" width="9.140625" style="2"/>
    <col min="31" max="31" width="15" style="2" customWidth="1"/>
    <col min="32" max="34" width="9.140625" style="2"/>
    <col min="35" max="35" width="10.5703125" style="2" bestFit="1" customWidth="1"/>
    <col min="36" max="16384" width="9.140625" style="2"/>
  </cols>
  <sheetData>
    <row r="1" spans="1:31" ht="25.5" x14ac:dyDescent="0.7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 spans="1:31" ht="25.5" x14ac:dyDescent="0.7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31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31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31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31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31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31" ht="23.25" customHeight="1" x14ac:dyDescent="0.25">
      <c r="A8" s="105" t="s">
        <v>145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31" ht="21.95" customHeight="1" x14ac:dyDescent="0.25">
      <c r="A9" s="5" t="s">
        <v>8</v>
      </c>
      <c r="B9" s="6"/>
      <c r="C9" s="7"/>
      <c r="D9" s="7"/>
      <c r="E9" s="7"/>
      <c r="F9" s="79" t="s">
        <v>117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"/>
      <c r="X9" s="7"/>
      <c r="Y9" s="7"/>
    </row>
    <row r="10" spans="1:31" ht="21.95" customHeight="1" x14ac:dyDescent="0.25">
      <c r="A10" s="7"/>
      <c r="B10" s="6" t="s">
        <v>9</v>
      </c>
      <c r="C10" s="7"/>
      <c r="D10" s="7"/>
      <c r="E10" s="7"/>
      <c r="F10" s="79" t="s">
        <v>118</v>
      </c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"/>
      <c r="X10" s="7"/>
      <c r="Y10" s="7"/>
    </row>
    <row r="11" spans="1:31" ht="21.95" customHeight="1" x14ac:dyDescent="0.25">
      <c r="A11" s="7"/>
      <c r="B11" s="7"/>
      <c r="C11" s="7"/>
      <c r="D11" s="7"/>
      <c r="E11" s="7"/>
      <c r="F11" s="79" t="s">
        <v>119</v>
      </c>
      <c r="G11" s="79"/>
      <c r="H11" s="79"/>
      <c r="I11" s="79"/>
      <c r="J11" s="79"/>
      <c r="K11" s="79"/>
      <c r="L11" s="7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31" ht="21.95" customHeight="1" x14ac:dyDescent="0.25">
      <c r="A12" s="6" t="s">
        <v>10</v>
      </c>
      <c r="B12" s="6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31" ht="21.95" customHeight="1" x14ac:dyDescent="0.25">
      <c r="A13" s="6" t="s">
        <v>11</v>
      </c>
      <c r="B13" s="6"/>
      <c r="C13" s="6"/>
      <c r="D13" s="7"/>
      <c r="E13" s="7"/>
      <c r="F13" s="7"/>
      <c r="G13" s="7"/>
      <c r="H13" s="79" t="s">
        <v>121</v>
      </c>
      <c r="I13" s="79"/>
      <c r="J13" s="79"/>
      <c r="K13" s="79"/>
      <c r="L13" s="79"/>
      <c r="M13" s="79"/>
      <c r="N13" s="79"/>
      <c r="O13" s="79" t="s">
        <v>12</v>
      </c>
      <c r="P13" s="197">
        <v>46014</v>
      </c>
      <c r="Q13" s="197"/>
      <c r="R13" s="197"/>
      <c r="S13" s="197"/>
      <c r="T13" s="7"/>
      <c r="U13" s="7"/>
      <c r="V13" s="7"/>
      <c r="W13" s="7"/>
      <c r="X13" s="7"/>
      <c r="Y13" s="7"/>
    </row>
    <row r="14" spans="1:31" ht="21.95" customHeight="1" x14ac:dyDescent="0.65">
      <c r="A14" s="8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</row>
    <row r="15" spans="1:31" ht="21.95" customHeight="1" x14ac:dyDescent="0.65">
      <c r="A15" s="6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AB15" s="64"/>
      <c r="AE15" s="63"/>
    </row>
    <row r="16" spans="1:31" ht="21" customHeight="1" x14ac:dyDescent="0.25">
      <c r="A16" s="7"/>
      <c r="B16" s="6" t="s">
        <v>15</v>
      </c>
      <c r="C16" s="7"/>
      <c r="D16" s="7"/>
      <c r="E16" s="7"/>
      <c r="F16" s="7" t="s">
        <v>14</v>
      </c>
      <c r="G16" s="9"/>
      <c r="H16" s="6" t="s">
        <v>16</v>
      </c>
      <c r="I16" s="105">
        <v>1</v>
      </c>
      <c r="J16" s="105">
        <v>3</v>
      </c>
      <c r="K16" s="7" t="s">
        <v>17</v>
      </c>
      <c r="L16" s="105"/>
      <c r="M16" s="105"/>
      <c r="N16" s="6" t="s">
        <v>18</v>
      </c>
      <c r="O16" s="105">
        <v>4</v>
      </c>
      <c r="P16" s="105">
        <v>6</v>
      </c>
      <c r="Q16" s="6" t="s">
        <v>17</v>
      </c>
      <c r="R16" s="105"/>
      <c r="S16" s="105"/>
      <c r="T16" s="6" t="s">
        <v>19</v>
      </c>
      <c r="U16" s="6"/>
      <c r="V16" s="109">
        <f>O16+I16</f>
        <v>5</v>
      </c>
      <c r="W16" s="109"/>
      <c r="X16" s="6" t="s">
        <v>17</v>
      </c>
      <c r="Y16" s="6"/>
      <c r="AB16" s="64"/>
      <c r="AE16" s="63"/>
    </row>
    <row r="17" spans="1:31" ht="21" customHeight="1" x14ac:dyDescent="0.25">
      <c r="A17" s="7"/>
      <c r="B17" s="6" t="s">
        <v>20</v>
      </c>
      <c r="C17" s="7"/>
      <c r="D17" s="7"/>
      <c r="E17" s="7"/>
      <c r="F17" s="7" t="s">
        <v>14</v>
      </c>
      <c r="G17" s="7"/>
      <c r="H17" s="6" t="s">
        <v>16</v>
      </c>
      <c r="I17" s="105">
        <v>2</v>
      </c>
      <c r="J17" s="105"/>
      <c r="K17" s="7" t="s">
        <v>17</v>
      </c>
      <c r="L17" s="105"/>
      <c r="M17" s="105"/>
      <c r="N17" s="6" t="s">
        <v>18</v>
      </c>
      <c r="O17" s="105">
        <v>1</v>
      </c>
      <c r="P17" s="105">
        <v>61</v>
      </c>
      <c r="Q17" s="6" t="s">
        <v>17</v>
      </c>
      <c r="R17" s="105"/>
      <c r="S17" s="105"/>
      <c r="T17" s="6" t="s">
        <v>19</v>
      </c>
      <c r="U17" s="6"/>
      <c r="V17" s="109">
        <f>O17+I17</f>
        <v>3</v>
      </c>
      <c r="W17" s="109"/>
      <c r="X17" s="6" t="s">
        <v>17</v>
      </c>
      <c r="Y17" s="6"/>
      <c r="AB17" s="64"/>
      <c r="AE17" s="63"/>
    </row>
    <row r="18" spans="1:31" ht="21" customHeight="1" x14ac:dyDescent="0.25">
      <c r="A18" s="7"/>
      <c r="B18" s="6" t="s">
        <v>21</v>
      </c>
      <c r="C18" s="7"/>
      <c r="D18" s="7"/>
      <c r="E18" s="7"/>
      <c r="F18" s="7" t="s">
        <v>14</v>
      </c>
      <c r="G18" s="7"/>
      <c r="H18" s="6" t="s">
        <v>16</v>
      </c>
      <c r="I18" s="105">
        <v>30</v>
      </c>
      <c r="J18" s="105"/>
      <c r="K18" s="8" t="s">
        <v>17</v>
      </c>
      <c r="L18" s="110"/>
      <c r="M18" s="110"/>
      <c r="N18" s="6" t="s">
        <v>18</v>
      </c>
      <c r="O18" s="105">
        <v>82</v>
      </c>
      <c r="P18" s="105"/>
      <c r="Q18" s="6" t="s">
        <v>17</v>
      </c>
      <c r="R18" s="110"/>
      <c r="S18" s="110"/>
      <c r="T18" s="6" t="s">
        <v>19</v>
      </c>
      <c r="U18" s="6"/>
      <c r="V18" s="109">
        <f>O18+I18</f>
        <v>112</v>
      </c>
      <c r="W18" s="109"/>
      <c r="X18" s="6" t="s">
        <v>17</v>
      </c>
      <c r="Y18" s="6"/>
      <c r="AB18" s="64"/>
      <c r="AE18" s="63"/>
    </row>
    <row r="19" spans="1:31" ht="21" customHeight="1" x14ac:dyDescent="0.25">
      <c r="A19" s="7"/>
      <c r="B19" s="11" t="s">
        <v>22</v>
      </c>
      <c r="C19" s="6"/>
      <c r="D19" s="6"/>
      <c r="E19" s="7"/>
      <c r="F19" s="7" t="s">
        <v>14</v>
      </c>
      <c r="G19" s="7"/>
      <c r="H19" s="6" t="s">
        <v>16</v>
      </c>
      <c r="I19" s="105">
        <v>16</v>
      </c>
      <c r="J19" s="105"/>
      <c r="K19" s="8" t="s">
        <v>17</v>
      </c>
      <c r="L19" s="110"/>
      <c r="M19" s="110"/>
      <c r="N19" s="6" t="s">
        <v>18</v>
      </c>
      <c r="O19" s="105">
        <v>23</v>
      </c>
      <c r="P19" s="105">
        <v>683</v>
      </c>
      <c r="Q19" s="6" t="s">
        <v>17</v>
      </c>
      <c r="R19" s="110"/>
      <c r="S19" s="110"/>
      <c r="T19" s="6" t="s">
        <v>19</v>
      </c>
      <c r="U19" s="6"/>
      <c r="V19" s="109">
        <f>O19+I19</f>
        <v>39</v>
      </c>
      <c r="W19" s="109"/>
      <c r="X19" s="6" t="s">
        <v>17</v>
      </c>
      <c r="Y19" s="6"/>
      <c r="Z19" s="12">
        <f>V16+V17+V18+V19</f>
        <v>159</v>
      </c>
      <c r="AB19" s="64"/>
      <c r="AE19" s="63"/>
    </row>
    <row r="20" spans="1:31" ht="21" customHeight="1" x14ac:dyDescent="0.25">
      <c r="A20" s="7"/>
      <c r="B20" s="11" t="s">
        <v>23</v>
      </c>
      <c r="C20" s="6"/>
      <c r="D20" s="6"/>
      <c r="E20" s="7"/>
      <c r="F20" s="7" t="s">
        <v>14</v>
      </c>
      <c r="G20" s="7"/>
      <c r="H20" s="6" t="s">
        <v>16</v>
      </c>
      <c r="I20" s="105">
        <f>I18+I19</f>
        <v>46</v>
      </c>
      <c r="J20" s="105"/>
      <c r="K20" s="8" t="s">
        <v>17</v>
      </c>
      <c r="L20" s="13"/>
      <c r="M20" s="13"/>
      <c r="N20" s="6" t="s">
        <v>18</v>
      </c>
      <c r="O20" s="105">
        <f>O18+O19</f>
        <v>105</v>
      </c>
      <c r="P20" s="105"/>
      <c r="Q20" s="6" t="s">
        <v>17</v>
      </c>
      <c r="R20" s="13"/>
      <c r="S20" s="13"/>
      <c r="T20" s="6" t="s">
        <v>19</v>
      </c>
      <c r="U20" s="6"/>
      <c r="V20" s="109">
        <f>V18+V19</f>
        <v>151</v>
      </c>
      <c r="W20" s="109"/>
      <c r="X20" s="6" t="s">
        <v>17</v>
      </c>
      <c r="Y20" s="6"/>
      <c r="AB20" s="63"/>
      <c r="AE20" s="63"/>
    </row>
    <row r="21" spans="1:31" ht="21.95" customHeight="1" x14ac:dyDescent="0.25">
      <c r="A21" s="6" t="s">
        <v>24</v>
      </c>
      <c r="B21" s="7"/>
      <c r="C21" s="7"/>
      <c r="D21" s="7"/>
      <c r="E21" s="7"/>
      <c r="F21" s="7" t="s">
        <v>14</v>
      </c>
      <c r="G21" s="8"/>
      <c r="H21" s="7"/>
      <c r="I21" s="114"/>
      <c r="J21" s="11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AB21" s="63"/>
      <c r="AE21" s="63"/>
    </row>
    <row r="22" spans="1:31" ht="21.95" customHeight="1" x14ac:dyDescent="0.25">
      <c r="A22" s="7"/>
      <c r="B22" s="6" t="s">
        <v>15</v>
      </c>
      <c r="C22" s="6"/>
      <c r="D22" s="6"/>
      <c r="E22" s="7"/>
      <c r="F22" s="7" t="s">
        <v>14</v>
      </c>
      <c r="G22" s="115">
        <v>7304.75</v>
      </c>
      <c r="H22" s="115"/>
      <c r="I22" s="115"/>
      <c r="J22" s="14"/>
      <c r="K22" s="6" t="s">
        <v>25</v>
      </c>
      <c r="L22" s="6"/>
      <c r="M22" s="14"/>
      <c r="N22" s="1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31" ht="21.95" customHeight="1" x14ac:dyDescent="0.25">
      <c r="A23" s="7"/>
      <c r="B23" s="6" t="s">
        <v>20</v>
      </c>
      <c r="C23" s="6"/>
      <c r="D23" s="6"/>
      <c r="E23" s="7"/>
      <c r="F23" s="7" t="s">
        <v>14</v>
      </c>
      <c r="G23" s="115">
        <v>2664.33</v>
      </c>
      <c r="H23" s="115"/>
      <c r="I23" s="115"/>
      <c r="J23" s="14"/>
      <c r="K23" s="6" t="s">
        <v>25</v>
      </c>
      <c r="L23" s="6"/>
      <c r="M23" s="14"/>
      <c r="N23" s="1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31" ht="21.95" customHeight="1" x14ac:dyDescent="0.25">
      <c r="A24" s="7"/>
      <c r="B24" s="6" t="s">
        <v>21</v>
      </c>
      <c r="C24" s="6"/>
      <c r="D24" s="6"/>
      <c r="E24" s="7"/>
      <c r="F24" s="7" t="s">
        <v>14</v>
      </c>
      <c r="G24" s="115">
        <v>34958.43</v>
      </c>
      <c r="H24" s="115"/>
      <c r="I24" s="115"/>
      <c r="J24" s="14"/>
      <c r="K24" s="6" t="s">
        <v>25</v>
      </c>
      <c r="L24" s="6"/>
      <c r="M24" s="14"/>
      <c r="N24" s="1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31" ht="21.95" customHeight="1" x14ac:dyDescent="0.25">
      <c r="A25" s="7"/>
      <c r="B25" s="6" t="s">
        <v>22</v>
      </c>
      <c r="C25" s="6"/>
      <c r="D25" s="6"/>
      <c r="E25" s="7"/>
      <c r="F25" s="7" t="s">
        <v>14</v>
      </c>
      <c r="G25" s="115">
        <v>10693.2</v>
      </c>
      <c r="H25" s="115"/>
      <c r="I25" s="115"/>
      <c r="J25" s="14"/>
      <c r="K25" s="6" t="s">
        <v>25</v>
      </c>
      <c r="L25" s="6"/>
      <c r="M25" s="14"/>
      <c r="N25" s="14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31" ht="21.6" customHeight="1" x14ac:dyDescent="0.25">
      <c r="A26" s="7"/>
      <c r="B26" s="11" t="s">
        <v>23</v>
      </c>
      <c r="C26" s="6"/>
      <c r="D26" s="6"/>
      <c r="E26" s="7"/>
      <c r="F26" s="7" t="s">
        <v>14</v>
      </c>
      <c r="G26" s="115">
        <f>G25+G24</f>
        <v>45651.630000000005</v>
      </c>
      <c r="H26" s="115"/>
      <c r="I26" s="115"/>
      <c r="J26" s="14"/>
      <c r="K26" s="6" t="s">
        <v>25</v>
      </c>
      <c r="L26" s="6"/>
      <c r="M26" s="14"/>
      <c r="N26" s="14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31" ht="21.95" customHeight="1" x14ac:dyDescent="0.65">
      <c r="A27" s="6" t="s">
        <v>26</v>
      </c>
      <c r="B27" s="3"/>
      <c r="C27" s="3"/>
      <c r="D27" s="3"/>
      <c r="E27" s="3"/>
      <c r="F27" s="3" t="s">
        <v>14</v>
      </c>
      <c r="G27" s="196"/>
      <c r="H27" s="196"/>
      <c r="I27" s="196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31" ht="23.25" x14ac:dyDescent="0.65">
      <c r="A28" s="3"/>
      <c r="B28" s="6" t="s">
        <v>27</v>
      </c>
      <c r="C28" s="6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6"/>
      <c r="O28" s="6" t="s">
        <v>30</v>
      </c>
      <c r="P28" s="3"/>
      <c r="Q28" s="3"/>
      <c r="R28" s="3"/>
      <c r="S28" s="3"/>
      <c r="T28" s="3"/>
      <c r="U28" s="111">
        <v>208</v>
      </c>
      <c r="V28" s="111"/>
      <c r="W28" s="111"/>
      <c r="X28" s="111"/>
      <c r="Y28" s="111"/>
    </row>
    <row r="29" spans="1:31" ht="23.25" x14ac:dyDescent="0.65">
      <c r="A29" s="3"/>
      <c r="B29" s="6" t="s">
        <v>31</v>
      </c>
      <c r="C29" s="6"/>
      <c r="D29" s="3"/>
      <c r="E29" s="82" t="s">
        <v>32</v>
      </c>
      <c r="F29" s="82"/>
      <c r="G29" s="82"/>
      <c r="H29" s="82"/>
      <c r="I29" s="6" t="s">
        <v>33</v>
      </c>
      <c r="J29" s="3"/>
      <c r="K29" s="3"/>
      <c r="L29" s="3"/>
      <c r="M29" s="3"/>
      <c r="N29" s="112">
        <v>30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31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18"/>
    </row>
    <row r="31" spans="1:31" ht="23.25" x14ac:dyDescent="0.25">
      <c r="A31" s="7"/>
      <c r="B31" s="7" t="s">
        <v>35</v>
      </c>
      <c r="C31" s="7"/>
      <c r="D31" s="79" t="s">
        <v>36</v>
      </c>
      <c r="E31" s="79"/>
      <c r="F31" s="79"/>
      <c r="G31" s="79"/>
      <c r="H31" s="79"/>
      <c r="I31" s="79"/>
      <c r="J31" s="79"/>
      <c r="K31" s="79"/>
      <c r="L31" s="7" t="s">
        <v>37</v>
      </c>
      <c r="M31" s="7"/>
      <c r="N31" s="7"/>
      <c r="O31" s="7"/>
      <c r="P31" s="79" t="s">
        <v>38</v>
      </c>
      <c r="Q31" s="79"/>
      <c r="R31" s="79" t="s">
        <v>39</v>
      </c>
      <c r="S31" s="79"/>
      <c r="T31" s="79"/>
      <c r="U31" s="79"/>
      <c r="V31" s="7"/>
      <c r="W31" s="7"/>
      <c r="X31" s="7"/>
      <c r="Y31" s="7"/>
    </row>
    <row r="32" spans="1:31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37" ht="23.25" x14ac:dyDescent="0.25">
      <c r="A33" s="9"/>
      <c r="B33" s="80" t="s">
        <v>41</v>
      </c>
      <c r="C33" s="79"/>
      <c r="D33" s="79"/>
      <c r="E33" s="79"/>
      <c r="F33" s="79"/>
      <c r="G33" s="79"/>
      <c r="H33" s="79"/>
      <c r="I33" s="7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37" ht="23.25" x14ac:dyDescent="0.65">
      <c r="A34" s="9"/>
      <c r="B34" s="80" t="s">
        <v>42</v>
      </c>
      <c r="C34" s="79"/>
      <c r="D34" s="79"/>
      <c r="E34" s="81" t="s">
        <v>43</v>
      </c>
      <c r="F34" s="79" t="s">
        <v>44</v>
      </c>
      <c r="G34" s="79" t="s">
        <v>45</v>
      </c>
      <c r="H34" s="79" t="s">
        <v>46</v>
      </c>
      <c r="I34" s="79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37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37" ht="23.25" x14ac:dyDescent="0.65">
      <c r="A36" s="3"/>
      <c r="B36" s="3" t="s">
        <v>49</v>
      </c>
      <c r="C36" s="3"/>
      <c r="D36" s="3"/>
      <c r="E36" s="3"/>
      <c r="F36" s="3"/>
      <c r="G36" s="82" t="s">
        <v>50</v>
      </c>
      <c r="H36" s="82"/>
      <c r="I36" s="82"/>
      <c r="J36" s="82"/>
      <c r="K36" s="82"/>
      <c r="L36" s="3"/>
      <c r="M36" s="3" t="s">
        <v>19</v>
      </c>
      <c r="N36" s="113">
        <v>2</v>
      </c>
      <c r="O36" s="113"/>
      <c r="P36" s="3" t="s">
        <v>51</v>
      </c>
      <c r="Q36" s="21"/>
      <c r="R36" s="3"/>
      <c r="S36" s="3" t="s">
        <v>52</v>
      </c>
      <c r="T36" s="3"/>
      <c r="U36" s="3"/>
      <c r="V36" s="113">
        <v>2</v>
      </c>
      <c r="W36" s="113"/>
      <c r="X36" s="3" t="s">
        <v>53</v>
      </c>
      <c r="Y36" s="3"/>
      <c r="Z36" s="51"/>
      <c r="AA36" s="51">
        <v>-775</v>
      </c>
      <c r="AB36" s="51" t="s">
        <v>144</v>
      </c>
      <c r="AC36" s="51" t="s">
        <v>143</v>
      </c>
    </row>
    <row r="37" spans="1:37" ht="23.25" x14ac:dyDescent="0.65">
      <c r="A37" s="3"/>
      <c r="B37" s="3" t="s">
        <v>54</v>
      </c>
      <c r="C37" s="3"/>
      <c r="D37" s="3"/>
      <c r="E37" s="3"/>
      <c r="F37" s="3"/>
      <c r="G37" s="83" t="s">
        <v>55</v>
      </c>
      <c r="H37" s="82"/>
      <c r="I37" s="82"/>
      <c r="J37" s="82"/>
      <c r="K37" s="82"/>
      <c r="L37" s="3"/>
      <c r="M37" s="3" t="s">
        <v>19</v>
      </c>
      <c r="N37" s="113">
        <v>1</v>
      </c>
      <c r="O37" s="113"/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68">
        <v>34776</v>
      </c>
      <c r="AA37" s="68">
        <f>Z37-775</f>
        <v>34001</v>
      </c>
      <c r="AB37" s="51">
        <f>AA37/U28</f>
        <v>163.46634615384616</v>
      </c>
      <c r="AC37" s="51">
        <f>775/30</f>
        <v>25.833333333333332</v>
      </c>
    </row>
    <row r="38" spans="1:37" ht="23.25" x14ac:dyDescent="0.65">
      <c r="A38" s="3"/>
      <c r="B38" s="3" t="s">
        <v>58</v>
      </c>
      <c r="C38" s="3"/>
      <c r="D38" s="3"/>
      <c r="E38" s="3"/>
      <c r="F38" s="3"/>
      <c r="G38" s="82" t="s">
        <v>59</v>
      </c>
      <c r="H38" s="82"/>
      <c r="I38" s="82"/>
      <c r="J38" s="82"/>
      <c r="K38" s="82"/>
      <c r="L38" s="3"/>
      <c r="M38" s="3" t="s">
        <v>19</v>
      </c>
      <c r="N38" s="113">
        <v>130</v>
      </c>
      <c r="O38" s="113"/>
      <c r="P38" s="3" t="s">
        <v>53</v>
      </c>
      <c r="Q38" s="3"/>
      <c r="R38" s="3"/>
      <c r="S38" s="3" t="s">
        <v>52</v>
      </c>
      <c r="T38" s="3"/>
      <c r="U38" s="3"/>
      <c r="V38" s="113">
        <v>125</v>
      </c>
      <c r="W38" s="113"/>
      <c r="X38" s="3" t="s">
        <v>53</v>
      </c>
      <c r="Y38" s="3"/>
      <c r="Z38" s="68">
        <v>3492</v>
      </c>
      <c r="AA38" s="51">
        <f>Z38/208</f>
        <v>16.78846153846154</v>
      </c>
      <c r="AB38" s="51" t="s">
        <v>144</v>
      </c>
      <c r="AC38" s="51"/>
    </row>
    <row r="39" spans="1:37" ht="23.25" x14ac:dyDescent="0.65">
      <c r="A39" s="3"/>
      <c r="B39" s="3" t="s">
        <v>60</v>
      </c>
      <c r="C39" s="3"/>
      <c r="D39" s="3"/>
      <c r="E39" s="3"/>
      <c r="F39" s="3"/>
      <c r="G39" s="82" t="s">
        <v>61</v>
      </c>
      <c r="H39" s="82"/>
      <c r="I39" s="82"/>
      <c r="J39" s="82"/>
      <c r="K39" s="82"/>
      <c r="L39" s="3"/>
      <c r="M39" s="3" t="s">
        <v>19</v>
      </c>
      <c r="N39" s="113">
        <v>18</v>
      </c>
      <c r="O39" s="113"/>
      <c r="P39" s="3" t="s">
        <v>53</v>
      </c>
      <c r="Q39" s="3"/>
      <c r="R39" s="3"/>
      <c r="S39" s="3" t="s">
        <v>52</v>
      </c>
      <c r="T39" s="3"/>
      <c r="U39" s="3"/>
      <c r="V39" s="113">
        <v>16</v>
      </c>
      <c r="W39" s="113"/>
      <c r="X39" s="3" t="s">
        <v>53</v>
      </c>
      <c r="Y39" s="3"/>
      <c r="Z39" s="68">
        <v>175</v>
      </c>
      <c r="AA39" s="51">
        <f>Z39/30</f>
        <v>5.833333333333333</v>
      </c>
      <c r="AB39" s="51" t="s">
        <v>143</v>
      </c>
      <c r="AC39" s="51"/>
    </row>
    <row r="40" spans="1:37" ht="23.25" x14ac:dyDescent="0.65">
      <c r="A40" s="3"/>
      <c r="B40" s="3" t="s">
        <v>64</v>
      </c>
      <c r="C40" s="3"/>
      <c r="D40" s="3"/>
      <c r="E40" s="3"/>
      <c r="F40" s="3"/>
      <c r="G40" s="82" t="s">
        <v>65</v>
      </c>
      <c r="H40" s="82"/>
      <c r="I40" s="82"/>
      <c r="J40" s="82"/>
      <c r="K40" s="82"/>
      <c r="L40" s="3"/>
      <c r="M40" s="3" t="s">
        <v>19</v>
      </c>
      <c r="N40" s="113">
        <v>25</v>
      </c>
      <c r="O40" s="113"/>
      <c r="P40" s="3" t="s">
        <v>53</v>
      </c>
      <c r="Q40" s="3"/>
      <c r="R40" s="3"/>
      <c r="S40" s="3" t="s">
        <v>52</v>
      </c>
      <c r="T40" s="3"/>
      <c r="U40" s="3"/>
      <c r="V40" s="113">
        <v>15</v>
      </c>
      <c r="W40" s="113"/>
      <c r="X40" s="3" t="s">
        <v>53</v>
      </c>
      <c r="Y40" s="3"/>
      <c r="Z40" s="68">
        <v>4517</v>
      </c>
      <c r="AA40" s="51">
        <f>Z40/208</f>
        <v>21.716346153846153</v>
      </c>
      <c r="AB40" s="51" t="s">
        <v>144</v>
      </c>
      <c r="AC40" s="51"/>
    </row>
    <row r="41" spans="1:37" ht="23.25" x14ac:dyDescent="0.6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 t="s">
        <v>66</v>
      </c>
      <c r="M41" s="22"/>
      <c r="N41" s="116">
        <f>SUM(N36:N40)</f>
        <v>176</v>
      </c>
      <c r="O41" s="116"/>
      <c r="P41" s="24" t="s">
        <v>53</v>
      </c>
      <c r="Q41" s="22"/>
      <c r="R41" s="22"/>
      <c r="S41" s="116" t="s">
        <v>52</v>
      </c>
      <c r="T41" s="116"/>
      <c r="U41" s="116"/>
      <c r="V41" s="116">
        <f>SUM(V36:W40)</f>
        <v>159</v>
      </c>
      <c r="W41" s="116"/>
      <c r="X41" s="24" t="s">
        <v>53</v>
      </c>
      <c r="Y41" s="23"/>
      <c r="Z41" s="68">
        <v>41239</v>
      </c>
      <c r="AA41" s="68">
        <f>Z41-875</f>
        <v>40364</v>
      </c>
      <c r="AB41" s="51">
        <f>AA41/208</f>
        <v>194.05769230769232</v>
      </c>
      <c r="AC41" s="51">
        <f>875/30</f>
        <v>29.166666666666668</v>
      </c>
    </row>
    <row r="42" spans="1:37" ht="23.25" x14ac:dyDescent="0.65">
      <c r="A42" s="3" t="s">
        <v>67</v>
      </c>
      <c r="B42" s="25"/>
      <c r="C42" s="25"/>
      <c r="D42" s="25"/>
      <c r="E42" s="25"/>
      <c r="F42" s="2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67"/>
      <c r="AA42" s="67">
        <v>-875</v>
      </c>
      <c r="AB42" s="67"/>
      <c r="AC42" s="51" t="s">
        <v>143</v>
      </c>
    </row>
    <row r="43" spans="1:37" ht="9.9499999999999993" customHeight="1" x14ac:dyDescent="0.6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37" ht="21" x14ac:dyDescent="0.6">
      <c r="A44" s="122" t="s">
        <v>68</v>
      </c>
      <c r="B44" s="123"/>
      <c r="C44" s="123"/>
      <c r="D44" s="123"/>
      <c r="E44" s="124"/>
      <c r="F44" s="122" t="s">
        <v>69</v>
      </c>
      <c r="G44" s="123"/>
      <c r="H44" s="123"/>
      <c r="I44" s="124"/>
      <c r="J44" s="119" t="s">
        <v>70</v>
      </c>
      <c r="K44" s="119"/>
      <c r="L44" s="119"/>
      <c r="M44" s="119"/>
      <c r="N44" s="119"/>
      <c r="O44" s="119"/>
      <c r="P44" s="128" t="s">
        <v>71</v>
      </c>
      <c r="Q44" s="128"/>
      <c r="R44" s="128"/>
      <c r="S44" s="128"/>
      <c r="T44" s="128"/>
      <c r="U44" s="128" t="s">
        <v>72</v>
      </c>
      <c r="V44" s="128"/>
      <c r="W44" s="128"/>
      <c r="X44" s="128"/>
      <c r="Y44" s="128"/>
      <c r="Z44" s="53" t="s">
        <v>127</v>
      </c>
      <c r="AA44" s="54" t="s">
        <v>129</v>
      </c>
      <c r="AB44" s="54" t="s">
        <v>136</v>
      </c>
      <c r="AC44" s="55">
        <v>25440</v>
      </c>
      <c r="AD44" s="55">
        <v>2016</v>
      </c>
      <c r="AE44" s="55">
        <v>6312</v>
      </c>
      <c r="AF44" s="55">
        <v>1008</v>
      </c>
      <c r="AG44" s="66">
        <f>SUM(AC44:AF44)</f>
        <v>34776</v>
      </c>
    </row>
    <row r="45" spans="1:37" x14ac:dyDescent="0.25">
      <c r="A45" s="125"/>
      <c r="B45" s="126"/>
      <c r="C45" s="126"/>
      <c r="D45" s="126"/>
      <c r="E45" s="127"/>
      <c r="F45" s="125"/>
      <c r="G45" s="126"/>
      <c r="H45" s="126"/>
      <c r="I45" s="127"/>
      <c r="J45" s="198" t="s">
        <v>73</v>
      </c>
      <c r="K45" s="198"/>
      <c r="L45" s="198"/>
      <c r="M45" s="198"/>
      <c r="N45" s="198"/>
      <c r="O45" s="198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54" t="s">
        <v>127</v>
      </c>
      <c r="AA45" s="54" t="s">
        <v>129</v>
      </c>
      <c r="AB45" s="54" t="s">
        <v>83</v>
      </c>
      <c r="AC45" s="55">
        <v>1800</v>
      </c>
      <c r="AD45" s="55">
        <v>1692</v>
      </c>
      <c r="AE45" s="55"/>
      <c r="AF45" s="55"/>
      <c r="AG45" s="66">
        <f>SUM(AC45:AF45)</f>
        <v>3492</v>
      </c>
    </row>
    <row r="46" spans="1:37" ht="21" x14ac:dyDescent="0.6">
      <c r="A46" s="199" t="s">
        <v>74</v>
      </c>
      <c r="B46" s="199"/>
      <c r="C46" s="199"/>
      <c r="D46" s="199"/>
      <c r="E46" s="199"/>
      <c r="F46" s="199" t="s">
        <v>75</v>
      </c>
      <c r="G46" s="199"/>
      <c r="H46" s="199"/>
      <c r="I46" s="199"/>
      <c r="J46" s="119" t="s">
        <v>76</v>
      </c>
      <c r="K46" s="119"/>
      <c r="L46" s="119"/>
      <c r="M46" s="119" t="s">
        <v>77</v>
      </c>
      <c r="N46" s="119"/>
      <c r="O46" s="119"/>
      <c r="P46" s="201" t="s">
        <v>78</v>
      </c>
      <c r="Q46" s="199"/>
      <c r="R46" s="199"/>
      <c r="S46" s="199"/>
      <c r="T46" s="199"/>
      <c r="U46" s="199" t="s">
        <v>79</v>
      </c>
      <c r="V46" s="199"/>
      <c r="W46" s="199"/>
      <c r="X46" s="199"/>
      <c r="Y46" s="199"/>
      <c r="Z46" s="54" t="s">
        <v>127</v>
      </c>
      <c r="AA46" s="54" t="s">
        <v>126</v>
      </c>
      <c r="AB46" s="53" t="s">
        <v>83</v>
      </c>
      <c r="AC46" s="55">
        <v>175</v>
      </c>
      <c r="AD46" s="55"/>
      <c r="AE46" s="55"/>
      <c r="AF46" s="55"/>
      <c r="AG46" s="66">
        <f>SUM(AC46:AF46)</f>
        <v>175</v>
      </c>
    </row>
    <row r="47" spans="1:37" x14ac:dyDescent="0.25">
      <c r="A47" s="200"/>
      <c r="B47" s="200"/>
      <c r="C47" s="200"/>
      <c r="D47" s="200"/>
      <c r="E47" s="200"/>
      <c r="F47" s="200"/>
      <c r="G47" s="200"/>
      <c r="H47" s="200"/>
      <c r="I47" s="200"/>
      <c r="J47" s="202" t="s">
        <v>80</v>
      </c>
      <c r="K47" s="202"/>
      <c r="L47" s="202"/>
      <c r="M47" s="202" t="s">
        <v>81</v>
      </c>
      <c r="N47" s="202"/>
      <c r="O47" s="202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54" t="s">
        <v>127</v>
      </c>
      <c r="AA47" s="54" t="s">
        <v>90</v>
      </c>
      <c r="AB47" s="54" t="s">
        <v>83</v>
      </c>
      <c r="AC47" s="55">
        <v>720</v>
      </c>
      <c r="AD47" s="55">
        <v>3797</v>
      </c>
      <c r="AE47" s="55"/>
      <c r="AF47" s="55"/>
      <c r="AG47" s="66">
        <f>SUM(AC47:AF47)</f>
        <v>4517</v>
      </c>
    </row>
    <row r="48" spans="1:37" ht="20.100000000000001" customHeight="1" x14ac:dyDescent="0.25">
      <c r="A48" s="204" t="s">
        <v>127</v>
      </c>
      <c r="B48" s="204"/>
      <c r="C48" s="204" t="s">
        <v>129</v>
      </c>
      <c r="D48" s="204"/>
      <c r="E48" s="204"/>
      <c r="F48" s="205" t="s">
        <v>88</v>
      </c>
      <c r="G48" s="205" t="s">
        <v>83</v>
      </c>
      <c r="H48" s="205" t="s">
        <v>83</v>
      </c>
      <c r="I48" s="205" t="s">
        <v>83</v>
      </c>
      <c r="J48" s="206">
        <v>8</v>
      </c>
      <c r="K48" s="206"/>
      <c r="L48" s="206"/>
      <c r="M48" s="207">
        <v>163</v>
      </c>
      <c r="N48" s="207"/>
      <c r="O48" s="207"/>
      <c r="P48" s="208">
        <f t="shared" ref="P48:P58" si="0">M48*J48</f>
        <v>1304</v>
      </c>
      <c r="Q48" s="208"/>
      <c r="R48" s="208"/>
      <c r="S48" s="208"/>
      <c r="T48" s="208"/>
      <c r="U48" s="203">
        <f>M48*($U$28)</f>
        <v>33904</v>
      </c>
      <c r="V48" s="203"/>
      <c r="W48" s="203"/>
      <c r="X48" s="203"/>
      <c r="Y48" s="203"/>
      <c r="Z48" s="54" t="s">
        <v>127</v>
      </c>
      <c r="AA48" s="54" t="s">
        <v>90</v>
      </c>
      <c r="AB48" s="54" t="s">
        <v>136</v>
      </c>
      <c r="AC48" s="55">
        <v>28491</v>
      </c>
      <c r="AD48" s="55">
        <v>4772</v>
      </c>
      <c r="AE48" s="55">
        <v>2520</v>
      </c>
      <c r="AF48" s="55">
        <v>5456</v>
      </c>
      <c r="AG48" s="66">
        <f>SUM(AC48:AF48)</f>
        <v>41239</v>
      </c>
      <c r="AI48" s="26"/>
      <c r="AK48" s="27"/>
    </row>
    <row r="49" spans="1:37" ht="20.100000000000001" customHeight="1" x14ac:dyDescent="0.25">
      <c r="A49" s="204" t="s">
        <v>127</v>
      </c>
      <c r="B49" s="204"/>
      <c r="C49" s="204" t="s">
        <v>129</v>
      </c>
      <c r="D49" s="204"/>
      <c r="E49" s="204"/>
      <c r="F49" s="205" t="s">
        <v>83</v>
      </c>
      <c r="G49" s="205"/>
      <c r="H49" s="205"/>
      <c r="I49" s="205"/>
      <c r="J49" s="206">
        <v>8</v>
      </c>
      <c r="K49" s="206"/>
      <c r="L49" s="206"/>
      <c r="M49" s="207">
        <v>17</v>
      </c>
      <c r="N49" s="207"/>
      <c r="O49" s="207"/>
      <c r="P49" s="208">
        <f t="shared" si="0"/>
        <v>136</v>
      </c>
      <c r="Q49" s="208"/>
      <c r="R49" s="208"/>
      <c r="S49" s="208"/>
      <c r="T49" s="208"/>
      <c r="U49" s="203">
        <f>M49*($U$28)</f>
        <v>3536</v>
      </c>
      <c r="V49" s="203"/>
      <c r="W49" s="203"/>
      <c r="X49" s="203"/>
      <c r="Y49" s="203"/>
      <c r="Z49" s="222">
        <f>SUM(U48:Y54)</f>
        <v>84198</v>
      </c>
      <c r="AG49" s="65">
        <f>SUM(AG44:AG48)</f>
        <v>84199</v>
      </c>
      <c r="AI49" s="26"/>
      <c r="AK49" s="27"/>
    </row>
    <row r="50" spans="1:37" ht="20.100000000000001" customHeight="1" x14ac:dyDescent="0.25">
      <c r="A50" s="204" t="s">
        <v>127</v>
      </c>
      <c r="B50" s="204"/>
      <c r="C50" s="204" t="s">
        <v>132</v>
      </c>
      <c r="D50" s="204"/>
      <c r="E50" s="204"/>
      <c r="F50" s="205" t="s">
        <v>83</v>
      </c>
      <c r="G50" s="205"/>
      <c r="H50" s="205"/>
      <c r="I50" s="205"/>
      <c r="J50" s="206">
        <v>8</v>
      </c>
      <c r="K50" s="206"/>
      <c r="L50" s="206"/>
      <c r="M50" s="207">
        <v>22</v>
      </c>
      <c r="N50" s="207"/>
      <c r="O50" s="207"/>
      <c r="P50" s="208">
        <f t="shared" si="0"/>
        <v>176</v>
      </c>
      <c r="Q50" s="208"/>
      <c r="R50" s="208"/>
      <c r="S50" s="208"/>
      <c r="T50" s="208"/>
      <c r="U50" s="203">
        <f>M50*($U$28)</f>
        <v>4576</v>
      </c>
      <c r="V50" s="203"/>
      <c r="W50" s="203"/>
      <c r="X50" s="203"/>
      <c r="Y50" s="203"/>
      <c r="Z50" s="223"/>
      <c r="AI50" s="26"/>
      <c r="AK50" s="27"/>
    </row>
    <row r="51" spans="1:37" ht="20.100000000000001" customHeight="1" x14ac:dyDescent="0.25">
      <c r="A51" s="204" t="s">
        <v>127</v>
      </c>
      <c r="B51" s="204"/>
      <c r="C51" s="204" t="s">
        <v>132</v>
      </c>
      <c r="D51" s="204"/>
      <c r="E51" s="204"/>
      <c r="F51" s="205" t="s">
        <v>88</v>
      </c>
      <c r="G51" s="205" t="s">
        <v>83</v>
      </c>
      <c r="H51" s="205" t="s">
        <v>83</v>
      </c>
      <c r="I51" s="205" t="s">
        <v>83</v>
      </c>
      <c r="J51" s="206">
        <v>8</v>
      </c>
      <c r="K51" s="206"/>
      <c r="L51" s="206"/>
      <c r="M51" s="207">
        <v>194</v>
      </c>
      <c r="N51" s="207"/>
      <c r="O51" s="207"/>
      <c r="P51" s="208">
        <f t="shared" si="0"/>
        <v>1552</v>
      </c>
      <c r="Q51" s="208"/>
      <c r="R51" s="208"/>
      <c r="S51" s="208"/>
      <c r="T51" s="208"/>
      <c r="U51" s="203">
        <f>M51*($U$28)</f>
        <v>40352</v>
      </c>
      <c r="V51" s="203"/>
      <c r="W51" s="203"/>
      <c r="X51" s="203"/>
      <c r="Y51" s="203"/>
      <c r="Z51" s="223"/>
    </row>
    <row r="52" spans="1:37" ht="20.100000000000001" customHeight="1" x14ac:dyDescent="0.25">
      <c r="A52" s="204" t="s">
        <v>127</v>
      </c>
      <c r="B52" s="204"/>
      <c r="C52" s="204" t="s">
        <v>126</v>
      </c>
      <c r="D52" s="204"/>
      <c r="E52" s="204"/>
      <c r="F52" s="205" t="s">
        <v>83</v>
      </c>
      <c r="G52" s="205"/>
      <c r="H52" s="205"/>
      <c r="I52" s="205"/>
      <c r="J52" s="206">
        <v>2</v>
      </c>
      <c r="K52" s="206"/>
      <c r="L52" s="206"/>
      <c r="M52" s="207">
        <v>6</v>
      </c>
      <c r="N52" s="207"/>
      <c r="O52" s="207"/>
      <c r="P52" s="208">
        <f t="shared" si="0"/>
        <v>12</v>
      </c>
      <c r="Q52" s="208"/>
      <c r="R52" s="208"/>
      <c r="S52" s="208"/>
      <c r="T52" s="208"/>
      <c r="U52" s="203">
        <f t="shared" ref="U52:U58" si="1">M52*($N$29)</f>
        <v>180</v>
      </c>
      <c r="V52" s="203"/>
      <c r="W52" s="203"/>
      <c r="X52" s="203"/>
      <c r="Y52" s="203"/>
      <c r="Z52" s="223"/>
      <c r="AI52" s="26"/>
      <c r="AK52" s="27"/>
    </row>
    <row r="53" spans="1:37" ht="20.100000000000001" customHeight="1" x14ac:dyDescent="0.25">
      <c r="A53" s="204" t="s">
        <v>127</v>
      </c>
      <c r="B53" s="204"/>
      <c r="C53" s="204" t="s">
        <v>129</v>
      </c>
      <c r="D53" s="204"/>
      <c r="E53" s="204"/>
      <c r="F53" s="205" t="s">
        <v>88</v>
      </c>
      <c r="G53" s="205" t="s">
        <v>83</v>
      </c>
      <c r="H53" s="205" t="s">
        <v>83</v>
      </c>
      <c r="I53" s="205" t="s">
        <v>83</v>
      </c>
      <c r="J53" s="206">
        <v>2</v>
      </c>
      <c r="K53" s="206"/>
      <c r="L53" s="206"/>
      <c r="M53" s="207">
        <v>26</v>
      </c>
      <c r="N53" s="207"/>
      <c r="O53" s="207"/>
      <c r="P53" s="208">
        <f t="shared" si="0"/>
        <v>52</v>
      </c>
      <c r="Q53" s="208"/>
      <c r="R53" s="208"/>
      <c r="S53" s="208"/>
      <c r="T53" s="208"/>
      <c r="U53" s="209">
        <f t="shared" si="1"/>
        <v>780</v>
      </c>
      <c r="V53" s="209"/>
      <c r="W53" s="209"/>
      <c r="X53" s="209"/>
      <c r="Y53" s="209"/>
      <c r="Z53" s="223"/>
    </row>
    <row r="54" spans="1:37" ht="20.100000000000001" customHeight="1" x14ac:dyDescent="0.25">
      <c r="A54" s="204" t="s">
        <v>127</v>
      </c>
      <c r="B54" s="204"/>
      <c r="C54" s="204" t="s">
        <v>132</v>
      </c>
      <c r="D54" s="204"/>
      <c r="E54" s="204"/>
      <c r="F54" s="205" t="s">
        <v>88</v>
      </c>
      <c r="G54" s="205" t="s">
        <v>83</v>
      </c>
      <c r="H54" s="205" t="s">
        <v>83</v>
      </c>
      <c r="I54" s="205" t="s">
        <v>83</v>
      </c>
      <c r="J54" s="206">
        <v>2</v>
      </c>
      <c r="K54" s="206"/>
      <c r="L54" s="206"/>
      <c r="M54" s="207">
        <v>29</v>
      </c>
      <c r="N54" s="207"/>
      <c r="O54" s="207"/>
      <c r="P54" s="208">
        <f t="shared" si="0"/>
        <v>58</v>
      </c>
      <c r="Q54" s="208"/>
      <c r="R54" s="208"/>
      <c r="S54" s="208"/>
      <c r="T54" s="208"/>
      <c r="U54" s="203">
        <f t="shared" si="1"/>
        <v>870</v>
      </c>
      <c r="V54" s="203"/>
      <c r="W54" s="203"/>
      <c r="X54" s="203"/>
      <c r="Y54" s="203"/>
      <c r="Z54" s="223"/>
      <c r="AA54" s="28"/>
      <c r="AB54" s="47"/>
    </row>
    <row r="55" spans="1:37" ht="20.100000000000001" hidden="1" customHeight="1" x14ac:dyDescent="0.25">
      <c r="A55" s="178" t="s">
        <v>127</v>
      </c>
      <c r="B55" s="179"/>
      <c r="C55" s="141" t="s">
        <v>89</v>
      </c>
      <c r="D55" s="141"/>
      <c r="E55" s="142"/>
      <c r="F55" s="143" t="s">
        <v>88</v>
      </c>
      <c r="G55" s="143"/>
      <c r="H55" s="143"/>
      <c r="I55" s="143"/>
      <c r="J55" s="137">
        <v>2</v>
      </c>
      <c r="K55" s="137"/>
      <c r="L55" s="137"/>
      <c r="M55" s="138">
        <v>2</v>
      </c>
      <c r="N55" s="138"/>
      <c r="O55" s="138"/>
      <c r="P55" s="139">
        <f t="shared" si="0"/>
        <v>4</v>
      </c>
      <c r="Q55" s="139"/>
      <c r="R55" s="139"/>
      <c r="S55" s="139"/>
      <c r="T55" s="139"/>
      <c r="U55" s="145">
        <f t="shared" si="1"/>
        <v>60</v>
      </c>
      <c r="V55" s="145"/>
      <c r="W55" s="145"/>
      <c r="X55" s="145"/>
      <c r="Y55" s="145"/>
      <c r="AA55" s="28"/>
    </row>
    <row r="56" spans="1:37" ht="20.100000000000001" hidden="1" customHeight="1" x14ac:dyDescent="0.25">
      <c r="A56" s="178" t="s">
        <v>127</v>
      </c>
      <c r="B56" s="179"/>
      <c r="C56" s="141" t="s">
        <v>86</v>
      </c>
      <c r="D56" s="141"/>
      <c r="E56" s="142"/>
      <c r="F56" s="143" t="s">
        <v>88</v>
      </c>
      <c r="G56" s="143"/>
      <c r="H56" s="143"/>
      <c r="I56" s="143"/>
      <c r="J56" s="137">
        <v>2</v>
      </c>
      <c r="K56" s="137"/>
      <c r="L56" s="137"/>
      <c r="M56" s="138">
        <v>4</v>
      </c>
      <c r="N56" s="138"/>
      <c r="O56" s="138"/>
      <c r="P56" s="139">
        <f t="shared" si="0"/>
        <v>8</v>
      </c>
      <c r="Q56" s="139"/>
      <c r="R56" s="139"/>
      <c r="S56" s="139"/>
      <c r="T56" s="139"/>
      <c r="U56" s="145">
        <f t="shared" si="1"/>
        <v>120</v>
      </c>
      <c r="V56" s="145"/>
      <c r="W56" s="145"/>
      <c r="X56" s="145"/>
      <c r="Y56" s="145"/>
      <c r="AA56" s="28"/>
    </row>
    <row r="57" spans="1:37" ht="20.100000000000001" hidden="1" customHeight="1" x14ac:dyDescent="0.25">
      <c r="A57" s="178" t="s">
        <v>127</v>
      </c>
      <c r="B57" s="179"/>
      <c r="C57" s="141" t="s">
        <v>93</v>
      </c>
      <c r="D57" s="141"/>
      <c r="E57" s="142"/>
      <c r="F57" s="143" t="s">
        <v>83</v>
      </c>
      <c r="G57" s="143"/>
      <c r="H57" s="143"/>
      <c r="I57" s="143"/>
      <c r="J57" s="137">
        <v>2</v>
      </c>
      <c r="K57" s="137"/>
      <c r="L57" s="137"/>
      <c r="M57" s="138">
        <v>5</v>
      </c>
      <c r="N57" s="138"/>
      <c r="O57" s="138"/>
      <c r="P57" s="139">
        <f t="shared" si="0"/>
        <v>10</v>
      </c>
      <c r="Q57" s="139"/>
      <c r="R57" s="139"/>
      <c r="S57" s="139"/>
      <c r="T57" s="139"/>
      <c r="U57" s="145">
        <f t="shared" si="1"/>
        <v>150</v>
      </c>
      <c r="V57" s="145"/>
      <c r="W57" s="145"/>
      <c r="X57" s="145"/>
      <c r="Y57" s="145"/>
      <c r="AA57" s="28"/>
    </row>
    <row r="58" spans="1:37" ht="8.4499999999999993" hidden="1" customHeight="1" x14ac:dyDescent="0.25">
      <c r="A58" s="178" t="s">
        <v>127</v>
      </c>
      <c r="B58" s="179"/>
      <c r="C58" s="141" t="s">
        <v>94</v>
      </c>
      <c r="D58" s="141"/>
      <c r="E58" s="142"/>
      <c r="F58" s="150" t="s">
        <v>88</v>
      </c>
      <c r="G58" s="151"/>
      <c r="H58" s="151"/>
      <c r="I58" s="135"/>
      <c r="J58" s="152">
        <v>2</v>
      </c>
      <c r="K58" s="153"/>
      <c r="L58" s="154"/>
      <c r="M58" s="155">
        <v>5</v>
      </c>
      <c r="N58" s="156"/>
      <c r="O58" s="157"/>
      <c r="P58" s="158">
        <f t="shared" si="0"/>
        <v>10</v>
      </c>
      <c r="Q58" s="159"/>
      <c r="R58" s="159"/>
      <c r="S58" s="159"/>
      <c r="T58" s="160"/>
      <c r="U58" s="146">
        <f t="shared" si="1"/>
        <v>150</v>
      </c>
      <c r="V58" s="147"/>
      <c r="W58" s="147"/>
      <c r="X58" s="147"/>
      <c r="Y58" s="148"/>
      <c r="AA58" s="28"/>
    </row>
    <row r="59" spans="1:37" ht="23.25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30"/>
      <c r="K59" s="30"/>
      <c r="L59" s="30"/>
      <c r="M59" s="31"/>
      <c r="N59" s="31"/>
      <c r="O59" s="31"/>
      <c r="P59" s="32"/>
      <c r="Q59" s="32"/>
      <c r="R59" s="32"/>
      <c r="S59" s="32"/>
      <c r="T59" s="32"/>
      <c r="U59" s="221"/>
      <c r="V59" s="221"/>
      <c r="W59" s="221"/>
      <c r="X59" s="221"/>
      <c r="Y59" s="221"/>
      <c r="Z59" s="47"/>
      <c r="AA59" s="27"/>
      <c r="AF59"/>
      <c r="AG59"/>
      <c r="AH59"/>
    </row>
    <row r="60" spans="1:37" s="3" customFormat="1" ht="23.25" x14ac:dyDescent="0.65">
      <c r="A60" s="3" t="s">
        <v>95</v>
      </c>
      <c r="Z60" s="46"/>
    </row>
    <row r="61" spans="1:37" ht="21" x14ac:dyDescent="0.6">
      <c r="A61" s="122" t="s">
        <v>68</v>
      </c>
      <c r="B61" s="123"/>
      <c r="C61" s="123"/>
      <c r="D61" s="123"/>
      <c r="E61" s="124"/>
      <c r="F61" s="122" t="s">
        <v>69</v>
      </c>
      <c r="G61" s="123"/>
      <c r="H61" s="123"/>
      <c r="I61" s="124"/>
      <c r="J61" s="119" t="s">
        <v>96</v>
      </c>
      <c r="K61" s="119"/>
      <c r="L61" s="119"/>
      <c r="M61" s="119"/>
      <c r="N61" s="119"/>
      <c r="O61" s="119"/>
      <c r="P61" s="122" t="s">
        <v>66</v>
      </c>
      <c r="Q61" s="123"/>
      <c r="R61" s="123"/>
      <c r="S61" s="123"/>
      <c r="T61" s="124"/>
      <c r="U61" s="122" t="s">
        <v>97</v>
      </c>
      <c r="V61" s="123"/>
      <c r="W61" s="123"/>
      <c r="X61" s="123"/>
      <c r="Y61" s="124"/>
      <c r="Z61" s="28"/>
      <c r="AF61"/>
      <c r="AG61"/>
      <c r="AH61"/>
    </row>
    <row r="62" spans="1:37" x14ac:dyDescent="0.25">
      <c r="A62" s="125"/>
      <c r="B62" s="126"/>
      <c r="C62" s="126"/>
      <c r="D62" s="126"/>
      <c r="E62" s="127"/>
      <c r="F62" s="125"/>
      <c r="G62" s="126"/>
      <c r="H62" s="126"/>
      <c r="I62" s="127"/>
      <c r="J62" s="210" t="s">
        <v>98</v>
      </c>
      <c r="K62" s="210"/>
      <c r="L62" s="210"/>
      <c r="M62" s="210"/>
      <c r="N62" s="210"/>
      <c r="O62" s="210"/>
      <c r="P62" s="125"/>
      <c r="Q62" s="126"/>
      <c r="R62" s="126"/>
      <c r="S62" s="126"/>
      <c r="T62" s="127"/>
      <c r="U62" s="125"/>
      <c r="V62" s="126"/>
      <c r="W62" s="126"/>
      <c r="X62" s="126"/>
      <c r="Y62" s="127"/>
      <c r="AF62"/>
      <c r="AG62"/>
      <c r="AH62"/>
    </row>
    <row r="63" spans="1:37" ht="19.5" customHeight="1" x14ac:dyDescent="0.25">
      <c r="A63" s="199" t="s">
        <v>74</v>
      </c>
      <c r="B63" s="199"/>
      <c r="C63" s="199"/>
      <c r="D63" s="199"/>
      <c r="E63" s="199"/>
      <c r="F63" s="199" t="s">
        <v>75</v>
      </c>
      <c r="G63" s="199"/>
      <c r="H63" s="199"/>
      <c r="I63" s="199"/>
      <c r="J63" s="122" t="s">
        <v>99</v>
      </c>
      <c r="K63" s="123"/>
      <c r="L63" s="123"/>
      <c r="M63" s="122" t="s">
        <v>100</v>
      </c>
      <c r="N63" s="123"/>
      <c r="O63" s="123"/>
      <c r="P63" s="199" t="s">
        <v>101</v>
      </c>
      <c r="Q63" s="199"/>
      <c r="R63" s="199"/>
      <c r="S63" s="199"/>
      <c r="T63" s="199"/>
      <c r="U63" s="199" t="s">
        <v>102</v>
      </c>
      <c r="V63" s="199"/>
      <c r="W63" s="199"/>
      <c r="X63" s="199"/>
      <c r="Y63" s="199"/>
      <c r="AF63"/>
      <c r="AG63"/>
      <c r="AH63"/>
    </row>
    <row r="64" spans="1:37" x14ac:dyDescent="0.25">
      <c r="A64" s="200"/>
      <c r="B64" s="200"/>
      <c r="C64" s="200"/>
      <c r="D64" s="200"/>
      <c r="E64" s="200"/>
      <c r="F64" s="200"/>
      <c r="G64" s="200"/>
      <c r="H64" s="200"/>
      <c r="I64" s="200"/>
      <c r="J64" s="202" t="s">
        <v>103</v>
      </c>
      <c r="K64" s="202"/>
      <c r="L64" s="202"/>
      <c r="M64" s="202" t="s">
        <v>104</v>
      </c>
      <c r="N64" s="202"/>
      <c r="O64" s="202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AF64"/>
      <c r="AG64"/>
      <c r="AH64"/>
    </row>
    <row r="65" spans="1:34" ht="20.100000000000001" customHeight="1" x14ac:dyDescent="0.25">
      <c r="A65" s="205" t="str">
        <f>A48</f>
        <v>LADIES</v>
      </c>
      <c r="B65" s="205" t="s">
        <v>82</v>
      </c>
      <c r="C65" s="205" t="str">
        <f t="shared" ref="C65:C71" si="2">C48</f>
        <v>PAJAMAS</v>
      </c>
      <c r="D65" s="205" t="s">
        <v>90</v>
      </c>
      <c r="E65" s="205" t="s">
        <v>90</v>
      </c>
      <c r="F65" s="205" t="str">
        <f t="shared" ref="F65:F85" si="3">F48</f>
        <v xml:space="preserve">KNITTED </v>
      </c>
      <c r="G65" s="205"/>
      <c r="H65" s="205"/>
      <c r="I65" s="205"/>
      <c r="J65" s="215">
        <f t="shared" ref="J65:J77" si="4">M65*12</f>
        <v>3.5999999999999996</v>
      </c>
      <c r="K65" s="216"/>
      <c r="L65" s="217"/>
      <c r="M65" s="218">
        <v>0.3</v>
      </c>
      <c r="N65" s="218"/>
      <c r="O65" s="218"/>
      <c r="P65" s="203">
        <f t="shared" ref="P65:P71" si="5">U48</f>
        <v>33904</v>
      </c>
      <c r="Q65" s="203"/>
      <c r="R65" s="203"/>
      <c r="S65" s="203"/>
      <c r="T65" s="203"/>
      <c r="U65" s="211">
        <f t="shared" ref="U65:U85" si="6">P65*M65</f>
        <v>10171.199999999999</v>
      </c>
      <c r="V65" s="211"/>
      <c r="W65" s="211"/>
      <c r="X65" s="211"/>
      <c r="Y65" s="211"/>
      <c r="Z65" s="28"/>
      <c r="AF65"/>
      <c r="AG65"/>
      <c r="AH65"/>
    </row>
    <row r="66" spans="1:34" ht="20.100000000000001" customHeight="1" x14ac:dyDescent="0.25">
      <c r="A66" s="205" t="str">
        <f>A49</f>
        <v>LADIES</v>
      </c>
      <c r="B66" s="205" t="s">
        <v>82</v>
      </c>
      <c r="C66" s="205" t="str">
        <f t="shared" si="2"/>
        <v>PAJAMAS</v>
      </c>
      <c r="D66" s="205" t="s">
        <v>90</v>
      </c>
      <c r="E66" s="205" t="s">
        <v>90</v>
      </c>
      <c r="F66" s="205" t="str">
        <f t="shared" si="3"/>
        <v>WOVEN</v>
      </c>
      <c r="G66" s="205"/>
      <c r="H66" s="205"/>
      <c r="I66" s="205"/>
      <c r="J66" s="208">
        <f t="shared" si="4"/>
        <v>2.4000000000000004</v>
      </c>
      <c r="K66" s="208"/>
      <c r="L66" s="208"/>
      <c r="M66" s="212">
        <v>0.2</v>
      </c>
      <c r="N66" s="213"/>
      <c r="O66" s="214"/>
      <c r="P66" s="203">
        <f t="shared" si="5"/>
        <v>3536</v>
      </c>
      <c r="Q66" s="203"/>
      <c r="R66" s="203"/>
      <c r="S66" s="203"/>
      <c r="T66" s="203"/>
      <c r="U66" s="211">
        <f t="shared" si="6"/>
        <v>707.2</v>
      </c>
      <c r="V66" s="211"/>
      <c r="W66" s="211"/>
      <c r="X66" s="211"/>
      <c r="Y66" s="211"/>
    </row>
    <row r="67" spans="1:34" ht="20.100000000000001" customHeight="1" x14ac:dyDescent="0.25">
      <c r="A67" s="205" t="str">
        <f>A52</f>
        <v>LADIES</v>
      </c>
      <c r="B67" s="205" t="s">
        <v>82</v>
      </c>
      <c r="C67" s="205" t="str">
        <f t="shared" si="2"/>
        <v>PANTS</v>
      </c>
      <c r="D67" s="205" t="s">
        <v>90</v>
      </c>
      <c r="E67" s="205" t="s">
        <v>90</v>
      </c>
      <c r="F67" s="205" t="str">
        <f t="shared" si="3"/>
        <v>WOVEN</v>
      </c>
      <c r="G67" s="205"/>
      <c r="H67" s="205"/>
      <c r="I67" s="205"/>
      <c r="J67" s="208">
        <f t="shared" si="4"/>
        <v>4.8000000000000007</v>
      </c>
      <c r="K67" s="208"/>
      <c r="L67" s="208"/>
      <c r="M67" s="212">
        <v>0.4</v>
      </c>
      <c r="N67" s="213"/>
      <c r="O67" s="214"/>
      <c r="P67" s="203">
        <f t="shared" si="5"/>
        <v>4576</v>
      </c>
      <c r="Q67" s="203"/>
      <c r="R67" s="203"/>
      <c r="S67" s="203"/>
      <c r="T67" s="203"/>
      <c r="U67" s="211">
        <f t="shared" si="6"/>
        <v>1830.4</v>
      </c>
      <c r="V67" s="211"/>
      <c r="W67" s="211"/>
      <c r="X67" s="211"/>
      <c r="Y67" s="211"/>
    </row>
    <row r="68" spans="1:34" ht="20.100000000000001" customHeight="1" x14ac:dyDescent="0.25">
      <c r="A68" s="205" t="str">
        <f>A50</f>
        <v>LADIES</v>
      </c>
      <c r="B68" s="205" t="s">
        <v>82</v>
      </c>
      <c r="C68" s="205" t="str">
        <f t="shared" si="2"/>
        <v>PANTS</v>
      </c>
      <c r="D68" s="205" t="s">
        <v>90</v>
      </c>
      <c r="E68" s="205" t="s">
        <v>90</v>
      </c>
      <c r="F68" s="205" t="str">
        <f t="shared" si="3"/>
        <v xml:space="preserve">KNITTED </v>
      </c>
      <c r="G68" s="205"/>
      <c r="H68" s="205"/>
      <c r="I68" s="205"/>
      <c r="J68" s="208">
        <f t="shared" si="4"/>
        <v>4.8000000000000007</v>
      </c>
      <c r="K68" s="208"/>
      <c r="L68" s="208"/>
      <c r="M68" s="212">
        <v>0.4</v>
      </c>
      <c r="N68" s="213"/>
      <c r="O68" s="214"/>
      <c r="P68" s="203">
        <f t="shared" si="5"/>
        <v>40352</v>
      </c>
      <c r="Q68" s="203"/>
      <c r="R68" s="203"/>
      <c r="S68" s="203"/>
      <c r="T68" s="203"/>
      <c r="U68" s="211">
        <f t="shared" si="6"/>
        <v>16140.800000000001</v>
      </c>
      <c r="V68" s="211"/>
      <c r="W68" s="211"/>
      <c r="X68" s="211"/>
      <c r="Y68" s="211"/>
      <c r="AB68" s="33"/>
    </row>
    <row r="69" spans="1:34" ht="20.100000000000001" customHeight="1" x14ac:dyDescent="0.25">
      <c r="A69" s="205" t="str">
        <f>A51</f>
        <v>LADIES</v>
      </c>
      <c r="B69" s="205" t="s">
        <v>82</v>
      </c>
      <c r="C69" s="205" t="str">
        <f t="shared" si="2"/>
        <v>SKIRT</v>
      </c>
      <c r="D69" s="205" t="s">
        <v>90</v>
      </c>
      <c r="E69" s="205" t="s">
        <v>90</v>
      </c>
      <c r="F69" s="205" t="str">
        <f t="shared" si="3"/>
        <v>WOVEN</v>
      </c>
      <c r="G69" s="205"/>
      <c r="H69" s="205"/>
      <c r="I69" s="205"/>
      <c r="J69" s="208">
        <f t="shared" si="4"/>
        <v>3</v>
      </c>
      <c r="K69" s="208"/>
      <c r="L69" s="208"/>
      <c r="M69" s="212">
        <v>0.25</v>
      </c>
      <c r="N69" s="213"/>
      <c r="O69" s="214"/>
      <c r="P69" s="203">
        <f t="shared" si="5"/>
        <v>180</v>
      </c>
      <c r="Q69" s="203"/>
      <c r="R69" s="203"/>
      <c r="S69" s="203"/>
      <c r="T69" s="203"/>
      <c r="U69" s="211">
        <f t="shared" si="6"/>
        <v>45</v>
      </c>
      <c r="V69" s="211"/>
      <c r="W69" s="211"/>
      <c r="X69" s="211"/>
      <c r="Y69" s="211"/>
    </row>
    <row r="70" spans="1:34" ht="20.100000000000001" customHeight="1" x14ac:dyDescent="0.25">
      <c r="A70" s="205" t="str">
        <f>A53</f>
        <v>LADIES</v>
      </c>
      <c r="B70" s="205" t="s">
        <v>82</v>
      </c>
      <c r="C70" s="205" t="str">
        <f t="shared" si="2"/>
        <v>PAJAMAS</v>
      </c>
      <c r="D70" s="205" t="s">
        <v>90</v>
      </c>
      <c r="E70" s="205" t="s">
        <v>90</v>
      </c>
      <c r="F70" s="205" t="str">
        <f t="shared" si="3"/>
        <v xml:space="preserve">KNITTED </v>
      </c>
      <c r="G70" s="205"/>
      <c r="H70" s="205"/>
      <c r="I70" s="205"/>
      <c r="J70" s="208">
        <f t="shared" si="4"/>
        <v>11.64</v>
      </c>
      <c r="K70" s="208"/>
      <c r="L70" s="208"/>
      <c r="M70" s="218">
        <v>0.97</v>
      </c>
      <c r="N70" s="218"/>
      <c r="O70" s="218"/>
      <c r="P70" s="203">
        <f t="shared" si="5"/>
        <v>780</v>
      </c>
      <c r="Q70" s="203"/>
      <c r="R70" s="203"/>
      <c r="S70" s="203"/>
      <c r="T70" s="203"/>
      <c r="U70" s="211">
        <f t="shared" si="6"/>
        <v>756.6</v>
      </c>
      <c r="V70" s="211"/>
      <c r="W70" s="211"/>
      <c r="X70" s="211"/>
      <c r="Y70" s="211"/>
    </row>
    <row r="71" spans="1:34" ht="20.100000000000001" customHeight="1" x14ac:dyDescent="0.25">
      <c r="A71" s="205" t="str">
        <f>A54</f>
        <v>LADIES</v>
      </c>
      <c r="B71" s="205" t="s">
        <v>82</v>
      </c>
      <c r="C71" s="205" t="str">
        <f t="shared" si="2"/>
        <v>PANTS</v>
      </c>
      <c r="D71" s="205" t="s">
        <v>90</v>
      </c>
      <c r="E71" s="205" t="s">
        <v>90</v>
      </c>
      <c r="F71" s="205" t="str">
        <f t="shared" si="3"/>
        <v xml:space="preserve">KNITTED </v>
      </c>
      <c r="G71" s="205"/>
      <c r="H71" s="205"/>
      <c r="I71" s="205"/>
      <c r="J71" s="208">
        <f t="shared" si="4"/>
        <v>6</v>
      </c>
      <c r="K71" s="208"/>
      <c r="L71" s="208"/>
      <c r="M71" s="218">
        <v>0.5</v>
      </c>
      <c r="N71" s="218"/>
      <c r="O71" s="218"/>
      <c r="P71" s="203">
        <f t="shared" si="5"/>
        <v>870</v>
      </c>
      <c r="Q71" s="203"/>
      <c r="R71" s="203"/>
      <c r="S71" s="203"/>
      <c r="T71" s="203"/>
      <c r="U71" s="211">
        <f t="shared" si="6"/>
        <v>435</v>
      </c>
      <c r="V71" s="211"/>
      <c r="W71" s="211"/>
      <c r="X71" s="211"/>
      <c r="Y71" s="211"/>
    </row>
    <row r="72" spans="1:34" ht="20.100000000000001" hidden="1" customHeight="1" x14ac:dyDescent="0.25">
      <c r="A72" s="150" t="str">
        <f t="shared" ref="A72:A77" si="7">A53</f>
        <v>LADIES</v>
      </c>
      <c r="B72" s="151" t="s">
        <v>82</v>
      </c>
      <c r="C72" s="151" t="str">
        <f t="shared" ref="C72:C77" si="8">C53</f>
        <v>PAJAMAS</v>
      </c>
      <c r="D72" s="151" t="s">
        <v>90</v>
      </c>
      <c r="E72" s="135" t="s">
        <v>90</v>
      </c>
      <c r="F72" s="136" t="str">
        <f t="shared" si="3"/>
        <v xml:space="preserve">KNITTED </v>
      </c>
      <c r="G72" s="136"/>
      <c r="H72" s="136"/>
      <c r="I72" s="136"/>
      <c r="J72" s="139">
        <f t="shared" si="4"/>
        <v>6.8461538461538458</v>
      </c>
      <c r="K72" s="139"/>
      <c r="L72" s="139"/>
      <c r="M72" s="165">
        <v>0.57051282051282048</v>
      </c>
      <c r="N72" s="165"/>
      <c r="O72" s="165"/>
      <c r="P72" s="131">
        <f t="shared" ref="P72:P85" si="9">U53</f>
        <v>780</v>
      </c>
      <c r="Q72" s="131"/>
      <c r="R72" s="131"/>
      <c r="S72" s="131"/>
      <c r="T72" s="131"/>
      <c r="U72" s="161">
        <f t="shared" si="6"/>
        <v>445</v>
      </c>
      <c r="V72" s="161"/>
      <c r="W72" s="161"/>
      <c r="X72" s="161"/>
      <c r="Y72" s="161"/>
    </row>
    <row r="73" spans="1:34" ht="20.100000000000001" hidden="1" customHeight="1" x14ac:dyDescent="0.25">
      <c r="A73" s="150" t="str">
        <f t="shared" si="7"/>
        <v>LADIES</v>
      </c>
      <c r="B73" s="151" t="s">
        <v>82</v>
      </c>
      <c r="C73" s="151" t="str">
        <f t="shared" si="8"/>
        <v>PANTS</v>
      </c>
      <c r="D73" s="151" t="s">
        <v>90</v>
      </c>
      <c r="E73" s="135" t="s">
        <v>90</v>
      </c>
      <c r="F73" s="136" t="str">
        <f t="shared" si="3"/>
        <v xml:space="preserve">KNITTED </v>
      </c>
      <c r="G73" s="136"/>
      <c r="H73" s="136"/>
      <c r="I73" s="136"/>
      <c r="J73" s="139">
        <f t="shared" si="4"/>
        <v>8.8508571428571443</v>
      </c>
      <c r="K73" s="139"/>
      <c r="L73" s="139"/>
      <c r="M73" s="165">
        <v>0.73757142857142866</v>
      </c>
      <c r="N73" s="165"/>
      <c r="O73" s="165"/>
      <c r="P73" s="131">
        <f t="shared" si="9"/>
        <v>870</v>
      </c>
      <c r="Q73" s="131"/>
      <c r="R73" s="131"/>
      <c r="S73" s="131"/>
      <c r="T73" s="131"/>
      <c r="U73" s="161">
        <f t="shared" si="6"/>
        <v>641.68714285714293</v>
      </c>
      <c r="V73" s="161"/>
      <c r="W73" s="161"/>
      <c r="X73" s="161"/>
      <c r="Y73" s="161"/>
    </row>
    <row r="74" spans="1:34" ht="20.100000000000001" hidden="1" customHeight="1" x14ac:dyDescent="0.25">
      <c r="A74" s="150" t="str">
        <f t="shared" si="7"/>
        <v>LADIES</v>
      </c>
      <c r="B74" s="151" t="s">
        <v>82</v>
      </c>
      <c r="C74" s="151" t="str">
        <f t="shared" si="8"/>
        <v>JECKET</v>
      </c>
      <c r="D74" s="151" t="s">
        <v>90</v>
      </c>
      <c r="E74" s="135" t="s">
        <v>90</v>
      </c>
      <c r="F74" s="136" t="str">
        <f t="shared" si="3"/>
        <v>WOVEN</v>
      </c>
      <c r="G74" s="136"/>
      <c r="H74" s="136"/>
      <c r="I74" s="136"/>
      <c r="J74" s="139">
        <f t="shared" si="4"/>
        <v>9.1687500000000011</v>
      </c>
      <c r="K74" s="139"/>
      <c r="L74" s="139"/>
      <c r="M74" s="165">
        <v>0.76406250000000009</v>
      </c>
      <c r="N74" s="165"/>
      <c r="O74" s="165"/>
      <c r="P74" s="131">
        <f t="shared" si="9"/>
        <v>60</v>
      </c>
      <c r="Q74" s="131"/>
      <c r="R74" s="131"/>
      <c r="S74" s="131"/>
      <c r="T74" s="131"/>
      <c r="U74" s="161">
        <f t="shared" si="6"/>
        <v>45.843750000000007</v>
      </c>
      <c r="V74" s="161"/>
      <c r="W74" s="161"/>
      <c r="X74" s="161"/>
      <c r="Y74" s="161"/>
    </row>
    <row r="75" spans="1:34" ht="20.100000000000001" hidden="1" customHeight="1" x14ac:dyDescent="0.25">
      <c r="A75" s="150" t="str">
        <f t="shared" si="7"/>
        <v>LADIES</v>
      </c>
      <c r="B75" s="151" t="s">
        <v>82</v>
      </c>
      <c r="C75" s="151" t="str">
        <f t="shared" si="8"/>
        <v xml:space="preserve">SHIRT </v>
      </c>
      <c r="D75" s="151" t="s">
        <v>90</v>
      </c>
      <c r="E75" s="135" t="s">
        <v>90</v>
      </c>
      <c r="F75" s="136" t="str">
        <f t="shared" si="3"/>
        <v xml:space="preserve">KNITTED </v>
      </c>
      <c r="G75" s="136"/>
      <c r="H75" s="136"/>
      <c r="I75" s="136"/>
      <c r="J75" s="139">
        <f t="shared" si="4"/>
        <v>6.6782608695652179</v>
      </c>
      <c r="K75" s="139"/>
      <c r="L75" s="139"/>
      <c r="M75" s="165">
        <v>0.55652173913043479</v>
      </c>
      <c r="N75" s="165"/>
      <c r="O75" s="165"/>
      <c r="P75" s="131">
        <f t="shared" si="9"/>
        <v>120</v>
      </c>
      <c r="Q75" s="131"/>
      <c r="R75" s="131"/>
      <c r="S75" s="131"/>
      <c r="T75" s="131"/>
      <c r="U75" s="161">
        <f t="shared" si="6"/>
        <v>66.782608695652172</v>
      </c>
      <c r="V75" s="161"/>
      <c r="W75" s="161"/>
      <c r="X75" s="161"/>
      <c r="Y75" s="161"/>
    </row>
    <row r="76" spans="1:34" ht="20.100000000000001" hidden="1" customHeight="1" x14ac:dyDescent="0.25">
      <c r="A76" s="150" t="str">
        <f t="shared" si="7"/>
        <v>LADIES</v>
      </c>
      <c r="B76" s="151" t="s">
        <v>82</v>
      </c>
      <c r="C76" s="151" t="str">
        <f t="shared" si="8"/>
        <v>VEST</v>
      </c>
      <c r="D76" s="151" t="s">
        <v>90</v>
      </c>
      <c r="E76" s="135" t="s">
        <v>90</v>
      </c>
      <c r="F76" s="136">
        <f t="shared" si="3"/>
        <v>0</v>
      </c>
      <c r="G76" s="136"/>
      <c r="H76" s="136"/>
      <c r="I76" s="136"/>
      <c r="J76" s="139">
        <f t="shared" si="4"/>
        <v>2.514418604651163</v>
      </c>
      <c r="K76" s="139"/>
      <c r="L76" s="139"/>
      <c r="M76" s="165">
        <v>0.20953488372093027</v>
      </c>
      <c r="N76" s="165"/>
      <c r="O76" s="165"/>
      <c r="P76" s="131">
        <f t="shared" si="9"/>
        <v>150</v>
      </c>
      <c r="Q76" s="131"/>
      <c r="R76" s="131"/>
      <c r="S76" s="131"/>
      <c r="T76" s="131"/>
      <c r="U76" s="161">
        <f t="shared" si="6"/>
        <v>31.43023255813954</v>
      </c>
      <c r="V76" s="161"/>
      <c r="W76" s="161"/>
      <c r="X76" s="161"/>
      <c r="Y76" s="161"/>
    </row>
    <row r="77" spans="1:34" ht="20.100000000000001" hidden="1" customHeight="1" x14ac:dyDescent="0.25">
      <c r="A77" s="150" t="str">
        <f t="shared" si="7"/>
        <v>LADIES</v>
      </c>
      <c r="B77" s="151" t="s">
        <v>82</v>
      </c>
      <c r="C77" s="151" t="str">
        <f t="shared" si="8"/>
        <v>BELT</v>
      </c>
      <c r="D77" s="151" t="s">
        <v>90</v>
      </c>
      <c r="E77" s="135" t="s">
        <v>90</v>
      </c>
      <c r="F77" s="136">
        <f t="shared" si="3"/>
        <v>0</v>
      </c>
      <c r="G77" s="136"/>
      <c r="H77" s="136"/>
      <c r="I77" s="136"/>
      <c r="J77" s="139">
        <f t="shared" si="4"/>
        <v>1.1274418604651162</v>
      </c>
      <c r="K77" s="139"/>
      <c r="L77" s="139"/>
      <c r="M77" s="165">
        <v>9.3953488372093025E-2</v>
      </c>
      <c r="N77" s="165"/>
      <c r="O77" s="165"/>
      <c r="P77" s="131">
        <f t="shared" si="9"/>
        <v>150</v>
      </c>
      <c r="Q77" s="131"/>
      <c r="R77" s="131"/>
      <c r="S77" s="131"/>
      <c r="T77" s="131"/>
      <c r="U77" s="161">
        <f t="shared" si="6"/>
        <v>14.093023255813954</v>
      </c>
      <c r="V77" s="161"/>
      <c r="W77" s="161"/>
      <c r="X77" s="161"/>
      <c r="Y77" s="161"/>
    </row>
    <row r="78" spans="1:34" ht="20.100000000000001" hidden="1" customHeight="1" x14ac:dyDescent="0.25">
      <c r="A78" s="150"/>
      <c r="B78" s="151"/>
      <c r="C78" s="151"/>
      <c r="D78" s="151"/>
      <c r="E78" s="135"/>
      <c r="F78" s="136" t="str">
        <f t="shared" si="3"/>
        <v>ប្រភេទវត្ថុធាតុដើម</v>
      </c>
      <c r="G78" s="136"/>
      <c r="H78" s="136"/>
      <c r="I78" s="136"/>
      <c r="J78" s="139"/>
      <c r="K78" s="139"/>
      <c r="L78" s="139"/>
      <c r="M78" s="166"/>
      <c r="N78" s="166"/>
      <c r="O78" s="166"/>
      <c r="P78" s="131">
        <f t="shared" si="9"/>
        <v>0</v>
      </c>
      <c r="Q78" s="131"/>
      <c r="R78" s="131"/>
      <c r="S78" s="131"/>
      <c r="T78" s="131"/>
      <c r="U78" s="161">
        <f t="shared" si="6"/>
        <v>0</v>
      </c>
      <c r="V78" s="161"/>
      <c r="W78" s="161"/>
      <c r="X78" s="161"/>
      <c r="Y78" s="161"/>
    </row>
    <row r="79" spans="1:34" ht="20.100000000000001" hidden="1" customHeight="1" x14ac:dyDescent="0.25">
      <c r="A79" s="150"/>
      <c r="B79" s="151"/>
      <c r="C79" s="151"/>
      <c r="D79" s="151"/>
      <c r="E79" s="135"/>
      <c r="F79" s="136">
        <f t="shared" si="3"/>
        <v>0</v>
      </c>
      <c r="G79" s="136"/>
      <c r="H79" s="136"/>
      <c r="I79" s="136"/>
      <c r="J79" s="139"/>
      <c r="K79" s="139"/>
      <c r="L79" s="139"/>
      <c r="M79" s="166"/>
      <c r="N79" s="166"/>
      <c r="O79" s="166"/>
      <c r="P79" s="131">
        <f t="shared" si="9"/>
        <v>0</v>
      </c>
      <c r="Q79" s="131"/>
      <c r="R79" s="131"/>
      <c r="S79" s="131"/>
      <c r="T79" s="131"/>
      <c r="U79" s="161">
        <f t="shared" si="6"/>
        <v>0</v>
      </c>
      <c r="V79" s="161"/>
      <c r="W79" s="161"/>
      <c r="X79" s="161"/>
      <c r="Y79" s="161"/>
    </row>
    <row r="80" spans="1:34" ht="20.100000000000001" hidden="1" customHeight="1" x14ac:dyDescent="0.25">
      <c r="A80" s="150"/>
      <c r="B80" s="151"/>
      <c r="C80" s="151"/>
      <c r="D80" s="151"/>
      <c r="E80" s="135"/>
      <c r="F80" s="136" t="str">
        <f t="shared" si="3"/>
        <v>Kind of Materails</v>
      </c>
      <c r="G80" s="136"/>
      <c r="H80" s="136"/>
      <c r="I80" s="136"/>
      <c r="J80" s="139"/>
      <c r="K80" s="139"/>
      <c r="L80" s="139"/>
      <c r="M80" s="166"/>
      <c r="N80" s="166"/>
      <c r="O80" s="166"/>
      <c r="P80" s="131" t="str">
        <f t="shared" si="9"/>
        <v>ទម្ងន់សរុប</v>
      </c>
      <c r="Q80" s="131"/>
      <c r="R80" s="131"/>
      <c r="S80" s="131"/>
      <c r="T80" s="131"/>
      <c r="U80" s="161" t="e">
        <f t="shared" si="6"/>
        <v>#VALUE!</v>
      </c>
      <c r="V80" s="161"/>
      <c r="W80" s="161"/>
      <c r="X80" s="161"/>
      <c r="Y80" s="161"/>
    </row>
    <row r="81" spans="1:25" ht="20.100000000000001" hidden="1" customHeight="1" x14ac:dyDescent="0.25">
      <c r="A81" s="150"/>
      <c r="B81" s="151"/>
      <c r="C81" s="151"/>
      <c r="D81" s="151"/>
      <c r="E81" s="135"/>
      <c r="F81" s="136">
        <f t="shared" si="3"/>
        <v>0</v>
      </c>
      <c r="G81" s="136"/>
      <c r="H81" s="136"/>
      <c r="I81" s="136"/>
      <c r="J81" s="139"/>
      <c r="K81" s="139"/>
      <c r="L81" s="139"/>
      <c r="M81" s="166"/>
      <c r="N81" s="166"/>
      <c r="O81" s="166"/>
      <c r="P81" s="131">
        <f t="shared" si="9"/>
        <v>0</v>
      </c>
      <c r="Q81" s="131"/>
      <c r="R81" s="131"/>
      <c r="S81" s="131"/>
      <c r="T81" s="131"/>
      <c r="U81" s="161">
        <f t="shared" si="6"/>
        <v>0</v>
      </c>
      <c r="V81" s="161"/>
      <c r="W81" s="161"/>
      <c r="X81" s="161"/>
      <c r="Y81" s="161"/>
    </row>
    <row r="82" spans="1:25" ht="20.100000000000001" hidden="1" customHeight="1" x14ac:dyDescent="0.25">
      <c r="A82" s="150" t="e">
        <f>#REF!</f>
        <v>#REF!</v>
      </c>
      <c r="B82" s="151" t="s">
        <v>82</v>
      </c>
      <c r="C82" s="151" t="e">
        <f>#REF!</f>
        <v>#REF!</v>
      </c>
      <c r="D82" s="151" t="s">
        <v>90</v>
      </c>
      <c r="E82" s="135" t="s">
        <v>90</v>
      </c>
      <c r="F82" s="136" t="str">
        <f t="shared" si="3"/>
        <v xml:space="preserve">KNITTED </v>
      </c>
      <c r="G82" s="136"/>
      <c r="H82" s="136"/>
      <c r="I82" s="136"/>
      <c r="J82" s="167">
        <f>M82*12</f>
        <v>4.9379999999999997</v>
      </c>
      <c r="K82" s="168"/>
      <c r="L82" s="169"/>
      <c r="M82" s="165">
        <v>0.41149999999999998</v>
      </c>
      <c r="N82" s="165">
        <v>0.41149999999999998</v>
      </c>
      <c r="O82" s="165">
        <v>0.41149999999999998</v>
      </c>
      <c r="P82" s="131" t="str">
        <f t="shared" si="9"/>
        <v>Total Weight</v>
      </c>
      <c r="Q82" s="131"/>
      <c r="R82" s="131"/>
      <c r="S82" s="131"/>
      <c r="T82" s="131"/>
      <c r="U82" s="161" t="e">
        <f t="shared" si="6"/>
        <v>#VALUE!</v>
      </c>
      <c r="V82" s="161"/>
      <c r="W82" s="161"/>
      <c r="X82" s="161"/>
      <c r="Y82" s="161"/>
    </row>
    <row r="83" spans="1:25" ht="20.100000000000001" hidden="1" customHeight="1" x14ac:dyDescent="0.25">
      <c r="A83" s="150" t="e">
        <f>#REF!</f>
        <v>#REF!</v>
      </c>
      <c r="B83" s="151" t="s">
        <v>82</v>
      </c>
      <c r="C83" s="151" t="e">
        <f>#REF!</f>
        <v>#REF!</v>
      </c>
      <c r="D83" s="151" t="s">
        <v>90</v>
      </c>
      <c r="E83" s="135" t="s">
        <v>90</v>
      </c>
      <c r="F83" s="136" t="str">
        <f t="shared" si="3"/>
        <v>WOVEN</v>
      </c>
      <c r="G83" s="136"/>
      <c r="H83" s="136"/>
      <c r="I83" s="136"/>
      <c r="J83" s="139">
        <f>M83*12</f>
        <v>2.2251499999999997</v>
      </c>
      <c r="K83" s="139"/>
      <c r="L83" s="139"/>
      <c r="M83" s="165">
        <v>0.18542916666666664</v>
      </c>
      <c r="N83" s="165">
        <v>0.18542916666666664</v>
      </c>
      <c r="O83" s="165">
        <v>0.18542916666666664</v>
      </c>
      <c r="P83" s="131">
        <f t="shared" si="9"/>
        <v>0</v>
      </c>
      <c r="Q83" s="131"/>
      <c r="R83" s="131"/>
      <c r="S83" s="131"/>
      <c r="T83" s="131"/>
      <c r="U83" s="161">
        <f t="shared" si="6"/>
        <v>0</v>
      </c>
      <c r="V83" s="161"/>
      <c r="W83" s="161"/>
      <c r="X83" s="161"/>
      <c r="Y83" s="161"/>
    </row>
    <row r="84" spans="1:25" ht="23.25" hidden="1" customHeight="1" x14ac:dyDescent="0.25">
      <c r="A84" s="150" t="e">
        <f>#REF!</f>
        <v>#REF!</v>
      </c>
      <c r="B84" s="151" t="s">
        <v>82</v>
      </c>
      <c r="C84" s="151" t="e">
        <f>#REF!</f>
        <v>#REF!</v>
      </c>
      <c r="D84" s="151" t="s">
        <v>90</v>
      </c>
      <c r="E84" s="135" t="s">
        <v>90</v>
      </c>
      <c r="F84" s="136" t="str">
        <f t="shared" si="3"/>
        <v>WOVEN</v>
      </c>
      <c r="G84" s="136"/>
      <c r="H84" s="136"/>
      <c r="I84" s="136"/>
      <c r="J84" s="167">
        <f>M84*12</f>
        <v>0</v>
      </c>
      <c r="K84" s="168"/>
      <c r="L84" s="169"/>
      <c r="M84" s="171"/>
      <c r="N84" s="171"/>
      <c r="O84" s="171"/>
      <c r="P84" s="131">
        <f t="shared" si="9"/>
        <v>10171.199999999999</v>
      </c>
      <c r="Q84" s="131"/>
      <c r="R84" s="131"/>
      <c r="S84" s="131"/>
      <c r="T84" s="131"/>
      <c r="U84" s="161">
        <f t="shared" si="6"/>
        <v>0</v>
      </c>
      <c r="V84" s="161"/>
      <c r="W84" s="161"/>
      <c r="X84" s="161"/>
      <c r="Y84" s="161"/>
    </row>
    <row r="85" spans="1:25" ht="23.25" hidden="1" customHeight="1" x14ac:dyDescent="0.25">
      <c r="A85" s="150" t="e">
        <f>#REF!</f>
        <v>#REF!</v>
      </c>
      <c r="B85" s="151" t="s">
        <v>82</v>
      </c>
      <c r="C85" s="151" t="e">
        <f>#REF!</f>
        <v>#REF!</v>
      </c>
      <c r="D85" s="151" t="s">
        <v>90</v>
      </c>
      <c r="E85" s="135" t="s">
        <v>90</v>
      </c>
      <c r="F85" s="136" t="str">
        <f t="shared" si="3"/>
        <v xml:space="preserve">KNITTED </v>
      </c>
      <c r="G85" s="136"/>
      <c r="H85" s="136"/>
      <c r="I85" s="136"/>
      <c r="J85" s="139">
        <f>M85*12</f>
        <v>0</v>
      </c>
      <c r="K85" s="139"/>
      <c r="L85" s="139"/>
      <c r="M85" s="171"/>
      <c r="N85" s="171"/>
      <c r="O85" s="171"/>
      <c r="P85" s="131">
        <f t="shared" si="9"/>
        <v>707.2</v>
      </c>
      <c r="Q85" s="131"/>
      <c r="R85" s="131"/>
      <c r="S85" s="131"/>
      <c r="T85" s="131"/>
      <c r="U85" s="161">
        <f t="shared" si="6"/>
        <v>0</v>
      </c>
      <c r="V85" s="161"/>
      <c r="W85" s="161"/>
      <c r="X85" s="161"/>
      <c r="Y85" s="161"/>
    </row>
    <row r="86" spans="1:25" ht="9.9499999999999993" customHeigh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34"/>
      <c r="K86" s="34"/>
      <c r="L86" s="34"/>
      <c r="M86" s="35"/>
      <c r="N86" s="35"/>
      <c r="O86" s="35"/>
      <c r="P86" s="32"/>
      <c r="Q86" s="32"/>
      <c r="R86" s="32"/>
      <c r="S86" s="32"/>
      <c r="T86" s="32"/>
      <c r="U86" s="35"/>
      <c r="V86" s="35"/>
      <c r="W86" s="35"/>
      <c r="X86" s="35"/>
      <c r="Y86" s="35"/>
    </row>
    <row r="87" spans="1:25" ht="23.25" x14ac:dyDescent="0.65">
      <c r="A87" s="3" t="s">
        <v>106</v>
      </c>
      <c r="B87" s="25"/>
      <c r="C87" s="25"/>
      <c r="D87" s="25"/>
      <c r="E87" s="25"/>
      <c r="F87" s="2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20.100000000000001" customHeight="1" x14ac:dyDescent="0.65">
      <c r="A88" s="36"/>
      <c r="B88" s="4" t="s">
        <v>107</v>
      </c>
      <c r="C88" s="25"/>
      <c r="D88" s="25"/>
      <c r="E88" s="25"/>
      <c r="F88" s="2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20.100000000000001" customHeight="1" x14ac:dyDescent="0.65">
      <c r="A89" s="4" t="s">
        <v>108</v>
      </c>
      <c r="B89" s="25"/>
      <c r="C89" s="25"/>
      <c r="D89" s="25"/>
      <c r="E89" s="25"/>
      <c r="F89" s="2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23.25" x14ac:dyDescent="0.65">
      <c r="A90" s="36"/>
      <c r="B90" s="3" t="s">
        <v>109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23.25" x14ac:dyDescent="0.65">
      <c r="A91" s="4" t="s">
        <v>122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23.25" x14ac:dyDescent="0.65">
      <c r="A92" s="3"/>
      <c r="B92" s="3" t="s">
        <v>110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1.95" customHeight="1" x14ac:dyDescent="0.65">
      <c r="A93" s="37" t="s">
        <v>111</v>
      </c>
      <c r="B93" s="38"/>
      <c r="C93" s="38"/>
      <c r="D93" s="38"/>
      <c r="E93" s="38"/>
      <c r="F93" s="38"/>
      <c r="G93" s="37"/>
      <c r="H93" s="3"/>
      <c r="I93" s="3"/>
      <c r="J93" s="3"/>
      <c r="K93" s="3"/>
      <c r="L93" s="3"/>
      <c r="M93" s="3"/>
      <c r="N93" s="3"/>
      <c r="O93" s="3"/>
      <c r="P93" s="176" t="s">
        <v>112</v>
      </c>
      <c r="Q93" s="176"/>
      <c r="R93" s="176"/>
      <c r="S93" s="176"/>
      <c r="T93" s="176"/>
      <c r="U93" s="176"/>
      <c r="V93" s="176"/>
      <c r="W93" s="176"/>
      <c r="X93" s="176"/>
      <c r="Y93" s="176"/>
    </row>
    <row r="94" spans="1:25" ht="21.95" customHeight="1" x14ac:dyDescent="0.65">
      <c r="A94" s="176" t="s">
        <v>113</v>
      </c>
      <c r="B94" s="176"/>
      <c r="C94" s="176"/>
      <c r="D94" s="176"/>
      <c r="E94" s="176"/>
      <c r="F94" s="176"/>
      <c r="G94" s="176"/>
      <c r="H94" s="3"/>
      <c r="I94" s="3"/>
      <c r="J94" s="3"/>
      <c r="K94" s="3"/>
      <c r="L94" s="3"/>
      <c r="M94" s="3"/>
      <c r="N94" s="3"/>
      <c r="O94" s="3"/>
      <c r="P94" s="176" t="s">
        <v>114</v>
      </c>
      <c r="Q94" s="176"/>
      <c r="R94" s="176"/>
      <c r="S94" s="176"/>
      <c r="T94" s="176"/>
      <c r="U94" s="176"/>
      <c r="V94" s="176"/>
      <c r="W94" s="176"/>
      <c r="X94" s="176"/>
      <c r="Y94" s="176"/>
    </row>
    <row r="95" spans="1:25" ht="21.95" customHeight="1" x14ac:dyDescent="0.65">
      <c r="A95" s="176" t="s">
        <v>115</v>
      </c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</row>
    <row r="96" spans="1:25" ht="21.95" customHeight="1" x14ac:dyDescent="0.25">
      <c r="A96" s="177" t="s">
        <v>116</v>
      </c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</row>
    <row r="97" spans="1:25" ht="21" x14ac:dyDescent="0.6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</row>
    <row r="98" spans="1:25" ht="21" x14ac:dyDescent="0.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5" ht="21" x14ac:dyDescent="0.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5" ht="23.25" x14ac:dyDescent="0.65">
      <c r="A100" s="219" t="s">
        <v>148</v>
      </c>
      <c r="B100" s="219"/>
      <c r="C100" s="219"/>
      <c r="D100" s="219"/>
      <c r="E100" s="219"/>
      <c r="F100" s="21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25.5" x14ac:dyDescent="0.7">
      <c r="A101" s="40"/>
      <c r="B101" s="40"/>
      <c r="C101" s="40"/>
      <c r="D101" s="40"/>
      <c r="E101" s="40"/>
      <c r="F101" s="4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25.5" x14ac:dyDescent="0.7">
      <c r="A102" s="40"/>
      <c r="B102" s="40"/>
      <c r="C102" s="40"/>
      <c r="D102" s="40"/>
      <c r="E102" s="40"/>
      <c r="F102" s="40"/>
      <c r="G102" s="3"/>
      <c r="H102" s="3"/>
      <c r="I102" s="3"/>
      <c r="J102" s="3"/>
      <c r="K102" s="220" t="s">
        <v>131</v>
      </c>
      <c r="L102" s="220"/>
      <c r="M102" s="220"/>
      <c r="N102" s="220"/>
      <c r="O102" s="220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9.25" x14ac:dyDescent="0.8">
      <c r="A103" s="41"/>
      <c r="B103" s="41"/>
      <c r="C103" s="41"/>
      <c r="D103" s="41"/>
      <c r="E103" s="41"/>
      <c r="F103" s="41"/>
      <c r="G103" s="41"/>
      <c r="H103" s="41"/>
      <c r="I103" s="41"/>
      <c r="J103" s="175"/>
      <c r="K103" s="175"/>
      <c r="L103" s="175"/>
      <c r="M103" s="175"/>
      <c r="N103" s="175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</sheetData>
  <mergeCells count="318">
    <mergeCell ref="A100:F100"/>
    <mergeCell ref="K102:O102"/>
    <mergeCell ref="J103:N103"/>
    <mergeCell ref="U59:Y59"/>
    <mergeCell ref="Z49:Z54"/>
    <mergeCell ref="U85:Y85"/>
    <mergeCell ref="P93:Y93"/>
    <mergeCell ref="A94:G94"/>
    <mergeCell ref="P94:Y94"/>
    <mergeCell ref="A95:Y95"/>
    <mergeCell ref="A96:Y96"/>
    <mergeCell ref="A85:B85"/>
    <mergeCell ref="C85:E85"/>
    <mergeCell ref="F85:I85"/>
    <mergeCell ref="J85:L85"/>
    <mergeCell ref="M85:O85"/>
    <mergeCell ref="P85:T85"/>
    <mergeCell ref="A97:Y97"/>
    <mergeCell ref="A84:B84"/>
    <mergeCell ref="C84:E84"/>
    <mergeCell ref="F84:I84"/>
    <mergeCell ref="J84:L84"/>
    <mergeCell ref="M84:O84"/>
    <mergeCell ref="P84:T84"/>
    <mergeCell ref="U84:Y84"/>
    <mergeCell ref="A83:B83"/>
    <mergeCell ref="C83:E83"/>
    <mergeCell ref="P82:T82"/>
    <mergeCell ref="U82:Y82"/>
    <mergeCell ref="A81:B81"/>
    <mergeCell ref="C81:E81"/>
    <mergeCell ref="F81:I81"/>
    <mergeCell ref="J81:L81"/>
    <mergeCell ref="M81:O81"/>
    <mergeCell ref="P81:T81"/>
    <mergeCell ref="F83:I83"/>
    <mergeCell ref="J83:L83"/>
    <mergeCell ref="M83:O83"/>
    <mergeCell ref="P83:T83"/>
    <mergeCell ref="U81:Y81"/>
    <mergeCell ref="A82:B82"/>
    <mergeCell ref="C82:E82"/>
    <mergeCell ref="F82:I82"/>
    <mergeCell ref="J82:L82"/>
    <mergeCell ref="M82:O82"/>
    <mergeCell ref="U83:Y83"/>
    <mergeCell ref="A80:B80"/>
    <mergeCell ref="C80:E80"/>
    <mergeCell ref="F80:I80"/>
    <mergeCell ref="J80:L80"/>
    <mergeCell ref="M80:O80"/>
    <mergeCell ref="P80:T80"/>
    <mergeCell ref="U80:Y80"/>
    <mergeCell ref="A79:B79"/>
    <mergeCell ref="C79:E79"/>
    <mergeCell ref="P78:T78"/>
    <mergeCell ref="U78:Y78"/>
    <mergeCell ref="A77:B77"/>
    <mergeCell ref="C77:E77"/>
    <mergeCell ref="F77:I77"/>
    <mergeCell ref="J77:L77"/>
    <mergeCell ref="M77:O77"/>
    <mergeCell ref="P77:T77"/>
    <mergeCell ref="F79:I79"/>
    <mergeCell ref="J79:L79"/>
    <mergeCell ref="M79:O79"/>
    <mergeCell ref="P79:T79"/>
    <mergeCell ref="U77:Y77"/>
    <mergeCell ref="A78:B78"/>
    <mergeCell ref="C78:E78"/>
    <mergeCell ref="F78:I78"/>
    <mergeCell ref="J78:L78"/>
    <mergeCell ref="M78:O78"/>
    <mergeCell ref="U79:Y79"/>
    <mergeCell ref="A76:B76"/>
    <mergeCell ref="C76:E76"/>
    <mergeCell ref="F76:I76"/>
    <mergeCell ref="J76:L76"/>
    <mergeCell ref="M76:O76"/>
    <mergeCell ref="P76:T76"/>
    <mergeCell ref="U76:Y76"/>
    <mergeCell ref="A75:B75"/>
    <mergeCell ref="C75:E75"/>
    <mergeCell ref="P74:T74"/>
    <mergeCell ref="U74:Y74"/>
    <mergeCell ref="A73:B73"/>
    <mergeCell ref="C73:E73"/>
    <mergeCell ref="F73:I73"/>
    <mergeCell ref="J73:L73"/>
    <mergeCell ref="M73:O73"/>
    <mergeCell ref="P73:T73"/>
    <mergeCell ref="F75:I75"/>
    <mergeCell ref="J75:L75"/>
    <mergeCell ref="M75:O75"/>
    <mergeCell ref="P75:T75"/>
    <mergeCell ref="U73:Y73"/>
    <mergeCell ref="A74:B74"/>
    <mergeCell ref="C74:E74"/>
    <mergeCell ref="F74:I74"/>
    <mergeCell ref="J74:L74"/>
    <mergeCell ref="M74:O74"/>
    <mergeCell ref="U75:Y75"/>
    <mergeCell ref="A72:B72"/>
    <mergeCell ref="C72:E72"/>
    <mergeCell ref="F72:I72"/>
    <mergeCell ref="J72:L72"/>
    <mergeCell ref="M72:O72"/>
    <mergeCell ref="P72:T72"/>
    <mergeCell ref="U72:Y72"/>
    <mergeCell ref="A71:B71"/>
    <mergeCell ref="C71:E71"/>
    <mergeCell ref="P70:T70"/>
    <mergeCell ref="U70:Y70"/>
    <mergeCell ref="A69:B69"/>
    <mergeCell ref="C69:E69"/>
    <mergeCell ref="F69:I69"/>
    <mergeCell ref="J69:L69"/>
    <mergeCell ref="M69:O69"/>
    <mergeCell ref="P69:T69"/>
    <mergeCell ref="F71:I71"/>
    <mergeCell ref="J71:L71"/>
    <mergeCell ref="M71:O71"/>
    <mergeCell ref="P71:T71"/>
    <mergeCell ref="U69:Y69"/>
    <mergeCell ref="A70:B70"/>
    <mergeCell ref="C70:E70"/>
    <mergeCell ref="F70:I70"/>
    <mergeCell ref="J70:L70"/>
    <mergeCell ref="M70:O70"/>
    <mergeCell ref="U71:Y71"/>
    <mergeCell ref="A68:B68"/>
    <mergeCell ref="C68:E68"/>
    <mergeCell ref="F68:I68"/>
    <mergeCell ref="J68:L68"/>
    <mergeCell ref="M68:O68"/>
    <mergeCell ref="P68:T68"/>
    <mergeCell ref="U68:Y68"/>
    <mergeCell ref="A67:B67"/>
    <mergeCell ref="C67:E67"/>
    <mergeCell ref="F67:I67"/>
    <mergeCell ref="J67:L67"/>
    <mergeCell ref="M67:O67"/>
    <mergeCell ref="P67:T67"/>
    <mergeCell ref="U65:Y65"/>
    <mergeCell ref="A66:B66"/>
    <mergeCell ref="C66:E66"/>
    <mergeCell ref="F66:I66"/>
    <mergeCell ref="J66:L66"/>
    <mergeCell ref="M66:O66"/>
    <mergeCell ref="U67:Y67"/>
    <mergeCell ref="A63:E64"/>
    <mergeCell ref="F63:I64"/>
    <mergeCell ref="J63:L63"/>
    <mergeCell ref="M63:O63"/>
    <mergeCell ref="P63:T64"/>
    <mergeCell ref="U63:Y64"/>
    <mergeCell ref="J64:L64"/>
    <mergeCell ref="M64:O64"/>
    <mergeCell ref="P66:T66"/>
    <mergeCell ref="U66:Y66"/>
    <mergeCell ref="A65:B65"/>
    <mergeCell ref="C65:E65"/>
    <mergeCell ref="F65:I65"/>
    <mergeCell ref="J65:L65"/>
    <mergeCell ref="M65:O65"/>
    <mergeCell ref="P65:T65"/>
    <mergeCell ref="A61:E62"/>
    <mergeCell ref="F61:I62"/>
    <mergeCell ref="J61:O61"/>
    <mergeCell ref="P61:T62"/>
    <mergeCell ref="U61:Y62"/>
    <mergeCell ref="J62:O62"/>
    <mergeCell ref="A58:B58"/>
    <mergeCell ref="C58:E58"/>
    <mergeCell ref="F58:I58"/>
    <mergeCell ref="U57:Y57"/>
    <mergeCell ref="A56:B56"/>
    <mergeCell ref="C56:E56"/>
    <mergeCell ref="F56:I56"/>
    <mergeCell ref="J56:L56"/>
    <mergeCell ref="M56:O56"/>
    <mergeCell ref="P56:T56"/>
    <mergeCell ref="J58:L58"/>
    <mergeCell ref="M58:O58"/>
    <mergeCell ref="P58:T58"/>
    <mergeCell ref="U56:Y56"/>
    <mergeCell ref="A57:B57"/>
    <mergeCell ref="C57:E57"/>
    <mergeCell ref="F57:I57"/>
    <mergeCell ref="J57:L57"/>
    <mergeCell ref="M57:O57"/>
    <mergeCell ref="P57:T57"/>
    <mergeCell ref="U58:Y58"/>
    <mergeCell ref="U54:Y54"/>
    <mergeCell ref="A55:B55"/>
    <mergeCell ref="C55:E55"/>
    <mergeCell ref="F55:I55"/>
    <mergeCell ref="J55:L55"/>
    <mergeCell ref="M55:O55"/>
    <mergeCell ref="P55:T55"/>
    <mergeCell ref="U55:Y55"/>
    <mergeCell ref="A54:B54"/>
    <mergeCell ref="C54:E54"/>
    <mergeCell ref="F54:I54"/>
    <mergeCell ref="J54:L54"/>
    <mergeCell ref="M54:O54"/>
    <mergeCell ref="P54:T54"/>
    <mergeCell ref="A53:B53"/>
    <mergeCell ref="C53:E53"/>
    <mergeCell ref="F53:I53"/>
    <mergeCell ref="J53:L53"/>
    <mergeCell ref="M53:O53"/>
    <mergeCell ref="P53:T53"/>
    <mergeCell ref="U53:Y53"/>
    <mergeCell ref="A51:B51"/>
    <mergeCell ref="C51:E51"/>
    <mergeCell ref="F51:I51"/>
    <mergeCell ref="J51:L51"/>
    <mergeCell ref="M51:O51"/>
    <mergeCell ref="P51:T51"/>
    <mergeCell ref="U52:Y52"/>
    <mergeCell ref="A52:B52"/>
    <mergeCell ref="C52:E52"/>
    <mergeCell ref="F52:I52"/>
    <mergeCell ref="J52:L52"/>
    <mergeCell ref="M52:O52"/>
    <mergeCell ref="P52:T52"/>
    <mergeCell ref="U51:Y51"/>
    <mergeCell ref="U48:Y48"/>
    <mergeCell ref="U49:Y49"/>
    <mergeCell ref="U50:Y50"/>
    <mergeCell ref="A50:B50"/>
    <mergeCell ref="C50:E50"/>
    <mergeCell ref="F50:I50"/>
    <mergeCell ref="J50:L50"/>
    <mergeCell ref="M50:O50"/>
    <mergeCell ref="P50:T50"/>
    <mergeCell ref="A48:B48"/>
    <mergeCell ref="C48:E48"/>
    <mergeCell ref="F48:I48"/>
    <mergeCell ref="J48:L48"/>
    <mergeCell ref="M48:O48"/>
    <mergeCell ref="P48:T48"/>
    <mergeCell ref="A49:B49"/>
    <mergeCell ref="C49:E49"/>
    <mergeCell ref="F49:I49"/>
    <mergeCell ref="J49:L49"/>
    <mergeCell ref="M49:O49"/>
    <mergeCell ref="P49:T49"/>
    <mergeCell ref="A44:E45"/>
    <mergeCell ref="F44:I45"/>
    <mergeCell ref="J44:O44"/>
    <mergeCell ref="P44:T45"/>
    <mergeCell ref="U44:Y45"/>
    <mergeCell ref="J45:O45"/>
    <mergeCell ref="A46:E47"/>
    <mergeCell ref="F46:I47"/>
    <mergeCell ref="J46:L46"/>
    <mergeCell ref="M46:O46"/>
    <mergeCell ref="P46:T47"/>
    <mergeCell ref="U46:Y47"/>
    <mergeCell ref="J47:L47"/>
    <mergeCell ref="M47:O47"/>
    <mergeCell ref="N40:O40"/>
    <mergeCell ref="V40:W40"/>
    <mergeCell ref="N41:O41"/>
    <mergeCell ref="S41:U41"/>
    <mergeCell ref="V41:W41"/>
    <mergeCell ref="N38:O38"/>
    <mergeCell ref="V38:W38"/>
    <mergeCell ref="N39:O39"/>
    <mergeCell ref="V39:W39"/>
    <mergeCell ref="G23:I23"/>
    <mergeCell ref="G24:I24"/>
    <mergeCell ref="G25:I25"/>
    <mergeCell ref="G26:I26"/>
    <mergeCell ref="U28:Y28"/>
    <mergeCell ref="N29:R29"/>
    <mergeCell ref="N36:O36"/>
    <mergeCell ref="V36:W36"/>
    <mergeCell ref="N37:O37"/>
    <mergeCell ref="V37:W37"/>
    <mergeCell ref="A1:Y1"/>
    <mergeCell ref="A2:Y2"/>
    <mergeCell ref="A6:Y6"/>
    <mergeCell ref="A7:Y7"/>
    <mergeCell ref="A3:H3"/>
    <mergeCell ref="A4:H4"/>
    <mergeCell ref="A5:H5"/>
    <mergeCell ref="I17:J17"/>
    <mergeCell ref="L17:M17"/>
    <mergeCell ref="O17:P17"/>
    <mergeCell ref="R17:S17"/>
    <mergeCell ref="V17:W17"/>
    <mergeCell ref="L19:M19"/>
    <mergeCell ref="O19:P19"/>
    <mergeCell ref="R19:S19"/>
    <mergeCell ref="V19:W19"/>
    <mergeCell ref="I20:J20"/>
    <mergeCell ref="O20:P20"/>
    <mergeCell ref="V20:W20"/>
    <mergeCell ref="G27:I27"/>
    <mergeCell ref="A8:Y8"/>
    <mergeCell ref="P13:S13"/>
    <mergeCell ref="P14:S14"/>
    <mergeCell ref="I16:J16"/>
    <mergeCell ref="L16:M16"/>
    <mergeCell ref="O16:P16"/>
    <mergeCell ref="R16:S16"/>
    <mergeCell ref="V16:W16"/>
    <mergeCell ref="I19:J19"/>
    <mergeCell ref="I18:J18"/>
    <mergeCell ref="L18:M18"/>
    <mergeCell ref="O18:P18"/>
    <mergeCell ref="R18:S18"/>
    <mergeCell ref="V18:W18"/>
    <mergeCell ref="I21:J21"/>
    <mergeCell ref="G22:I22"/>
  </mergeCells>
  <conditionalFormatting sqref="AB15:AE19">
    <cfRule type="uniqueValues" dxfId="9" priority="1"/>
  </conditionalFormatting>
  <conditionalFormatting sqref="AF48:AH58">
    <cfRule type="duplicateValues" dxfId="8" priority="2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1" max="2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view="pageBreakPreview" topLeftCell="A61" zoomScaleNormal="100" zoomScaleSheetLayoutView="100" workbookViewId="0">
      <selection activeCell="I100" sqref="I100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4" style="2" customWidth="1"/>
    <col min="27" max="27" width="16.28515625" style="2" customWidth="1"/>
    <col min="28" max="28" width="14.5703125" style="2" customWidth="1"/>
    <col min="29" max="30" width="13.85546875" style="2" customWidth="1"/>
    <col min="31" max="31" width="15" style="2" customWidth="1"/>
    <col min="32" max="34" width="9.140625" style="2"/>
    <col min="35" max="35" width="10.5703125" style="2" bestFit="1" customWidth="1"/>
    <col min="36" max="16384" width="9.140625" style="2"/>
  </cols>
  <sheetData>
    <row r="1" spans="1:31" ht="25.5" x14ac:dyDescent="0.7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 spans="1:31" ht="25.5" x14ac:dyDescent="0.7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31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31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31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31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31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31" ht="23.25" customHeight="1" x14ac:dyDescent="0.25">
      <c r="A8" s="105" t="s">
        <v>142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31" ht="21.95" customHeight="1" x14ac:dyDescent="0.25">
      <c r="A9" s="5" t="s">
        <v>141</v>
      </c>
      <c r="B9" s="7"/>
      <c r="C9" s="7"/>
      <c r="D9" s="7"/>
      <c r="E9" s="7"/>
      <c r="F9" s="79" t="s">
        <v>117</v>
      </c>
      <c r="G9" s="79"/>
      <c r="H9" s="79"/>
      <c r="I9" s="79"/>
      <c r="J9" s="79"/>
      <c r="K9" s="79"/>
      <c r="L9" s="7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1" ht="21.95" customHeight="1" x14ac:dyDescent="0.25">
      <c r="A10" s="7"/>
      <c r="B10" s="7" t="s">
        <v>9</v>
      </c>
      <c r="C10" s="7"/>
      <c r="D10" s="7"/>
      <c r="E10" s="7"/>
      <c r="F10" s="79" t="s">
        <v>118</v>
      </c>
      <c r="G10" s="79"/>
      <c r="H10" s="79"/>
      <c r="I10" s="79"/>
      <c r="J10" s="79"/>
      <c r="K10" s="79"/>
      <c r="L10" s="7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31" ht="21.95" customHeight="1" x14ac:dyDescent="0.25">
      <c r="A11" s="7"/>
      <c r="B11" s="7"/>
      <c r="C11" s="7"/>
      <c r="D11" s="7"/>
      <c r="E11" s="7"/>
      <c r="F11" s="84" t="s">
        <v>119</v>
      </c>
      <c r="G11" s="79"/>
      <c r="H11" s="79"/>
      <c r="I11" s="79"/>
      <c r="J11" s="79"/>
      <c r="K11" s="79"/>
      <c r="L11" s="7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31" ht="21.95" customHeight="1" x14ac:dyDescent="0.25">
      <c r="A12" s="7" t="s">
        <v>10</v>
      </c>
      <c r="B12" s="7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31" ht="21.95" customHeight="1" x14ac:dyDescent="0.25">
      <c r="A13" s="7" t="s">
        <v>140</v>
      </c>
      <c r="B13" s="7"/>
      <c r="C13" s="7"/>
      <c r="D13" s="7"/>
      <c r="E13" s="7"/>
      <c r="F13" s="7"/>
      <c r="G13" s="7"/>
      <c r="H13" s="79" t="s">
        <v>121</v>
      </c>
      <c r="I13" s="79"/>
      <c r="J13" s="79"/>
      <c r="K13" s="79"/>
      <c r="L13" s="79"/>
      <c r="M13" s="79"/>
      <c r="N13" s="79"/>
      <c r="O13" s="79" t="s">
        <v>12</v>
      </c>
      <c r="P13" s="197">
        <v>46014</v>
      </c>
      <c r="Q13" s="197"/>
      <c r="R13" s="197"/>
      <c r="S13" s="197"/>
      <c r="T13" s="7"/>
      <c r="U13" s="7"/>
      <c r="V13" s="7"/>
      <c r="W13" s="7"/>
      <c r="X13" s="7"/>
      <c r="Y13" s="7"/>
    </row>
    <row r="14" spans="1:31" ht="21.95" customHeight="1" x14ac:dyDescent="0.65">
      <c r="A14" s="7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</row>
    <row r="15" spans="1:31" ht="21.95" customHeight="1" x14ac:dyDescent="0.65">
      <c r="A15" s="7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AB15" s="64"/>
      <c r="AE15" s="63"/>
    </row>
    <row r="16" spans="1:31" ht="21" customHeight="1" x14ac:dyDescent="0.25">
      <c r="A16" s="7"/>
      <c r="B16" s="7" t="s">
        <v>15</v>
      </c>
      <c r="C16" s="7"/>
      <c r="D16" s="7"/>
      <c r="E16" s="7"/>
      <c r="F16" s="7" t="s">
        <v>14</v>
      </c>
      <c r="G16" s="5"/>
      <c r="H16" s="7" t="s">
        <v>16</v>
      </c>
      <c r="I16" s="105">
        <v>1</v>
      </c>
      <c r="J16" s="105"/>
      <c r="K16" s="7" t="s">
        <v>17</v>
      </c>
      <c r="L16" s="105"/>
      <c r="M16" s="105"/>
      <c r="N16" s="7" t="s">
        <v>18</v>
      </c>
      <c r="O16" s="105">
        <v>4</v>
      </c>
      <c r="P16" s="105"/>
      <c r="Q16" s="7" t="s">
        <v>17</v>
      </c>
      <c r="R16" s="105"/>
      <c r="S16" s="105"/>
      <c r="T16" s="7" t="s">
        <v>19</v>
      </c>
      <c r="U16" s="7"/>
      <c r="V16" s="109">
        <f>O16+I16</f>
        <v>5</v>
      </c>
      <c r="W16" s="109"/>
      <c r="X16" s="7" t="s">
        <v>17</v>
      </c>
      <c r="Y16" s="7"/>
      <c r="AB16" s="64"/>
      <c r="AE16" s="63"/>
    </row>
    <row r="17" spans="1:31" ht="21" customHeight="1" x14ac:dyDescent="0.25">
      <c r="A17" s="7"/>
      <c r="B17" s="7" t="s">
        <v>20</v>
      </c>
      <c r="C17" s="7"/>
      <c r="D17" s="7"/>
      <c r="E17" s="7"/>
      <c r="F17" s="7" t="s">
        <v>14</v>
      </c>
      <c r="G17" s="7"/>
      <c r="H17" s="7" t="s">
        <v>16</v>
      </c>
      <c r="I17" s="105">
        <v>2</v>
      </c>
      <c r="J17" s="105"/>
      <c r="K17" s="7" t="s">
        <v>17</v>
      </c>
      <c r="L17" s="105"/>
      <c r="M17" s="105"/>
      <c r="N17" s="7" t="s">
        <v>18</v>
      </c>
      <c r="O17" s="105">
        <v>1</v>
      </c>
      <c r="P17" s="105"/>
      <c r="Q17" s="7" t="s">
        <v>17</v>
      </c>
      <c r="R17" s="105"/>
      <c r="S17" s="105"/>
      <c r="T17" s="7" t="s">
        <v>19</v>
      </c>
      <c r="U17" s="7"/>
      <c r="V17" s="109">
        <f>O17+I17</f>
        <v>3</v>
      </c>
      <c r="W17" s="109"/>
      <c r="X17" s="7" t="s">
        <v>17</v>
      </c>
      <c r="Y17" s="7"/>
      <c r="AB17" s="64"/>
      <c r="AE17" s="63"/>
    </row>
    <row r="18" spans="1:31" ht="21" customHeight="1" x14ac:dyDescent="0.25">
      <c r="A18" s="7"/>
      <c r="B18" s="7" t="s">
        <v>21</v>
      </c>
      <c r="C18" s="7"/>
      <c r="D18" s="7"/>
      <c r="E18" s="7"/>
      <c r="F18" s="7" t="s">
        <v>14</v>
      </c>
      <c r="G18" s="7"/>
      <c r="H18" s="7" t="s">
        <v>16</v>
      </c>
      <c r="I18" s="105">
        <v>49</v>
      </c>
      <c r="J18" s="105"/>
      <c r="K18" s="7" t="s">
        <v>17</v>
      </c>
      <c r="L18" s="105"/>
      <c r="M18" s="105"/>
      <c r="N18" s="7" t="s">
        <v>18</v>
      </c>
      <c r="O18" s="105">
        <v>106</v>
      </c>
      <c r="P18" s="105"/>
      <c r="Q18" s="7" t="s">
        <v>17</v>
      </c>
      <c r="R18" s="105"/>
      <c r="S18" s="105"/>
      <c r="T18" s="7" t="s">
        <v>19</v>
      </c>
      <c r="U18" s="7"/>
      <c r="V18" s="109">
        <f>O18+I18</f>
        <v>155</v>
      </c>
      <c r="W18" s="109"/>
      <c r="X18" s="7" t="s">
        <v>17</v>
      </c>
      <c r="Y18" s="7"/>
      <c r="AB18" s="64"/>
      <c r="AE18" s="63"/>
    </row>
    <row r="19" spans="1:31" ht="21" customHeight="1" x14ac:dyDescent="0.25">
      <c r="A19" s="7"/>
      <c r="B19" s="19" t="s">
        <v>22</v>
      </c>
      <c r="C19" s="7"/>
      <c r="D19" s="7"/>
      <c r="E19" s="7"/>
      <c r="F19" s="7" t="s">
        <v>14</v>
      </c>
      <c r="G19" s="7"/>
      <c r="H19" s="7" t="s">
        <v>16</v>
      </c>
      <c r="I19" s="105">
        <v>12</v>
      </c>
      <c r="J19" s="105"/>
      <c r="K19" s="7" t="s">
        <v>17</v>
      </c>
      <c r="L19" s="105"/>
      <c r="M19" s="105"/>
      <c r="N19" s="7" t="s">
        <v>18</v>
      </c>
      <c r="O19" s="105">
        <v>19</v>
      </c>
      <c r="P19" s="105"/>
      <c r="Q19" s="7" t="s">
        <v>17</v>
      </c>
      <c r="R19" s="105"/>
      <c r="S19" s="105"/>
      <c r="T19" s="7" t="s">
        <v>19</v>
      </c>
      <c r="U19" s="7"/>
      <c r="V19" s="109">
        <f>O19+I19</f>
        <v>31</v>
      </c>
      <c r="W19" s="109"/>
      <c r="X19" s="7" t="s">
        <v>17</v>
      </c>
      <c r="Y19" s="7"/>
      <c r="Z19" s="12">
        <f>V16+V17+V18+V19</f>
        <v>194</v>
      </c>
      <c r="AB19" s="64"/>
      <c r="AE19" s="63"/>
    </row>
    <row r="20" spans="1:31" ht="21" customHeight="1" x14ac:dyDescent="0.25">
      <c r="A20" s="7"/>
      <c r="B20" s="19" t="s">
        <v>23</v>
      </c>
      <c r="C20" s="7"/>
      <c r="D20" s="7"/>
      <c r="E20" s="7"/>
      <c r="F20" s="7" t="s">
        <v>14</v>
      </c>
      <c r="G20" s="7"/>
      <c r="H20" s="7" t="s">
        <v>16</v>
      </c>
      <c r="I20" s="105">
        <f>I18+I19</f>
        <v>61</v>
      </c>
      <c r="J20" s="105"/>
      <c r="K20" s="7" t="s">
        <v>17</v>
      </c>
      <c r="L20" s="29"/>
      <c r="M20" s="29"/>
      <c r="N20" s="7" t="s">
        <v>18</v>
      </c>
      <c r="O20" s="105">
        <f>O18+O19</f>
        <v>125</v>
      </c>
      <c r="P20" s="105"/>
      <c r="Q20" s="7" t="s">
        <v>17</v>
      </c>
      <c r="R20" s="29"/>
      <c r="S20" s="29"/>
      <c r="T20" s="7" t="s">
        <v>19</v>
      </c>
      <c r="U20" s="7"/>
      <c r="V20" s="109">
        <f>V18+V19</f>
        <v>186</v>
      </c>
      <c r="W20" s="109"/>
      <c r="X20" s="7" t="s">
        <v>17</v>
      </c>
      <c r="Y20" s="7"/>
      <c r="AB20" s="63"/>
      <c r="AE20" s="63"/>
    </row>
    <row r="21" spans="1:31" ht="21.95" customHeight="1" x14ac:dyDescent="0.25">
      <c r="A21" s="7" t="s">
        <v>24</v>
      </c>
      <c r="B21" s="7"/>
      <c r="C21" s="7"/>
      <c r="D21" s="7"/>
      <c r="E21" s="7"/>
      <c r="F21" s="7" t="s">
        <v>14</v>
      </c>
      <c r="G21" s="7"/>
      <c r="H21" s="7"/>
      <c r="I21" s="237"/>
      <c r="J21" s="23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AB21" s="63"/>
      <c r="AE21" s="63"/>
    </row>
    <row r="22" spans="1:31" ht="21.95" customHeight="1" x14ac:dyDescent="0.25">
      <c r="A22" s="7"/>
      <c r="B22" s="7" t="s">
        <v>15</v>
      </c>
      <c r="C22" s="7"/>
      <c r="D22" s="7"/>
      <c r="E22" s="7"/>
      <c r="F22" s="7" t="s">
        <v>14</v>
      </c>
      <c r="G22" s="238">
        <v>7280</v>
      </c>
      <c r="H22" s="238"/>
      <c r="I22" s="238"/>
      <c r="J22" s="62"/>
      <c r="K22" s="7" t="s">
        <v>25</v>
      </c>
      <c r="L22" s="7"/>
      <c r="M22" s="62"/>
      <c r="N22" s="6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31" ht="21.95" customHeight="1" x14ac:dyDescent="0.25">
      <c r="A23" s="7"/>
      <c r="B23" s="7" t="s">
        <v>20</v>
      </c>
      <c r="C23" s="7"/>
      <c r="D23" s="7"/>
      <c r="E23" s="7"/>
      <c r="F23" s="7" t="s">
        <v>14</v>
      </c>
      <c r="G23" s="238">
        <v>3114</v>
      </c>
      <c r="H23" s="238"/>
      <c r="I23" s="238"/>
      <c r="J23" s="62"/>
      <c r="K23" s="7" t="s">
        <v>25</v>
      </c>
      <c r="L23" s="7"/>
      <c r="M23" s="62"/>
      <c r="N23" s="62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31" ht="21.95" customHeight="1" x14ac:dyDescent="0.25">
      <c r="A24" s="7"/>
      <c r="B24" s="7" t="s">
        <v>21</v>
      </c>
      <c r="C24" s="7"/>
      <c r="D24" s="7"/>
      <c r="E24" s="7"/>
      <c r="F24" s="7" t="s">
        <v>14</v>
      </c>
      <c r="G24" s="238">
        <v>45009</v>
      </c>
      <c r="H24" s="238"/>
      <c r="I24" s="238"/>
      <c r="J24" s="62"/>
      <c r="K24" s="7" t="s">
        <v>25</v>
      </c>
      <c r="L24" s="7"/>
      <c r="M24" s="62"/>
      <c r="N24" s="6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31" ht="21.95" customHeight="1" x14ac:dyDescent="0.25">
      <c r="A25" s="7"/>
      <c r="B25" s="7" t="s">
        <v>22</v>
      </c>
      <c r="C25" s="7"/>
      <c r="D25" s="7"/>
      <c r="E25" s="7"/>
      <c r="F25" s="7" t="s">
        <v>14</v>
      </c>
      <c r="G25" s="238">
        <v>10493.2</v>
      </c>
      <c r="H25" s="238"/>
      <c r="I25" s="238"/>
      <c r="J25" s="62"/>
      <c r="K25" s="7" t="s">
        <v>25</v>
      </c>
      <c r="L25" s="7"/>
      <c r="M25" s="62"/>
      <c r="N25" s="62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31" ht="21.6" customHeight="1" x14ac:dyDescent="0.25">
      <c r="A26" s="7"/>
      <c r="B26" s="19" t="s">
        <v>23</v>
      </c>
      <c r="C26" s="7"/>
      <c r="D26" s="7"/>
      <c r="E26" s="7"/>
      <c r="F26" s="7" t="s">
        <v>14</v>
      </c>
      <c r="G26" s="238">
        <f>G25+G24</f>
        <v>55502.2</v>
      </c>
      <c r="H26" s="238"/>
      <c r="I26" s="238"/>
      <c r="J26" s="62"/>
      <c r="K26" s="7" t="s">
        <v>25</v>
      </c>
      <c r="L26" s="7"/>
      <c r="M26" s="62"/>
      <c r="N26" s="62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31" ht="21.95" customHeight="1" x14ac:dyDescent="0.65">
      <c r="A27" s="7" t="s">
        <v>26</v>
      </c>
      <c r="B27" s="3"/>
      <c r="C27" s="3"/>
      <c r="D27" s="3"/>
      <c r="E27" s="3"/>
      <c r="F27" s="3" t="s">
        <v>14</v>
      </c>
      <c r="G27" s="236"/>
      <c r="H27" s="236"/>
      <c r="I27" s="236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31" ht="23.25" x14ac:dyDescent="0.65">
      <c r="A28" s="3"/>
      <c r="B28" s="7" t="s">
        <v>27</v>
      </c>
      <c r="C28" s="7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7"/>
      <c r="O28" s="7" t="s">
        <v>30</v>
      </c>
      <c r="P28" s="3"/>
      <c r="Q28" s="3"/>
      <c r="R28" s="3"/>
      <c r="S28" s="3"/>
      <c r="T28" s="3"/>
      <c r="U28" s="235">
        <v>208</v>
      </c>
      <c r="V28" s="235"/>
      <c r="W28" s="235"/>
      <c r="X28" s="235"/>
      <c r="Y28" s="235"/>
    </row>
    <row r="29" spans="1:31" ht="23.25" x14ac:dyDescent="0.65">
      <c r="A29" s="3"/>
      <c r="B29" s="7" t="s">
        <v>31</v>
      </c>
      <c r="C29" s="7"/>
      <c r="D29" s="3"/>
      <c r="E29" s="82" t="s">
        <v>32</v>
      </c>
      <c r="F29" s="82"/>
      <c r="G29" s="82"/>
      <c r="H29" s="82"/>
      <c r="I29" s="7" t="s">
        <v>33</v>
      </c>
      <c r="J29" s="3"/>
      <c r="K29" s="3"/>
      <c r="L29" s="3"/>
      <c r="M29" s="3"/>
      <c r="N29" s="112">
        <v>30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31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18"/>
    </row>
    <row r="31" spans="1:31" ht="23.25" x14ac:dyDescent="0.65">
      <c r="A31" s="7"/>
      <c r="B31" s="3" t="s">
        <v>35</v>
      </c>
      <c r="C31" s="7"/>
      <c r="D31" s="79" t="s">
        <v>36</v>
      </c>
      <c r="E31" s="79"/>
      <c r="F31" s="79"/>
      <c r="G31" s="79"/>
      <c r="H31" s="79"/>
      <c r="I31" s="79"/>
      <c r="J31" s="79"/>
      <c r="K31" s="7"/>
      <c r="L31" s="3" t="s">
        <v>37</v>
      </c>
      <c r="M31" s="7"/>
      <c r="N31" s="7"/>
      <c r="O31" s="7"/>
      <c r="P31" s="79" t="s">
        <v>38</v>
      </c>
      <c r="Q31" s="79"/>
      <c r="R31" s="79" t="s">
        <v>39</v>
      </c>
      <c r="S31" s="79"/>
      <c r="T31" s="79"/>
      <c r="U31" s="79"/>
      <c r="V31" s="7"/>
      <c r="W31" s="7"/>
      <c r="X31" s="7"/>
      <c r="Y31" s="7"/>
    </row>
    <row r="32" spans="1:31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37" ht="23.25" x14ac:dyDescent="0.25">
      <c r="A33" s="84"/>
      <c r="B33" s="80" t="s">
        <v>41</v>
      </c>
      <c r="C33" s="79"/>
      <c r="D33" s="79"/>
      <c r="E33" s="79"/>
      <c r="F33" s="79"/>
      <c r="G33" s="79"/>
      <c r="H33" s="7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37" ht="23.25" x14ac:dyDescent="0.65">
      <c r="A34" s="84"/>
      <c r="B34" s="80" t="s">
        <v>42</v>
      </c>
      <c r="C34" s="79"/>
      <c r="D34" s="79"/>
      <c r="E34" s="81" t="s">
        <v>43</v>
      </c>
      <c r="F34" s="79" t="s">
        <v>44</v>
      </c>
      <c r="G34" s="79" t="s">
        <v>45</v>
      </c>
      <c r="H34" s="79" t="s">
        <v>46</v>
      </c>
      <c r="I34" s="7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37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37" ht="23.25" x14ac:dyDescent="0.65">
      <c r="A36" s="3"/>
      <c r="B36" s="3" t="s">
        <v>49</v>
      </c>
      <c r="C36" s="3"/>
      <c r="D36" s="3"/>
      <c r="E36" s="3"/>
      <c r="F36" s="3"/>
      <c r="G36" s="3" t="s">
        <v>50</v>
      </c>
      <c r="H36" s="3"/>
      <c r="I36" s="3"/>
      <c r="J36" s="3"/>
      <c r="K36" s="3"/>
      <c r="L36" s="3"/>
      <c r="M36" s="3" t="s">
        <v>19</v>
      </c>
      <c r="N36" s="113">
        <v>2</v>
      </c>
      <c r="O36" s="113"/>
      <c r="P36" s="3" t="s">
        <v>51</v>
      </c>
      <c r="Q36" s="61"/>
      <c r="R36" s="3"/>
      <c r="S36" s="3" t="s">
        <v>52</v>
      </c>
      <c r="T36" s="3"/>
      <c r="U36" s="3"/>
      <c r="V36" s="113">
        <v>2</v>
      </c>
      <c r="W36" s="113"/>
      <c r="X36" s="3" t="s">
        <v>53</v>
      </c>
      <c r="Y36" s="3"/>
      <c r="Z36" s="59"/>
      <c r="AA36" s="59"/>
      <c r="AB36" s="59"/>
      <c r="AC36" s="59"/>
    </row>
    <row r="37" spans="1:37" ht="23.25" x14ac:dyDescent="0.65">
      <c r="A37" s="3"/>
      <c r="B37" s="3" t="s">
        <v>54</v>
      </c>
      <c r="C37" s="3"/>
      <c r="D37" s="3"/>
      <c r="E37" s="3"/>
      <c r="F37" s="3"/>
      <c r="G37" s="3" t="s">
        <v>55</v>
      </c>
      <c r="H37" s="3"/>
      <c r="I37" s="3"/>
      <c r="J37" s="3"/>
      <c r="K37" s="3"/>
      <c r="L37" s="3"/>
      <c r="M37" s="3" t="s">
        <v>19</v>
      </c>
      <c r="N37" s="113">
        <v>1</v>
      </c>
      <c r="O37" s="113"/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60"/>
      <c r="AA37" s="60"/>
      <c r="AB37" s="59"/>
      <c r="AC37" s="59"/>
    </row>
    <row r="38" spans="1:37" ht="23.25" x14ac:dyDescent="0.65">
      <c r="A38" s="3"/>
      <c r="B38" s="3" t="s">
        <v>58</v>
      </c>
      <c r="C38" s="3"/>
      <c r="D38" s="3"/>
      <c r="E38" s="3"/>
      <c r="F38" s="3"/>
      <c r="G38" s="3" t="s">
        <v>59</v>
      </c>
      <c r="H38" s="3"/>
      <c r="I38" s="3"/>
      <c r="J38" s="3"/>
      <c r="K38" s="3"/>
      <c r="L38" s="3"/>
      <c r="M38" s="3" t="s">
        <v>19</v>
      </c>
      <c r="N38" s="113">
        <v>135</v>
      </c>
      <c r="O38" s="113"/>
      <c r="P38" s="3" t="s">
        <v>53</v>
      </c>
      <c r="Q38" s="3"/>
      <c r="R38" s="3"/>
      <c r="S38" s="3" t="s">
        <v>52</v>
      </c>
      <c r="T38" s="3"/>
      <c r="U38" s="3"/>
      <c r="V38" s="113">
        <v>132</v>
      </c>
      <c r="W38" s="113"/>
      <c r="X38" s="3" t="s">
        <v>53</v>
      </c>
      <c r="Y38" s="3"/>
      <c r="Z38" s="60"/>
      <c r="AA38" s="59"/>
      <c r="AB38" s="59"/>
      <c r="AC38" s="59"/>
    </row>
    <row r="39" spans="1:37" ht="23.25" x14ac:dyDescent="0.65">
      <c r="A39" s="3"/>
      <c r="B39" s="3" t="s">
        <v>60</v>
      </c>
      <c r="C39" s="3"/>
      <c r="D39" s="3"/>
      <c r="E39" s="3"/>
      <c r="F39" s="3"/>
      <c r="G39" s="3" t="s">
        <v>61</v>
      </c>
      <c r="H39" s="3"/>
      <c r="I39" s="3"/>
      <c r="J39" s="3"/>
      <c r="K39" s="3"/>
      <c r="L39" s="3"/>
      <c r="M39" s="3" t="s">
        <v>19</v>
      </c>
      <c r="N39" s="113">
        <v>18</v>
      </c>
      <c r="O39" s="113"/>
      <c r="P39" s="3" t="s">
        <v>53</v>
      </c>
      <c r="Q39" s="3"/>
      <c r="R39" s="3"/>
      <c r="S39" s="3" t="s">
        <v>52</v>
      </c>
      <c r="T39" s="3"/>
      <c r="U39" s="3"/>
      <c r="V39" s="113">
        <v>16</v>
      </c>
      <c r="W39" s="113"/>
      <c r="X39" s="3" t="s">
        <v>53</v>
      </c>
      <c r="Y39" s="3"/>
      <c r="Z39" s="60"/>
      <c r="AA39" s="59"/>
      <c r="AB39" s="59"/>
      <c r="AC39" s="59"/>
    </row>
    <row r="40" spans="1:37" ht="23.25" x14ac:dyDescent="0.65">
      <c r="A40" s="3"/>
      <c r="B40" s="3" t="s">
        <v>64</v>
      </c>
      <c r="C40" s="3"/>
      <c r="D40" s="3"/>
      <c r="E40" s="3"/>
      <c r="F40" s="3"/>
      <c r="G40" s="3" t="s">
        <v>65</v>
      </c>
      <c r="H40" s="3"/>
      <c r="I40" s="3"/>
      <c r="J40" s="3"/>
      <c r="K40" s="3"/>
      <c r="L40" s="3"/>
      <c r="M40" s="3" t="s">
        <v>19</v>
      </c>
      <c r="N40" s="113">
        <v>27</v>
      </c>
      <c r="O40" s="113"/>
      <c r="P40" s="3" t="s">
        <v>53</v>
      </c>
      <c r="Q40" s="3"/>
      <c r="R40" s="3"/>
      <c r="S40" s="3" t="s">
        <v>52</v>
      </c>
      <c r="T40" s="3"/>
      <c r="U40" s="3"/>
      <c r="V40" s="113">
        <v>19</v>
      </c>
      <c r="W40" s="113"/>
      <c r="X40" s="3" t="s">
        <v>53</v>
      </c>
      <c r="Y40" s="3"/>
      <c r="Z40" s="60"/>
      <c r="AA40" s="59"/>
      <c r="AB40" s="59"/>
      <c r="AC40" s="59"/>
    </row>
    <row r="41" spans="1:37" ht="23.25" x14ac:dyDescent="0.6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 t="s">
        <v>66</v>
      </c>
      <c r="M41" s="23"/>
      <c r="N41" s="116">
        <f>SUM(N36:N40)</f>
        <v>183</v>
      </c>
      <c r="O41" s="116"/>
      <c r="P41" s="24" t="s">
        <v>53</v>
      </c>
      <c r="Q41" s="23"/>
      <c r="R41" s="23"/>
      <c r="S41" s="116" t="s">
        <v>52</v>
      </c>
      <c r="T41" s="116"/>
      <c r="U41" s="116"/>
      <c r="V41" s="116">
        <f>SUM(V36:W40)</f>
        <v>170</v>
      </c>
      <c r="W41" s="116"/>
      <c r="X41" s="24" t="s">
        <v>53</v>
      </c>
      <c r="Y41" s="23"/>
      <c r="Z41" s="60"/>
      <c r="AA41" s="60"/>
      <c r="AB41" s="59"/>
      <c r="AC41" s="59"/>
    </row>
    <row r="42" spans="1:37" ht="23.25" x14ac:dyDescent="0.65">
      <c r="A42" s="3" t="s">
        <v>67</v>
      </c>
      <c r="B42" s="25"/>
      <c r="C42" s="25"/>
      <c r="D42" s="25"/>
      <c r="E42" s="25"/>
      <c r="F42" s="2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AC42" s="59"/>
    </row>
    <row r="43" spans="1:37" ht="9.9499999999999993" customHeight="1" x14ac:dyDescent="0.6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37" ht="21" x14ac:dyDescent="0.6">
      <c r="A44" s="122" t="s">
        <v>68</v>
      </c>
      <c r="B44" s="123"/>
      <c r="C44" s="123"/>
      <c r="D44" s="123"/>
      <c r="E44" s="124"/>
      <c r="F44" s="122" t="s">
        <v>69</v>
      </c>
      <c r="G44" s="123"/>
      <c r="H44" s="123"/>
      <c r="I44" s="124"/>
      <c r="J44" s="119" t="s">
        <v>70</v>
      </c>
      <c r="K44" s="119"/>
      <c r="L44" s="119"/>
      <c r="M44" s="119"/>
      <c r="N44" s="119"/>
      <c r="O44" s="119"/>
      <c r="P44" s="128" t="s">
        <v>71</v>
      </c>
      <c r="Q44" s="128"/>
      <c r="R44" s="128"/>
      <c r="S44" s="128"/>
      <c r="T44" s="128"/>
      <c r="U44" s="128" t="s">
        <v>72</v>
      </c>
      <c r="V44" s="128"/>
      <c r="W44" s="128"/>
      <c r="X44" s="128"/>
      <c r="Y44" s="122"/>
      <c r="AD44" s="57"/>
      <c r="AE44" s="57"/>
      <c r="AF44" s="57"/>
      <c r="AG44" s="56"/>
    </row>
    <row r="45" spans="1:37" x14ac:dyDescent="0.25">
      <c r="A45" s="125"/>
      <c r="B45" s="126"/>
      <c r="C45" s="126"/>
      <c r="D45" s="126"/>
      <c r="E45" s="127"/>
      <c r="F45" s="125"/>
      <c r="G45" s="126"/>
      <c r="H45" s="126"/>
      <c r="I45" s="127"/>
      <c r="J45" s="232" t="s">
        <v>73</v>
      </c>
      <c r="K45" s="232"/>
      <c r="L45" s="232"/>
      <c r="M45" s="232"/>
      <c r="N45" s="232"/>
      <c r="O45" s="232"/>
      <c r="P45" s="129"/>
      <c r="Q45" s="129"/>
      <c r="R45" s="129"/>
      <c r="S45" s="129"/>
      <c r="T45" s="129"/>
      <c r="U45" s="129"/>
      <c r="V45" s="129"/>
      <c r="W45" s="129"/>
      <c r="X45" s="129"/>
      <c r="Y45" s="231"/>
      <c r="AD45" s="58" t="s">
        <v>90</v>
      </c>
      <c r="AE45" s="58" t="s">
        <v>129</v>
      </c>
      <c r="AF45" s="57"/>
      <c r="AG45" s="56"/>
    </row>
    <row r="46" spans="1:37" ht="21" x14ac:dyDescent="0.6">
      <c r="A46" s="199" t="s">
        <v>74</v>
      </c>
      <c r="B46" s="199"/>
      <c r="C46" s="199"/>
      <c r="D46" s="199"/>
      <c r="E46" s="199"/>
      <c r="F46" s="199" t="s">
        <v>75</v>
      </c>
      <c r="G46" s="199"/>
      <c r="H46" s="199"/>
      <c r="I46" s="199"/>
      <c r="J46" s="119" t="s">
        <v>76</v>
      </c>
      <c r="K46" s="119"/>
      <c r="L46" s="119"/>
      <c r="M46" s="119" t="s">
        <v>77</v>
      </c>
      <c r="N46" s="119"/>
      <c r="O46" s="119"/>
      <c r="P46" s="201" t="s">
        <v>78</v>
      </c>
      <c r="Q46" s="199"/>
      <c r="R46" s="199"/>
      <c r="S46" s="199"/>
      <c r="T46" s="199"/>
      <c r="U46" s="199" t="s">
        <v>79</v>
      </c>
      <c r="V46" s="199"/>
      <c r="W46" s="199"/>
      <c r="X46" s="199"/>
      <c r="Y46" s="233"/>
      <c r="Z46" s="223" t="s">
        <v>139</v>
      </c>
      <c r="AA46" s="223"/>
      <c r="AB46" s="51" t="s">
        <v>138</v>
      </c>
      <c r="AC46" s="51" t="s">
        <v>137</v>
      </c>
      <c r="AD46" s="55">
        <v>-3270</v>
      </c>
      <c r="AE46" s="55">
        <v>-570</v>
      </c>
      <c r="AF46" s="57"/>
      <c r="AG46" s="56"/>
    </row>
    <row r="47" spans="1:37" x14ac:dyDescent="0.25">
      <c r="A47" s="200"/>
      <c r="B47" s="200"/>
      <c r="C47" s="200"/>
      <c r="D47" s="200"/>
      <c r="E47" s="200"/>
      <c r="F47" s="200"/>
      <c r="G47" s="200"/>
      <c r="H47" s="200"/>
      <c r="I47" s="200"/>
      <c r="J47" s="202" t="s">
        <v>80</v>
      </c>
      <c r="K47" s="202"/>
      <c r="L47" s="202"/>
      <c r="M47" s="202" t="s">
        <v>81</v>
      </c>
      <c r="N47" s="202"/>
      <c r="O47" s="202"/>
      <c r="P47" s="200"/>
      <c r="Q47" s="200"/>
      <c r="R47" s="200"/>
      <c r="S47" s="200"/>
      <c r="T47" s="200"/>
      <c r="U47" s="200"/>
      <c r="V47" s="200"/>
      <c r="W47" s="200"/>
      <c r="X47" s="200"/>
      <c r="Y47" s="234"/>
      <c r="Z47" s="53" t="s">
        <v>127</v>
      </c>
      <c r="AA47" s="53" t="s">
        <v>90</v>
      </c>
      <c r="AB47" s="54" t="s">
        <v>136</v>
      </c>
      <c r="AC47" s="55">
        <v>133562</v>
      </c>
      <c r="AD47" s="55">
        <f>AC47+AD46</f>
        <v>130292</v>
      </c>
      <c r="AE47" s="55">
        <f>AC48+AE46</f>
        <v>7818</v>
      </c>
      <c r="AF47" s="57"/>
      <c r="AG47" s="56"/>
    </row>
    <row r="48" spans="1:37" ht="20.100000000000001" customHeight="1" x14ac:dyDescent="0.25">
      <c r="A48" s="204" t="s">
        <v>127</v>
      </c>
      <c r="B48" s="204"/>
      <c r="C48" s="204" t="s">
        <v>90</v>
      </c>
      <c r="D48" s="204"/>
      <c r="E48" s="204"/>
      <c r="F48" s="205" t="s">
        <v>88</v>
      </c>
      <c r="G48" s="205" t="s">
        <v>83</v>
      </c>
      <c r="H48" s="205" t="s">
        <v>83</v>
      </c>
      <c r="I48" s="205" t="s">
        <v>83</v>
      </c>
      <c r="J48" s="206">
        <v>8</v>
      </c>
      <c r="K48" s="206"/>
      <c r="L48" s="206"/>
      <c r="M48" s="230">
        <v>626</v>
      </c>
      <c r="N48" s="230"/>
      <c r="O48" s="230"/>
      <c r="P48" s="208">
        <f t="shared" ref="P48:P58" si="0">M48*J48</f>
        <v>5008</v>
      </c>
      <c r="Q48" s="208"/>
      <c r="R48" s="208"/>
      <c r="S48" s="208"/>
      <c r="T48" s="208"/>
      <c r="U48" s="203">
        <f>M48*($U$28)</f>
        <v>130208</v>
      </c>
      <c r="V48" s="203"/>
      <c r="W48" s="203"/>
      <c r="X48" s="203"/>
      <c r="Y48" s="228"/>
      <c r="Z48" s="54" t="s">
        <v>127</v>
      </c>
      <c r="AA48" s="53" t="s">
        <v>129</v>
      </c>
      <c r="AB48" s="54" t="s">
        <v>136</v>
      </c>
      <c r="AC48" s="55">
        <v>8388</v>
      </c>
      <c r="AD48" s="51">
        <f>AD47/208</f>
        <v>626.40384615384619</v>
      </c>
      <c r="AE48" s="51">
        <f>AE47/208</f>
        <v>37.58653846153846</v>
      </c>
      <c r="AI48" s="26"/>
      <c r="AK48" s="27"/>
    </row>
    <row r="49" spans="1:37" ht="20.100000000000001" customHeight="1" x14ac:dyDescent="0.25">
      <c r="A49" s="204" t="s">
        <v>127</v>
      </c>
      <c r="B49" s="204"/>
      <c r="C49" s="204" t="s">
        <v>129</v>
      </c>
      <c r="D49" s="204"/>
      <c r="E49" s="204"/>
      <c r="F49" s="205" t="s">
        <v>88</v>
      </c>
      <c r="G49" s="205"/>
      <c r="H49" s="205"/>
      <c r="I49" s="205"/>
      <c r="J49" s="206">
        <v>8</v>
      </c>
      <c r="K49" s="206"/>
      <c r="L49" s="206"/>
      <c r="M49" s="230">
        <v>38</v>
      </c>
      <c r="N49" s="230"/>
      <c r="O49" s="230"/>
      <c r="P49" s="208">
        <f t="shared" si="0"/>
        <v>304</v>
      </c>
      <c r="Q49" s="208"/>
      <c r="R49" s="208"/>
      <c r="S49" s="208"/>
      <c r="T49" s="208"/>
      <c r="U49" s="203">
        <f>M49*($U$28)</f>
        <v>7904</v>
      </c>
      <c r="V49" s="203"/>
      <c r="W49" s="203"/>
      <c r="X49" s="203"/>
      <c r="Y49" s="228"/>
      <c r="Z49" s="54"/>
      <c r="AA49" s="54"/>
      <c r="AB49" s="53"/>
      <c r="AC49" s="52">
        <f>SUM(AC47:AC48)</f>
        <v>141950</v>
      </c>
      <c r="AD49" s="51">
        <f>-AD46/30</f>
        <v>109</v>
      </c>
      <c r="AE49" s="51">
        <f>-AE46/30</f>
        <v>19</v>
      </c>
      <c r="AG49" s="50"/>
      <c r="AI49" s="26"/>
      <c r="AK49" s="27"/>
    </row>
    <row r="50" spans="1:37" ht="20.100000000000001" customHeight="1" x14ac:dyDescent="0.25">
      <c r="A50" s="204" t="s">
        <v>127</v>
      </c>
      <c r="B50" s="204"/>
      <c r="C50" s="204" t="s">
        <v>90</v>
      </c>
      <c r="D50" s="204"/>
      <c r="E50" s="204"/>
      <c r="F50" s="205" t="s">
        <v>88</v>
      </c>
      <c r="G50" s="205" t="s">
        <v>83</v>
      </c>
      <c r="H50" s="205" t="s">
        <v>83</v>
      </c>
      <c r="I50" s="205" t="s">
        <v>83</v>
      </c>
      <c r="J50" s="206">
        <v>2</v>
      </c>
      <c r="K50" s="206"/>
      <c r="L50" s="206"/>
      <c r="M50" s="230">
        <v>109</v>
      </c>
      <c r="N50" s="230"/>
      <c r="O50" s="230"/>
      <c r="P50" s="208">
        <f t="shared" si="0"/>
        <v>218</v>
      </c>
      <c r="Q50" s="208"/>
      <c r="R50" s="208"/>
      <c r="S50" s="208"/>
      <c r="T50" s="208"/>
      <c r="U50" s="203">
        <f t="shared" ref="U50:U58" si="1">M50*($N$29)</f>
        <v>3270</v>
      </c>
      <c r="V50" s="203"/>
      <c r="W50" s="203"/>
      <c r="X50" s="203"/>
      <c r="Y50" s="228"/>
      <c r="Z50" s="48"/>
      <c r="AI50" s="26"/>
      <c r="AK50" s="27"/>
    </row>
    <row r="51" spans="1:37" ht="20.100000000000001" customHeight="1" x14ac:dyDescent="0.25">
      <c r="A51" s="204" t="s">
        <v>127</v>
      </c>
      <c r="B51" s="204"/>
      <c r="C51" s="204" t="s">
        <v>129</v>
      </c>
      <c r="D51" s="204"/>
      <c r="E51" s="204"/>
      <c r="F51" s="205" t="s">
        <v>88</v>
      </c>
      <c r="G51" s="205" t="s">
        <v>83</v>
      </c>
      <c r="H51" s="205" t="s">
        <v>83</v>
      </c>
      <c r="I51" s="205" t="s">
        <v>83</v>
      </c>
      <c r="J51" s="206">
        <v>2</v>
      </c>
      <c r="K51" s="206"/>
      <c r="L51" s="206"/>
      <c r="M51" s="230">
        <v>19</v>
      </c>
      <c r="N51" s="230"/>
      <c r="O51" s="230"/>
      <c r="P51" s="208">
        <f t="shared" si="0"/>
        <v>38</v>
      </c>
      <c r="Q51" s="208"/>
      <c r="R51" s="208"/>
      <c r="S51" s="208"/>
      <c r="T51" s="208"/>
      <c r="U51" s="203">
        <f t="shared" si="1"/>
        <v>570</v>
      </c>
      <c r="V51" s="203"/>
      <c r="W51" s="203"/>
      <c r="X51" s="203"/>
      <c r="Y51" s="228"/>
      <c r="Z51" s="49">
        <f>SUM(U48:Y51)</f>
        <v>141952</v>
      </c>
      <c r="AA51" s="28"/>
    </row>
    <row r="52" spans="1:37" ht="20.100000000000001" hidden="1" customHeight="1" x14ac:dyDescent="0.25">
      <c r="A52" s="195" t="s">
        <v>127</v>
      </c>
      <c r="B52" s="195"/>
      <c r="C52" s="195" t="s">
        <v>126</v>
      </c>
      <c r="D52" s="195"/>
      <c r="E52" s="195"/>
      <c r="F52" s="136" t="s">
        <v>83</v>
      </c>
      <c r="G52" s="136"/>
      <c r="H52" s="136"/>
      <c r="I52" s="136"/>
      <c r="J52" s="137">
        <v>2</v>
      </c>
      <c r="K52" s="137"/>
      <c r="L52" s="137"/>
      <c r="M52" s="138">
        <v>6</v>
      </c>
      <c r="N52" s="138"/>
      <c r="O52" s="138"/>
      <c r="P52" s="139">
        <f t="shared" si="0"/>
        <v>12</v>
      </c>
      <c r="Q52" s="139"/>
      <c r="R52" s="139"/>
      <c r="S52" s="139"/>
      <c r="T52" s="139"/>
      <c r="U52" s="131">
        <f t="shared" si="1"/>
        <v>180</v>
      </c>
      <c r="V52" s="131"/>
      <c r="W52" s="131"/>
      <c r="X52" s="131"/>
      <c r="Y52" s="146"/>
      <c r="Z52" s="48"/>
      <c r="AI52" s="26"/>
      <c r="AK52" s="27"/>
    </row>
    <row r="53" spans="1:37" ht="20.100000000000001" hidden="1" customHeight="1" x14ac:dyDescent="0.25">
      <c r="A53" s="195" t="s">
        <v>127</v>
      </c>
      <c r="B53" s="195"/>
      <c r="C53" s="195" t="s">
        <v>129</v>
      </c>
      <c r="D53" s="195"/>
      <c r="E53" s="195"/>
      <c r="F53" s="136" t="s">
        <v>88</v>
      </c>
      <c r="G53" s="136" t="s">
        <v>83</v>
      </c>
      <c r="H53" s="136" t="s">
        <v>83</v>
      </c>
      <c r="I53" s="136" t="s">
        <v>83</v>
      </c>
      <c r="J53" s="137">
        <v>2</v>
      </c>
      <c r="K53" s="137"/>
      <c r="L53" s="137"/>
      <c r="M53" s="138">
        <v>26</v>
      </c>
      <c r="N53" s="138"/>
      <c r="O53" s="138"/>
      <c r="P53" s="139">
        <f t="shared" si="0"/>
        <v>52</v>
      </c>
      <c r="Q53" s="139"/>
      <c r="R53" s="139"/>
      <c r="S53" s="139"/>
      <c r="T53" s="139"/>
      <c r="U53" s="145">
        <f t="shared" si="1"/>
        <v>780</v>
      </c>
      <c r="V53" s="145"/>
      <c r="W53" s="145"/>
      <c r="X53" s="145"/>
      <c r="Y53" s="229"/>
      <c r="Z53" s="48"/>
    </row>
    <row r="54" spans="1:37" ht="20.100000000000001" hidden="1" customHeight="1" x14ac:dyDescent="0.25">
      <c r="A54" s="195" t="s">
        <v>127</v>
      </c>
      <c r="B54" s="195"/>
      <c r="C54" s="195" t="s">
        <v>132</v>
      </c>
      <c r="D54" s="195"/>
      <c r="E54" s="195"/>
      <c r="F54" s="136" t="s">
        <v>88</v>
      </c>
      <c r="G54" s="136" t="s">
        <v>83</v>
      </c>
      <c r="H54" s="136" t="s">
        <v>83</v>
      </c>
      <c r="I54" s="136" t="s">
        <v>83</v>
      </c>
      <c r="J54" s="137">
        <v>2</v>
      </c>
      <c r="K54" s="137"/>
      <c r="L54" s="137"/>
      <c r="M54" s="138">
        <v>29</v>
      </c>
      <c r="N54" s="138"/>
      <c r="O54" s="138"/>
      <c r="P54" s="139">
        <f t="shared" si="0"/>
        <v>58</v>
      </c>
      <c r="Q54" s="139"/>
      <c r="R54" s="139"/>
      <c r="S54" s="139"/>
      <c r="T54" s="139"/>
      <c r="U54" s="131">
        <f t="shared" si="1"/>
        <v>870</v>
      </c>
      <c r="V54" s="131"/>
      <c r="W54" s="131"/>
      <c r="X54" s="131"/>
      <c r="Y54" s="146"/>
      <c r="Z54" s="48"/>
      <c r="AA54" s="28"/>
      <c r="AB54" s="47"/>
    </row>
    <row r="55" spans="1:37" ht="20.100000000000001" hidden="1" customHeight="1" x14ac:dyDescent="0.25">
      <c r="A55" s="178" t="s">
        <v>127</v>
      </c>
      <c r="B55" s="179"/>
      <c r="C55" s="141" t="s">
        <v>89</v>
      </c>
      <c r="D55" s="141"/>
      <c r="E55" s="142"/>
      <c r="F55" s="143" t="s">
        <v>88</v>
      </c>
      <c r="G55" s="143"/>
      <c r="H55" s="143"/>
      <c r="I55" s="143"/>
      <c r="J55" s="137">
        <v>2</v>
      </c>
      <c r="K55" s="137"/>
      <c r="L55" s="137"/>
      <c r="M55" s="138">
        <v>2</v>
      </c>
      <c r="N55" s="138"/>
      <c r="O55" s="138"/>
      <c r="P55" s="139">
        <f t="shared" si="0"/>
        <v>4</v>
      </c>
      <c r="Q55" s="139"/>
      <c r="R55" s="139"/>
      <c r="S55" s="139"/>
      <c r="T55" s="139"/>
      <c r="U55" s="145">
        <f t="shared" si="1"/>
        <v>60</v>
      </c>
      <c r="V55" s="145"/>
      <c r="W55" s="145"/>
      <c r="X55" s="145"/>
      <c r="Y55" s="145"/>
      <c r="AA55" s="28"/>
    </row>
    <row r="56" spans="1:37" ht="20.100000000000001" hidden="1" customHeight="1" x14ac:dyDescent="0.25">
      <c r="A56" s="178" t="s">
        <v>127</v>
      </c>
      <c r="B56" s="179"/>
      <c r="C56" s="141" t="s">
        <v>86</v>
      </c>
      <c r="D56" s="141"/>
      <c r="E56" s="142"/>
      <c r="F56" s="143" t="s">
        <v>88</v>
      </c>
      <c r="G56" s="143"/>
      <c r="H56" s="143"/>
      <c r="I56" s="143"/>
      <c r="J56" s="137">
        <v>2</v>
      </c>
      <c r="K56" s="137"/>
      <c r="L56" s="137"/>
      <c r="M56" s="138">
        <v>4</v>
      </c>
      <c r="N56" s="138"/>
      <c r="O56" s="138"/>
      <c r="P56" s="139">
        <f t="shared" si="0"/>
        <v>8</v>
      </c>
      <c r="Q56" s="139"/>
      <c r="R56" s="139"/>
      <c r="S56" s="139"/>
      <c r="T56" s="139"/>
      <c r="U56" s="145">
        <f t="shared" si="1"/>
        <v>120</v>
      </c>
      <c r="V56" s="145"/>
      <c r="W56" s="145"/>
      <c r="X56" s="145"/>
      <c r="Y56" s="145"/>
      <c r="AA56" s="28"/>
    </row>
    <row r="57" spans="1:37" ht="20.100000000000001" hidden="1" customHeight="1" x14ac:dyDescent="0.25">
      <c r="A57" s="178" t="s">
        <v>127</v>
      </c>
      <c r="B57" s="179"/>
      <c r="C57" s="141" t="s">
        <v>93</v>
      </c>
      <c r="D57" s="141"/>
      <c r="E57" s="142"/>
      <c r="F57" s="143" t="s">
        <v>83</v>
      </c>
      <c r="G57" s="143"/>
      <c r="H57" s="143"/>
      <c r="I57" s="143"/>
      <c r="J57" s="137">
        <v>2</v>
      </c>
      <c r="K57" s="137"/>
      <c r="L57" s="137"/>
      <c r="M57" s="138">
        <v>5</v>
      </c>
      <c r="N57" s="138"/>
      <c r="O57" s="138"/>
      <c r="P57" s="139">
        <f t="shared" si="0"/>
        <v>10</v>
      </c>
      <c r="Q57" s="139"/>
      <c r="R57" s="139"/>
      <c r="S57" s="139"/>
      <c r="T57" s="139"/>
      <c r="U57" s="145">
        <f t="shared" si="1"/>
        <v>150</v>
      </c>
      <c r="V57" s="145"/>
      <c r="W57" s="145"/>
      <c r="X57" s="145"/>
      <c r="Y57" s="145"/>
      <c r="AA57" s="28"/>
    </row>
    <row r="58" spans="1:37" ht="8.4499999999999993" hidden="1" customHeight="1" x14ac:dyDescent="0.25">
      <c r="A58" s="178" t="s">
        <v>127</v>
      </c>
      <c r="B58" s="179"/>
      <c r="C58" s="141" t="s">
        <v>94</v>
      </c>
      <c r="D58" s="141"/>
      <c r="E58" s="142"/>
      <c r="F58" s="150" t="s">
        <v>88</v>
      </c>
      <c r="G58" s="151"/>
      <c r="H58" s="151"/>
      <c r="I58" s="135"/>
      <c r="J58" s="152">
        <v>2</v>
      </c>
      <c r="K58" s="153"/>
      <c r="L58" s="154"/>
      <c r="M58" s="155">
        <v>5</v>
      </c>
      <c r="N58" s="156"/>
      <c r="O58" s="157"/>
      <c r="P58" s="158">
        <f t="shared" si="0"/>
        <v>10</v>
      </c>
      <c r="Q58" s="159"/>
      <c r="R58" s="159"/>
      <c r="S58" s="159"/>
      <c r="T58" s="160"/>
      <c r="U58" s="146">
        <f t="shared" si="1"/>
        <v>150</v>
      </c>
      <c r="V58" s="147"/>
      <c r="W58" s="147"/>
      <c r="X58" s="147"/>
      <c r="Y58" s="148"/>
      <c r="AA58" s="28"/>
    </row>
    <row r="59" spans="1:37" ht="23.25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30"/>
      <c r="K59" s="30"/>
      <c r="L59" s="30"/>
      <c r="M59" s="31"/>
      <c r="N59" s="31"/>
      <c r="O59" s="31"/>
      <c r="P59" s="32"/>
      <c r="Q59" s="32"/>
      <c r="R59" s="32"/>
      <c r="S59" s="32"/>
      <c r="T59" s="32"/>
      <c r="U59" s="221"/>
      <c r="V59" s="221"/>
      <c r="W59" s="221"/>
      <c r="X59" s="221"/>
      <c r="Y59" s="221"/>
      <c r="Z59" s="47"/>
      <c r="AA59" s="27"/>
      <c r="AF59"/>
      <c r="AG59"/>
      <c r="AH59"/>
    </row>
    <row r="60" spans="1:37" s="3" customFormat="1" ht="23.25" x14ac:dyDescent="0.65">
      <c r="A60" s="3" t="s">
        <v>95</v>
      </c>
      <c r="Z60" s="46"/>
    </row>
    <row r="61" spans="1:37" ht="21" x14ac:dyDescent="0.6">
      <c r="A61" s="122" t="s">
        <v>68</v>
      </c>
      <c r="B61" s="123"/>
      <c r="C61" s="123"/>
      <c r="D61" s="123"/>
      <c r="E61" s="124"/>
      <c r="F61" s="122" t="s">
        <v>69</v>
      </c>
      <c r="G61" s="123"/>
      <c r="H61" s="123"/>
      <c r="I61" s="124"/>
      <c r="J61" s="119" t="s">
        <v>96</v>
      </c>
      <c r="K61" s="119"/>
      <c r="L61" s="119"/>
      <c r="M61" s="119"/>
      <c r="N61" s="119"/>
      <c r="O61" s="119"/>
      <c r="P61" s="122" t="s">
        <v>66</v>
      </c>
      <c r="Q61" s="123"/>
      <c r="R61" s="123"/>
      <c r="S61" s="123"/>
      <c r="T61" s="124"/>
      <c r="U61" s="122" t="s">
        <v>97</v>
      </c>
      <c r="V61" s="123"/>
      <c r="W61" s="123"/>
      <c r="X61" s="123"/>
      <c r="Y61" s="124"/>
      <c r="Z61" s="28"/>
      <c r="AF61"/>
      <c r="AG61"/>
      <c r="AH61"/>
    </row>
    <row r="62" spans="1:37" x14ac:dyDescent="0.25">
      <c r="A62" s="125"/>
      <c r="B62" s="126"/>
      <c r="C62" s="126"/>
      <c r="D62" s="126"/>
      <c r="E62" s="127"/>
      <c r="F62" s="125"/>
      <c r="G62" s="126"/>
      <c r="H62" s="126"/>
      <c r="I62" s="127"/>
      <c r="J62" s="210" t="s">
        <v>98</v>
      </c>
      <c r="K62" s="210"/>
      <c r="L62" s="210"/>
      <c r="M62" s="210"/>
      <c r="N62" s="210"/>
      <c r="O62" s="210"/>
      <c r="P62" s="125"/>
      <c r="Q62" s="126"/>
      <c r="R62" s="126"/>
      <c r="S62" s="126"/>
      <c r="T62" s="127"/>
      <c r="U62" s="125"/>
      <c r="V62" s="126"/>
      <c r="W62" s="126"/>
      <c r="X62" s="126"/>
      <c r="Y62" s="127"/>
      <c r="AF62"/>
      <c r="AG62"/>
      <c r="AH62"/>
    </row>
    <row r="63" spans="1:37" ht="19.5" customHeight="1" x14ac:dyDescent="0.25">
      <c r="A63" s="199" t="s">
        <v>74</v>
      </c>
      <c r="B63" s="199"/>
      <c r="C63" s="199"/>
      <c r="D63" s="199"/>
      <c r="E63" s="199"/>
      <c r="F63" s="199" t="s">
        <v>75</v>
      </c>
      <c r="G63" s="199"/>
      <c r="H63" s="199"/>
      <c r="I63" s="199"/>
      <c r="J63" s="122" t="s">
        <v>99</v>
      </c>
      <c r="K63" s="123"/>
      <c r="L63" s="123"/>
      <c r="M63" s="122" t="s">
        <v>100</v>
      </c>
      <c r="N63" s="123"/>
      <c r="O63" s="123"/>
      <c r="P63" s="199" t="s">
        <v>101</v>
      </c>
      <c r="Q63" s="199"/>
      <c r="R63" s="199"/>
      <c r="S63" s="199"/>
      <c r="T63" s="199"/>
      <c r="U63" s="199" t="s">
        <v>102</v>
      </c>
      <c r="V63" s="199"/>
      <c r="W63" s="199"/>
      <c r="X63" s="199"/>
      <c r="Y63" s="199"/>
      <c r="AF63"/>
      <c r="AG63"/>
      <c r="AH63"/>
    </row>
    <row r="64" spans="1:37" x14ac:dyDescent="0.25">
      <c r="A64" s="200"/>
      <c r="B64" s="200"/>
      <c r="C64" s="200"/>
      <c r="D64" s="200"/>
      <c r="E64" s="200"/>
      <c r="F64" s="200"/>
      <c r="G64" s="200"/>
      <c r="H64" s="200"/>
      <c r="I64" s="200"/>
      <c r="J64" s="202" t="s">
        <v>103</v>
      </c>
      <c r="K64" s="202"/>
      <c r="L64" s="202"/>
      <c r="M64" s="202" t="s">
        <v>104</v>
      </c>
      <c r="N64" s="202"/>
      <c r="O64" s="202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AF64"/>
      <c r="AG64"/>
      <c r="AH64"/>
    </row>
    <row r="65" spans="1:34" ht="20.100000000000001" customHeight="1" x14ac:dyDescent="0.25">
      <c r="A65" s="205" t="str">
        <f>A48</f>
        <v>LADIES</v>
      </c>
      <c r="B65" s="205" t="s">
        <v>82</v>
      </c>
      <c r="C65" s="205" t="str">
        <f t="shared" ref="C65:C71" si="2">C48</f>
        <v>PANT</v>
      </c>
      <c r="D65" s="205" t="s">
        <v>90</v>
      </c>
      <c r="E65" s="205" t="s">
        <v>90</v>
      </c>
      <c r="F65" s="205" t="str">
        <f t="shared" ref="F65:F85" si="3">F48</f>
        <v xml:space="preserve">KNITTED </v>
      </c>
      <c r="G65" s="205"/>
      <c r="H65" s="205"/>
      <c r="I65" s="205"/>
      <c r="J65" s="215">
        <f t="shared" ref="J65:J77" si="4">M65*12</f>
        <v>3.5999999999999996</v>
      </c>
      <c r="K65" s="216"/>
      <c r="L65" s="217"/>
      <c r="M65" s="218">
        <v>0.3</v>
      </c>
      <c r="N65" s="218"/>
      <c r="O65" s="218"/>
      <c r="P65" s="203">
        <f t="shared" ref="P65:P71" si="5">U48</f>
        <v>130208</v>
      </c>
      <c r="Q65" s="203"/>
      <c r="R65" s="203"/>
      <c r="S65" s="203"/>
      <c r="T65" s="203"/>
      <c r="U65" s="211">
        <f t="shared" ref="U65:U85" si="6">P65*M65</f>
        <v>39062.400000000001</v>
      </c>
      <c r="V65" s="211"/>
      <c r="W65" s="211"/>
      <c r="X65" s="211"/>
      <c r="Y65" s="211"/>
      <c r="Z65" s="28"/>
      <c r="AF65"/>
      <c r="AG65"/>
      <c r="AH65"/>
    </row>
    <row r="66" spans="1:34" ht="20.100000000000001" customHeight="1" x14ac:dyDescent="0.25">
      <c r="A66" s="205" t="str">
        <f>A49</f>
        <v>LADIES</v>
      </c>
      <c r="B66" s="205" t="s">
        <v>82</v>
      </c>
      <c r="C66" s="205" t="str">
        <f t="shared" si="2"/>
        <v>PAJAMAS</v>
      </c>
      <c r="D66" s="205" t="s">
        <v>90</v>
      </c>
      <c r="E66" s="205" t="s">
        <v>90</v>
      </c>
      <c r="F66" s="205" t="str">
        <f t="shared" si="3"/>
        <v xml:space="preserve">KNITTED </v>
      </c>
      <c r="G66" s="205"/>
      <c r="H66" s="205"/>
      <c r="I66" s="205"/>
      <c r="J66" s="208">
        <f t="shared" si="4"/>
        <v>2.4000000000000004</v>
      </c>
      <c r="K66" s="208"/>
      <c r="L66" s="208"/>
      <c r="M66" s="212">
        <v>0.2</v>
      </c>
      <c r="N66" s="213"/>
      <c r="O66" s="214"/>
      <c r="P66" s="203">
        <f t="shared" si="5"/>
        <v>7904</v>
      </c>
      <c r="Q66" s="203"/>
      <c r="R66" s="203"/>
      <c r="S66" s="203"/>
      <c r="T66" s="203"/>
      <c r="U66" s="211">
        <f t="shared" si="6"/>
        <v>1580.8000000000002</v>
      </c>
      <c r="V66" s="211"/>
      <c r="W66" s="211"/>
      <c r="X66" s="211"/>
      <c r="Y66" s="211"/>
    </row>
    <row r="67" spans="1:34" ht="20.100000000000001" customHeight="1" x14ac:dyDescent="0.25">
      <c r="A67" s="205" t="str">
        <f>A52</f>
        <v>LADIES</v>
      </c>
      <c r="B67" s="205" t="s">
        <v>82</v>
      </c>
      <c r="C67" s="205" t="str">
        <f t="shared" si="2"/>
        <v>PANT</v>
      </c>
      <c r="D67" s="205" t="s">
        <v>90</v>
      </c>
      <c r="E67" s="205" t="s">
        <v>90</v>
      </c>
      <c r="F67" s="205" t="str">
        <f t="shared" si="3"/>
        <v xml:space="preserve">KNITTED </v>
      </c>
      <c r="G67" s="205"/>
      <c r="H67" s="205"/>
      <c r="I67" s="205"/>
      <c r="J67" s="208">
        <f t="shared" si="4"/>
        <v>4.8000000000000007</v>
      </c>
      <c r="K67" s="208"/>
      <c r="L67" s="208"/>
      <c r="M67" s="212">
        <v>0.4</v>
      </c>
      <c r="N67" s="213"/>
      <c r="O67" s="214"/>
      <c r="P67" s="203">
        <f t="shared" si="5"/>
        <v>3270</v>
      </c>
      <c r="Q67" s="203"/>
      <c r="R67" s="203"/>
      <c r="S67" s="203"/>
      <c r="T67" s="203"/>
      <c r="U67" s="211">
        <f t="shared" si="6"/>
        <v>1308</v>
      </c>
      <c r="V67" s="211"/>
      <c r="W67" s="211"/>
      <c r="X67" s="211"/>
      <c r="Y67" s="211"/>
    </row>
    <row r="68" spans="1:34" ht="20.100000000000001" customHeight="1" x14ac:dyDescent="0.25">
      <c r="A68" s="205" t="str">
        <f>A50</f>
        <v>LADIES</v>
      </c>
      <c r="B68" s="205" t="s">
        <v>82</v>
      </c>
      <c r="C68" s="205" t="str">
        <f t="shared" si="2"/>
        <v>PAJAMAS</v>
      </c>
      <c r="D68" s="205" t="s">
        <v>90</v>
      </c>
      <c r="E68" s="205" t="s">
        <v>90</v>
      </c>
      <c r="F68" s="205" t="str">
        <f t="shared" si="3"/>
        <v xml:space="preserve">KNITTED </v>
      </c>
      <c r="G68" s="205"/>
      <c r="H68" s="205"/>
      <c r="I68" s="205"/>
      <c r="J68" s="208">
        <f t="shared" si="4"/>
        <v>4.8000000000000007</v>
      </c>
      <c r="K68" s="208"/>
      <c r="L68" s="208"/>
      <c r="M68" s="212">
        <v>0.4</v>
      </c>
      <c r="N68" s="213"/>
      <c r="O68" s="214"/>
      <c r="P68" s="203">
        <f t="shared" si="5"/>
        <v>570</v>
      </c>
      <c r="Q68" s="203"/>
      <c r="R68" s="203"/>
      <c r="S68" s="203"/>
      <c r="T68" s="203"/>
      <c r="U68" s="211">
        <f t="shared" si="6"/>
        <v>228</v>
      </c>
      <c r="V68" s="211"/>
      <c r="W68" s="211"/>
      <c r="X68" s="211"/>
      <c r="Y68" s="211"/>
      <c r="AB68" s="33"/>
    </row>
    <row r="69" spans="1:34" ht="20.100000000000001" hidden="1" customHeight="1" x14ac:dyDescent="0.25">
      <c r="A69" s="136" t="str">
        <f>A51</f>
        <v>LADIES</v>
      </c>
      <c r="B69" s="136" t="s">
        <v>82</v>
      </c>
      <c r="C69" s="136" t="str">
        <f t="shared" si="2"/>
        <v>SKIRT</v>
      </c>
      <c r="D69" s="136" t="s">
        <v>90</v>
      </c>
      <c r="E69" s="136" t="s">
        <v>90</v>
      </c>
      <c r="F69" s="136" t="str">
        <f t="shared" si="3"/>
        <v>WOVEN</v>
      </c>
      <c r="G69" s="136"/>
      <c r="H69" s="136"/>
      <c r="I69" s="136"/>
      <c r="J69" s="139">
        <f t="shared" si="4"/>
        <v>3</v>
      </c>
      <c r="K69" s="139"/>
      <c r="L69" s="139"/>
      <c r="M69" s="225">
        <v>0.25</v>
      </c>
      <c r="N69" s="226"/>
      <c r="O69" s="227"/>
      <c r="P69" s="131">
        <f t="shared" si="5"/>
        <v>180</v>
      </c>
      <c r="Q69" s="131"/>
      <c r="R69" s="131"/>
      <c r="S69" s="131"/>
      <c r="T69" s="131"/>
      <c r="U69" s="161">
        <f t="shared" si="6"/>
        <v>45</v>
      </c>
      <c r="V69" s="161"/>
      <c r="W69" s="161"/>
      <c r="X69" s="161"/>
      <c r="Y69" s="161"/>
    </row>
    <row r="70" spans="1:34" ht="20.100000000000001" hidden="1" customHeight="1" x14ac:dyDescent="0.25">
      <c r="A70" s="136" t="str">
        <f>A53</f>
        <v>LADIES</v>
      </c>
      <c r="B70" s="136" t="s">
        <v>82</v>
      </c>
      <c r="C70" s="136" t="str">
        <f t="shared" si="2"/>
        <v>PAJAMAS</v>
      </c>
      <c r="D70" s="136" t="s">
        <v>90</v>
      </c>
      <c r="E70" s="136" t="s">
        <v>90</v>
      </c>
      <c r="F70" s="136" t="str">
        <f t="shared" si="3"/>
        <v xml:space="preserve">KNITTED </v>
      </c>
      <c r="G70" s="136"/>
      <c r="H70" s="136"/>
      <c r="I70" s="136"/>
      <c r="J70" s="139">
        <f t="shared" si="4"/>
        <v>11.64</v>
      </c>
      <c r="K70" s="139"/>
      <c r="L70" s="139"/>
      <c r="M70" s="224">
        <v>0.97</v>
      </c>
      <c r="N70" s="224"/>
      <c r="O70" s="224"/>
      <c r="P70" s="131">
        <f t="shared" si="5"/>
        <v>780</v>
      </c>
      <c r="Q70" s="131"/>
      <c r="R70" s="131"/>
      <c r="S70" s="131"/>
      <c r="T70" s="131"/>
      <c r="U70" s="161">
        <f t="shared" si="6"/>
        <v>756.6</v>
      </c>
      <c r="V70" s="161"/>
      <c r="W70" s="161"/>
      <c r="X70" s="161"/>
      <c r="Y70" s="161"/>
    </row>
    <row r="71" spans="1:34" ht="20.100000000000001" hidden="1" customHeight="1" x14ac:dyDescent="0.25">
      <c r="A71" s="136" t="str">
        <f>A54</f>
        <v>LADIES</v>
      </c>
      <c r="B71" s="136" t="s">
        <v>82</v>
      </c>
      <c r="C71" s="136" t="str">
        <f t="shared" si="2"/>
        <v>PANTS</v>
      </c>
      <c r="D71" s="136" t="s">
        <v>90</v>
      </c>
      <c r="E71" s="136" t="s">
        <v>90</v>
      </c>
      <c r="F71" s="136" t="str">
        <f t="shared" si="3"/>
        <v xml:space="preserve">KNITTED </v>
      </c>
      <c r="G71" s="136"/>
      <c r="H71" s="136"/>
      <c r="I71" s="136"/>
      <c r="J71" s="139">
        <f t="shared" si="4"/>
        <v>6</v>
      </c>
      <c r="K71" s="139"/>
      <c r="L71" s="139"/>
      <c r="M71" s="224">
        <v>0.5</v>
      </c>
      <c r="N71" s="224"/>
      <c r="O71" s="224"/>
      <c r="P71" s="131">
        <f t="shared" si="5"/>
        <v>870</v>
      </c>
      <c r="Q71" s="131"/>
      <c r="R71" s="131"/>
      <c r="S71" s="131"/>
      <c r="T71" s="131"/>
      <c r="U71" s="161">
        <f t="shared" si="6"/>
        <v>435</v>
      </c>
      <c r="V71" s="161"/>
      <c r="W71" s="161"/>
      <c r="X71" s="161"/>
      <c r="Y71" s="161"/>
    </row>
    <row r="72" spans="1:34" ht="20.100000000000001" hidden="1" customHeight="1" x14ac:dyDescent="0.25">
      <c r="A72" s="150" t="str">
        <f t="shared" ref="A72:A77" si="7">A53</f>
        <v>LADIES</v>
      </c>
      <c r="B72" s="151" t="s">
        <v>82</v>
      </c>
      <c r="C72" s="151" t="str">
        <f t="shared" ref="C72:C77" si="8">C53</f>
        <v>PAJAMAS</v>
      </c>
      <c r="D72" s="151" t="s">
        <v>90</v>
      </c>
      <c r="E72" s="135" t="s">
        <v>90</v>
      </c>
      <c r="F72" s="136" t="str">
        <f t="shared" si="3"/>
        <v xml:space="preserve">KNITTED </v>
      </c>
      <c r="G72" s="136"/>
      <c r="H72" s="136"/>
      <c r="I72" s="136"/>
      <c r="J72" s="139">
        <f t="shared" si="4"/>
        <v>6.8461538461538458</v>
      </c>
      <c r="K72" s="139"/>
      <c r="L72" s="139"/>
      <c r="M72" s="165">
        <v>0.57051282051282048</v>
      </c>
      <c r="N72" s="165"/>
      <c r="O72" s="165"/>
      <c r="P72" s="131">
        <f t="shared" ref="P72:P85" si="9">U53</f>
        <v>780</v>
      </c>
      <c r="Q72" s="131"/>
      <c r="R72" s="131"/>
      <c r="S72" s="131"/>
      <c r="T72" s="131"/>
      <c r="U72" s="161">
        <f t="shared" si="6"/>
        <v>445</v>
      </c>
      <c r="V72" s="161"/>
      <c r="W72" s="161"/>
      <c r="X72" s="161"/>
      <c r="Y72" s="161"/>
    </row>
    <row r="73" spans="1:34" ht="20.100000000000001" hidden="1" customHeight="1" x14ac:dyDescent="0.25">
      <c r="A73" s="150" t="str">
        <f t="shared" si="7"/>
        <v>LADIES</v>
      </c>
      <c r="B73" s="151" t="s">
        <v>82</v>
      </c>
      <c r="C73" s="151" t="str">
        <f t="shared" si="8"/>
        <v>PANTS</v>
      </c>
      <c r="D73" s="151" t="s">
        <v>90</v>
      </c>
      <c r="E73" s="135" t="s">
        <v>90</v>
      </c>
      <c r="F73" s="136" t="str">
        <f t="shared" si="3"/>
        <v xml:space="preserve">KNITTED </v>
      </c>
      <c r="G73" s="136"/>
      <c r="H73" s="136"/>
      <c r="I73" s="136"/>
      <c r="J73" s="139">
        <f t="shared" si="4"/>
        <v>8.8508571428571443</v>
      </c>
      <c r="K73" s="139"/>
      <c r="L73" s="139"/>
      <c r="M73" s="165">
        <v>0.73757142857142866</v>
      </c>
      <c r="N73" s="165"/>
      <c r="O73" s="165"/>
      <c r="P73" s="131">
        <f t="shared" si="9"/>
        <v>870</v>
      </c>
      <c r="Q73" s="131"/>
      <c r="R73" s="131"/>
      <c r="S73" s="131"/>
      <c r="T73" s="131"/>
      <c r="U73" s="161">
        <f t="shared" si="6"/>
        <v>641.68714285714293</v>
      </c>
      <c r="V73" s="161"/>
      <c r="W73" s="161"/>
      <c r="X73" s="161"/>
      <c r="Y73" s="161"/>
    </row>
    <row r="74" spans="1:34" ht="20.100000000000001" hidden="1" customHeight="1" x14ac:dyDescent="0.25">
      <c r="A74" s="150" t="str">
        <f t="shared" si="7"/>
        <v>LADIES</v>
      </c>
      <c r="B74" s="151" t="s">
        <v>82</v>
      </c>
      <c r="C74" s="151" t="str">
        <f t="shared" si="8"/>
        <v>JECKET</v>
      </c>
      <c r="D74" s="151" t="s">
        <v>90</v>
      </c>
      <c r="E74" s="135" t="s">
        <v>90</v>
      </c>
      <c r="F74" s="136" t="str">
        <f t="shared" si="3"/>
        <v>WOVEN</v>
      </c>
      <c r="G74" s="136"/>
      <c r="H74" s="136"/>
      <c r="I74" s="136"/>
      <c r="J74" s="139">
        <f t="shared" si="4"/>
        <v>9.1687500000000011</v>
      </c>
      <c r="K74" s="139"/>
      <c r="L74" s="139"/>
      <c r="M74" s="165">
        <v>0.76406250000000009</v>
      </c>
      <c r="N74" s="165"/>
      <c r="O74" s="165"/>
      <c r="P74" s="131">
        <f t="shared" si="9"/>
        <v>60</v>
      </c>
      <c r="Q74" s="131"/>
      <c r="R74" s="131"/>
      <c r="S74" s="131"/>
      <c r="T74" s="131"/>
      <c r="U74" s="161">
        <f t="shared" si="6"/>
        <v>45.843750000000007</v>
      </c>
      <c r="V74" s="161"/>
      <c r="W74" s="161"/>
      <c r="X74" s="161"/>
      <c r="Y74" s="161"/>
    </row>
    <row r="75" spans="1:34" ht="20.100000000000001" hidden="1" customHeight="1" x14ac:dyDescent="0.25">
      <c r="A75" s="150" t="str">
        <f t="shared" si="7"/>
        <v>LADIES</v>
      </c>
      <c r="B75" s="151" t="s">
        <v>82</v>
      </c>
      <c r="C75" s="151" t="str">
        <f t="shared" si="8"/>
        <v xml:space="preserve">SHIRT </v>
      </c>
      <c r="D75" s="151" t="s">
        <v>90</v>
      </c>
      <c r="E75" s="135" t="s">
        <v>90</v>
      </c>
      <c r="F75" s="136" t="str">
        <f t="shared" si="3"/>
        <v xml:space="preserve">KNITTED </v>
      </c>
      <c r="G75" s="136"/>
      <c r="H75" s="136"/>
      <c r="I75" s="136"/>
      <c r="J75" s="139">
        <f t="shared" si="4"/>
        <v>6.6782608695652179</v>
      </c>
      <c r="K75" s="139"/>
      <c r="L75" s="139"/>
      <c r="M75" s="165">
        <v>0.55652173913043479</v>
      </c>
      <c r="N75" s="165"/>
      <c r="O75" s="165"/>
      <c r="P75" s="131">
        <f t="shared" si="9"/>
        <v>120</v>
      </c>
      <c r="Q75" s="131"/>
      <c r="R75" s="131"/>
      <c r="S75" s="131"/>
      <c r="T75" s="131"/>
      <c r="U75" s="161">
        <f t="shared" si="6"/>
        <v>66.782608695652172</v>
      </c>
      <c r="V75" s="161"/>
      <c r="W75" s="161"/>
      <c r="X75" s="161"/>
      <c r="Y75" s="161"/>
    </row>
    <row r="76" spans="1:34" ht="20.100000000000001" hidden="1" customHeight="1" x14ac:dyDescent="0.25">
      <c r="A76" s="150" t="str">
        <f t="shared" si="7"/>
        <v>LADIES</v>
      </c>
      <c r="B76" s="151" t="s">
        <v>82</v>
      </c>
      <c r="C76" s="151" t="str">
        <f t="shared" si="8"/>
        <v>VEST</v>
      </c>
      <c r="D76" s="151" t="s">
        <v>90</v>
      </c>
      <c r="E76" s="135" t="s">
        <v>90</v>
      </c>
      <c r="F76" s="136">
        <f t="shared" si="3"/>
        <v>0</v>
      </c>
      <c r="G76" s="136"/>
      <c r="H76" s="136"/>
      <c r="I76" s="136"/>
      <c r="J76" s="139">
        <f t="shared" si="4"/>
        <v>2.514418604651163</v>
      </c>
      <c r="K76" s="139"/>
      <c r="L76" s="139"/>
      <c r="M76" s="165">
        <v>0.20953488372093027</v>
      </c>
      <c r="N76" s="165"/>
      <c r="O76" s="165"/>
      <c r="P76" s="131">
        <f t="shared" si="9"/>
        <v>150</v>
      </c>
      <c r="Q76" s="131"/>
      <c r="R76" s="131"/>
      <c r="S76" s="131"/>
      <c r="T76" s="131"/>
      <c r="U76" s="161">
        <f t="shared" si="6"/>
        <v>31.43023255813954</v>
      </c>
      <c r="V76" s="161"/>
      <c r="W76" s="161"/>
      <c r="X76" s="161"/>
      <c r="Y76" s="161"/>
    </row>
    <row r="77" spans="1:34" ht="20.100000000000001" hidden="1" customHeight="1" x14ac:dyDescent="0.25">
      <c r="A77" s="150" t="str">
        <f t="shared" si="7"/>
        <v>LADIES</v>
      </c>
      <c r="B77" s="151" t="s">
        <v>82</v>
      </c>
      <c r="C77" s="151" t="str">
        <f t="shared" si="8"/>
        <v>BELT</v>
      </c>
      <c r="D77" s="151" t="s">
        <v>90</v>
      </c>
      <c r="E77" s="135" t="s">
        <v>90</v>
      </c>
      <c r="F77" s="136">
        <f t="shared" si="3"/>
        <v>0</v>
      </c>
      <c r="G77" s="136"/>
      <c r="H77" s="136"/>
      <c r="I77" s="136"/>
      <c r="J77" s="139">
        <f t="shared" si="4"/>
        <v>1.1274418604651162</v>
      </c>
      <c r="K77" s="139"/>
      <c r="L77" s="139"/>
      <c r="M77" s="165">
        <v>9.3953488372093025E-2</v>
      </c>
      <c r="N77" s="165"/>
      <c r="O77" s="165"/>
      <c r="P77" s="131">
        <f t="shared" si="9"/>
        <v>150</v>
      </c>
      <c r="Q77" s="131"/>
      <c r="R77" s="131"/>
      <c r="S77" s="131"/>
      <c r="T77" s="131"/>
      <c r="U77" s="161">
        <f t="shared" si="6"/>
        <v>14.093023255813954</v>
      </c>
      <c r="V77" s="161"/>
      <c r="W77" s="161"/>
      <c r="X77" s="161"/>
      <c r="Y77" s="161"/>
    </row>
    <row r="78" spans="1:34" ht="20.100000000000001" hidden="1" customHeight="1" x14ac:dyDescent="0.25">
      <c r="A78" s="150"/>
      <c r="B78" s="151"/>
      <c r="C78" s="151"/>
      <c r="D78" s="151"/>
      <c r="E78" s="135"/>
      <c r="F78" s="136" t="str">
        <f t="shared" si="3"/>
        <v>ប្រភេទវត្ថុធាតុដើម</v>
      </c>
      <c r="G78" s="136"/>
      <c r="H78" s="136"/>
      <c r="I78" s="136"/>
      <c r="J78" s="139"/>
      <c r="K78" s="139"/>
      <c r="L78" s="139"/>
      <c r="M78" s="166"/>
      <c r="N78" s="166"/>
      <c r="O78" s="166"/>
      <c r="P78" s="131">
        <f t="shared" si="9"/>
        <v>0</v>
      </c>
      <c r="Q78" s="131"/>
      <c r="R78" s="131"/>
      <c r="S78" s="131"/>
      <c r="T78" s="131"/>
      <c r="U78" s="161">
        <f t="shared" si="6"/>
        <v>0</v>
      </c>
      <c r="V78" s="161"/>
      <c r="W78" s="161"/>
      <c r="X78" s="161"/>
      <c r="Y78" s="161"/>
    </row>
    <row r="79" spans="1:34" ht="20.100000000000001" hidden="1" customHeight="1" x14ac:dyDescent="0.25">
      <c r="A79" s="150"/>
      <c r="B79" s="151"/>
      <c r="C79" s="151"/>
      <c r="D79" s="151"/>
      <c r="E79" s="135"/>
      <c r="F79" s="136">
        <f t="shared" si="3"/>
        <v>0</v>
      </c>
      <c r="G79" s="136"/>
      <c r="H79" s="136"/>
      <c r="I79" s="136"/>
      <c r="J79" s="139"/>
      <c r="K79" s="139"/>
      <c r="L79" s="139"/>
      <c r="M79" s="166"/>
      <c r="N79" s="166"/>
      <c r="O79" s="166"/>
      <c r="P79" s="131">
        <f t="shared" si="9"/>
        <v>0</v>
      </c>
      <c r="Q79" s="131"/>
      <c r="R79" s="131"/>
      <c r="S79" s="131"/>
      <c r="T79" s="131"/>
      <c r="U79" s="161">
        <f t="shared" si="6"/>
        <v>0</v>
      </c>
      <c r="V79" s="161"/>
      <c r="W79" s="161"/>
      <c r="X79" s="161"/>
      <c r="Y79" s="161"/>
    </row>
    <row r="80" spans="1:34" ht="20.100000000000001" hidden="1" customHeight="1" x14ac:dyDescent="0.25">
      <c r="A80" s="150"/>
      <c r="B80" s="151"/>
      <c r="C80" s="151"/>
      <c r="D80" s="151"/>
      <c r="E80" s="135"/>
      <c r="F80" s="136" t="str">
        <f t="shared" si="3"/>
        <v>Kind of Materails</v>
      </c>
      <c r="G80" s="136"/>
      <c r="H80" s="136"/>
      <c r="I80" s="136"/>
      <c r="J80" s="139"/>
      <c r="K80" s="139"/>
      <c r="L80" s="139"/>
      <c r="M80" s="166"/>
      <c r="N80" s="166"/>
      <c r="O80" s="166"/>
      <c r="P80" s="131" t="str">
        <f t="shared" si="9"/>
        <v>ទម្ងន់សរុប</v>
      </c>
      <c r="Q80" s="131"/>
      <c r="R80" s="131"/>
      <c r="S80" s="131"/>
      <c r="T80" s="131"/>
      <c r="U80" s="161" t="e">
        <f t="shared" si="6"/>
        <v>#VALUE!</v>
      </c>
      <c r="V80" s="161"/>
      <c r="W80" s="161"/>
      <c r="X80" s="161"/>
      <c r="Y80" s="161"/>
    </row>
    <row r="81" spans="1:25" ht="20.100000000000001" hidden="1" customHeight="1" x14ac:dyDescent="0.25">
      <c r="A81" s="150"/>
      <c r="B81" s="151"/>
      <c r="C81" s="151"/>
      <c r="D81" s="151"/>
      <c r="E81" s="135"/>
      <c r="F81" s="136">
        <f t="shared" si="3"/>
        <v>0</v>
      </c>
      <c r="G81" s="136"/>
      <c r="H81" s="136"/>
      <c r="I81" s="136"/>
      <c r="J81" s="139"/>
      <c r="K81" s="139"/>
      <c r="L81" s="139"/>
      <c r="M81" s="166"/>
      <c r="N81" s="166"/>
      <c r="O81" s="166"/>
      <c r="P81" s="131">
        <f t="shared" si="9"/>
        <v>0</v>
      </c>
      <c r="Q81" s="131"/>
      <c r="R81" s="131"/>
      <c r="S81" s="131"/>
      <c r="T81" s="131"/>
      <c r="U81" s="161">
        <f t="shared" si="6"/>
        <v>0</v>
      </c>
      <c r="V81" s="161"/>
      <c r="W81" s="161"/>
      <c r="X81" s="161"/>
      <c r="Y81" s="161"/>
    </row>
    <row r="82" spans="1:25" ht="20.100000000000001" hidden="1" customHeight="1" x14ac:dyDescent="0.25">
      <c r="A82" s="150" t="e">
        <f>#REF!</f>
        <v>#REF!</v>
      </c>
      <c r="B82" s="151" t="s">
        <v>82</v>
      </c>
      <c r="C82" s="151" t="e">
        <f>#REF!</f>
        <v>#REF!</v>
      </c>
      <c r="D82" s="151" t="s">
        <v>90</v>
      </c>
      <c r="E82" s="135" t="s">
        <v>90</v>
      </c>
      <c r="F82" s="136" t="str">
        <f t="shared" si="3"/>
        <v xml:space="preserve">KNITTED </v>
      </c>
      <c r="G82" s="136"/>
      <c r="H82" s="136"/>
      <c r="I82" s="136"/>
      <c r="J82" s="167">
        <f>M82*12</f>
        <v>4.9379999999999997</v>
      </c>
      <c r="K82" s="168"/>
      <c r="L82" s="169"/>
      <c r="M82" s="165">
        <v>0.41149999999999998</v>
      </c>
      <c r="N82" s="165">
        <v>0.41149999999999998</v>
      </c>
      <c r="O82" s="165">
        <v>0.41149999999999998</v>
      </c>
      <c r="P82" s="131" t="str">
        <f t="shared" si="9"/>
        <v>Total Weight</v>
      </c>
      <c r="Q82" s="131"/>
      <c r="R82" s="131"/>
      <c r="S82" s="131"/>
      <c r="T82" s="131"/>
      <c r="U82" s="161" t="e">
        <f t="shared" si="6"/>
        <v>#VALUE!</v>
      </c>
      <c r="V82" s="161"/>
      <c r="W82" s="161"/>
      <c r="X82" s="161"/>
      <c r="Y82" s="161"/>
    </row>
    <row r="83" spans="1:25" ht="20.100000000000001" hidden="1" customHeight="1" x14ac:dyDescent="0.25">
      <c r="A83" s="150" t="e">
        <f>#REF!</f>
        <v>#REF!</v>
      </c>
      <c r="B83" s="151" t="s">
        <v>82</v>
      </c>
      <c r="C83" s="151" t="e">
        <f>#REF!</f>
        <v>#REF!</v>
      </c>
      <c r="D83" s="151" t="s">
        <v>90</v>
      </c>
      <c r="E83" s="135" t="s">
        <v>90</v>
      </c>
      <c r="F83" s="136" t="str">
        <f t="shared" si="3"/>
        <v xml:space="preserve">KNITTED </v>
      </c>
      <c r="G83" s="136"/>
      <c r="H83" s="136"/>
      <c r="I83" s="136"/>
      <c r="J83" s="139">
        <f>M83*12</f>
        <v>2.2251499999999997</v>
      </c>
      <c r="K83" s="139"/>
      <c r="L83" s="139"/>
      <c r="M83" s="165">
        <v>0.18542916666666664</v>
      </c>
      <c r="N83" s="165">
        <v>0.18542916666666664</v>
      </c>
      <c r="O83" s="165">
        <v>0.18542916666666664</v>
      </c>
      <c r="P83" s="131">
        <f t="shared" si="9"/>
        <v>0</v>
      </c>
      <c r="Q83" s="131"/>
      <c r="R83" s="131"/>
      <c r="S83" s="131"/>
      <c r="T83" s="131"/>
      <c r="U83" s="161">
        <f t="shared" si="6"/>
        <v>0</v>
      </c>
      <c r="V83" s="161"/>
      <c r="W83" s="161"/>
      <c r="X83" s="161"/>
      <c r="Y83" s="161"/>
    </row>
    <row r="84" spans="1:25" ht="23.25" hidden="1" customHeight="1" x14ac:dyDescent="0.25">
      <c r="A84" s="150" t="e">
        <f>#REF!</f>
        <v>#REF!</v>
      </c>
      <c r="B84" s="151" t="s">
        <v>82</v>
      </c>
      <c r="C84" s="151" t="e">
        <f>#REF!</f>
        <v>#REF!</v>
      </c>
      <c r="D84" s="151" t="s">
        <v>90</v>
      </c>
      <c r="E84" s="135" t="s">
        <v>90</v>
      </c>
      <c r="F84" s="136" t="str">
        <f t="shared" si="3"/>
        <v xml:space="preserve">KNITTED </v>
      </c>
      <c r="G84" s="136"/>
      <c r="H84" s="136"/>
      <c r="I84" s="136"/>
      <c r="J84" s="167">
        <f>M84*12</f>
        <v>0</v>
      </c>
      <c r="K84" s="168"/>
      <c r="L84" s="169"/>
      <c r="M84" s="171"/>
      <c r="N84" s="171"/>
      <c r="O84" s="171"/>
      <c r="P84" s="131">
        <f t="shared" si="9"/>
        <v>39062.400000000001</v>
      </c>
      <c r="Q84" s="131"/>
      <c r="R84" s="131"/>
      <c r="S84" s="131"/>
      <c r="T84" s="131"/>
      <c r="U84" s="161">
        <f t="shared" si="6"/>
        <v>0</v>
      </c>
      <c r="V84" s="161"/>
      <c r="W84" s="161"/>
      <c r="X84" s="161"/>
      <c r="Y84" s="161"/>
    </row>
    <row r="85" spans="1:25" ht="23.25" hidden="1" customHeight="1" x14ac:dyDescent="0.25">
      <c r="A85" s="150" t="e">
        <f>#REF!</f>
        <v>#REF!</v>
      </c>
      <c r="B85" s="151" t="s">
        <v>82</v>
      </c>
      <c r="C85" s="151" t="e">
        <f>#REF!</f>
        <v>#REF!</v>
      </c>
      <c r="D85" s="151" t="s">
        <v>90</v>
      </c>
      <c r="E85" s="135" t="s">
        <v>90</v>
      </c>
      <c r="F85" s="136" t="str">
        <f t="shared" si="3"/>
        <v xml:space="preserve">KNITTED </v>
      </c>
      <c r="G85" s="136"/>
      <c r="H85" s="136"/>
      <c r="I85" s="136"/>
      <c r="J85" s="139">
        <f>M85*12</f>
        <v>0</v>
      </c>
      <c r="K85" s="139"/>
      <c r="L85" s="139"/>
      <c r="M85" s="171"/>
      <c r="N85" s="171"/>
      <c r="O85" s="171"/>
      <c r="P85" s="131">
        <f t="shared" si="9"/>
        <v>1580.8000000000002</v>
      </c>
      <c r="Q85" s="131"/>
      <c r="R85" s="131"/>
      <c r="S85" s="131"/>
      <c r="T85" s="131"/>
      <c r="U85" s="161">
        <f t="shared" si="6"/>
        <v>0</v>
      </c>
      <c r="V85" s="161"/>
      <c r="W85" s="161"/>
      <c r="X85" s="161"/>
      <c r="Y85" s="161"/>
    </row>
    <row r="86" spans="1:25" ht="9.9499999999999993" customHeigh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34"/>
      <c r="K86" s="34"/>
      <c r="L86" s="34"/>
      <c r="M86" s="35"/>
      <c r="N86" s="35"/>
      <c r="O86" s="35"/>
      <c r="P86" s="32"/>
      <c r="Q86" s="32"/>
      <c r="R86" s="32"/>
      <c r="S86" s="32"/>
      <c r="T86" s="32"/>
      <c r="U86" s="35"/>
      <c r="V86" s="35"/>
      <c r="W86" s="35"/>
      <c r="X86" s="35"/>
      <c r="Y86" s="35"/>
    </row>
    <row r="87" spans="1:25" ht="23.25" x14ac:dyDescent="0.65">
      <c r="A87" s="3" t="s">
        <v>106</v>
      </c>
      <c r="B87" s="25"/>
      <c r="C87" s="25"/>
      <c r="D87" s="25"/>
      <c r="E87" s="25"/>
      <c r="F87" s="2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20.100000000000001" customHeight="1" x14ac:dyDescent="0.65">
      <c r="A88" s="36"/>
      <c r="B88" s="4" t="s">
        <v>107</v>
      </c>
      <c r="C88" s="25"/>
      <c r="D88" s="25"/>
      <c r="E88" s="25"/>
      <c r="F88" s="2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20.100000000000001" customHeight="1" x14ac:dyDescent="0.65">
      <c r="A89" s="4" t="s">
        <v>108</v>
      </c>
      <c r="B89" s="25"/>
      <c r="C89" s="25"/>
      <c r="D89" s="25"/>
      <c r="E89" s="25"/>
      <c r="F89" s="2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23.25" x14ac:dyDescent="0.65">
      <c r="A90" s="36"/>
      <c r="B90" s="3" t="s">
        <v>109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23.25" x14ac:dyDescent="0.65">
      <c r="A91" s="4" t="s">
        <v>150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23.25" x14ac:dyDescent="0.65">
      <c r="A92" s="3"/>
      <c r="B92" s="3" t="s">
        <v>110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1.95" customHeight="1" x14ac:dyDescent="0.65">
      <c r="A93" s="37" t="s">
        <v>111</v>
      </c>
      <c r="B93" s="38"/>
      <c r="C93" s="38"/>
      <c r="D93" s="38"/>
      <c r="E93" s="38"/>
      <c r="F93" s="38"/>
      <c r="G93" s="37"/>
      <c r="H93" s="3"/>
      <c r="I93" s="3"/>
      <c r="J93" s="3"/>
      <c r="K93" s="3"/>
      <c r="L93" s="3"/>
      <c r="M93" s="3"/>
      <c r="N93" s="3"/>
      <c r="O93" s="3"/>
      <c r="P93" s="176" t="s">
        <v>112</v>
      </c>
      <c r="Q93" s="176"/>
      <c r="R93" s="176"/>
      <c r="S93" s="176"/>
      <c r="T93" s="176"/>
      <c r="U93" s="176"/>
      <c r="V93" s="176"/>
      <c r="W93" s="176"/>
      <c r="X93" s="176"/>
      <c r="Y93" s="176"/>
    </row>
    <row r="94" spans="1:25" ht="21.95" customHeight="1" x14ac:dyDescent="0.65">
      <c r="A94" s="176" t="s">
        <v>113</v>
      </c>
      <c r="B94" s="176"/>
      <c r="C94" s="176"/>
      <c r="D94" s="176"/>
      <c r="E94" s="176"/>
      <c r="F94" s="176"/>
      <c r="G94" s="176"/>
      <c r="H94" s="3"/>
      <c r="I94" s="3"/>
      <c r="J94" s="3"/>
      <c r="K94" s="3"/>
      <c r="L94" s="3"/>
      <c r="M94" s="3"/>
      <c r="N94" s="3"/>
      <c r="O94" s="3"/>
      <c r="P94" s="176" t="s">
        <v>114</v>
      </c>
      <c r="Q94" s="176"/>
      <c r="R94" s="176"/>
      <c r="S94" s="176"/>
      <c r="T94" s="176"/>
      <c r="U94" s="176"/>
      <c r="V94" s="176"/>
      <c r="W94" s="176"/>
      <c r="X94" s="176"/>
      <c r="Y94" s="176"/>
    </row>
    <row r="95" spans="1:25" ht="21.95" customHeight="1" x14ac:dyDescent="0.65">
      <c r="A95" s="176" t="s">
        <v>115</v>
      </c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</row>
    <row r="96" spans="1:25" ht="21.95" customHeight="1" x14ac:dyDescent="0.25">
      <c r="A96" s="177" t="s">
        <v>116</v>
      </c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</row>
    <row r="97" spans="1:25" ht="21" x14ac:dyDescent="0.6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</row>
    <row r="98" spans="1:25" ht="21" x14ac:dyDescent="0.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5" ht="21" x14ac:dyDescent="0.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5" ht="23.25" x14ac:dyDescent="0.65">
      <c r="A100" s="219" t="s">
        <v>148</v>
      </c>
      <c r="B100" s="219"/>
      <c r="C100" s="219"/>
      <c r="D100" s="219"/>
      <c r="E100" s="219"/>
      <c r="F100" s="21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25.5" x14ac:dyDescent="0.7">
      <c r="A101" s="40"/>
      <c r="B101" s="40"/>
      <c r="C101" s="40"/>
      <c r="D101" s="40"/>
      <c r="E101" s="40"/>
      <c r="F101" s="4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25.5" x14ac:dyDescent="0.7">
      <c r="A102" s="40"/>
      <c r="B102" s="40"/>
      <c r="C102" s="40"/>
      <c r="D102" s="40"/>
      <c r="E102" s="40"/>
      <c r="F102" s="40"/>
      <c r="G102" s="3"/>
      <c r="H102" s="3"/>
      <c r="I102" s="3"/>
      <c r="J102" s="3"/>
      <c r="K102" s="220" t="s">
        <v>131</v>
      </c>
      <c r="L102" s="220"/>
      <c r="M102" s="220"/>
      <c r="N102" s="220"/>
      <c r="O102" s="220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9.25" x14ac:dyDescent="0.8">
      <c r="A103" s="41"/>
      <c r="B103" s="41"/>
      <c r="C103" s="41"/>
      <c r="D103" s="41"/>
      <c r="E103" s="41"/>
      <c r="F103" s="41"/>
      <c r="G103" s="41"/>
      <c r="H103" s="41"/>
      <c r="I103" s="41"/>
      <c r="J103" s="175"/>
      <c r="K103" s="175"/>
      <c r="L103" s="175"/>
      <c r="M103" s="175"/>
      <c r="N103" s="175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</sheetData>
  <mergeCells count="318">
    <mergeCell ref="A6:Y6"/>
    <mergeCell ref="A7:Y7"/>
    <mergeCell ref="A1:Y1"/>
    <mergeCell ref="A2:Y2"/>
    <mergeCell ref="A3:H3"/>
    <mergeCell ref="A4:H4"/>
    <mergeCell ref="A5:H5"/>
    <mergeCell ref="A8:Y8"/>
    <mergeCell ref="P13:S13"/>
    <mergeCell ref="P14:S14"/>
    <mergeCell ref="I16:J16"/>
    <mergeCell ref="L16:M16"/>
    <mergeCell ref="O16:P16"/>
    <mergeCell ref="R16:S16"/>
    <mergeCell ref="V16:W16"/>
    <mergeCell ref="I19:J19"/>
    <mergeCell ref="N37:O37"/>
    <mergeCell ref="V37:W37"/>
    <mergeCell ref="I17:J17"/>
    <mergeCell ref="L17:M17"/>
    <mergeCell ref="O17:P17"/>
    <mergeCell ref="R17:S17"/>
    <mergeCell ref="V17:W17"/>
    <mergeCell ref="I18:J18"/>
    <mergeCell ref="L18:M18"/>
    <mergeCell ref="O18:P18"/>
    <mergeCell ref="R18:S18"/>
    <mergeCell ref="V18:W18"/>
    <mergeCell ref="L19:M19"/>
    <mergeCell ref="O19:P19"/>
    <mergeCell ref="R19:S19"/>
    <mergeCell ref="V19:W19"/>
    <mergeCell ref="I20:J20"/>
    <mergeCell ref="O20:P20"/>
    <mergeCell ref="V20:W20"/>
    <mergeCell ref="G27:I27"/>
    <mergeCell ref="I21:J21"/>
    <mergeCell ref="G22:I22"/>
    <mergeCell ref="G23:I23"/>
    <mergeCell ref="G24:I24"/>
    <mergeCell ref="G25:I25"/>
    <mergeCell ref="G26:I26"/>
    <mergeCell ref="U28:Y28"/>
    <mergeCell ref="N29:R29"/>
    <mergeCell ref="N36:O36"/>
    <mergeCell ref="V36:W36"/>
    <mergeCell ref="N40:O40"/>
    <mergeCell ref="V40:W40"/>
    <mergeCell ref="N41:O41"/>
    <mergeCell ref="S41:U41"/>
    <mergeCell ref="V41:W41"/>
    <mergeCell ref="N38:O38"/>
    <mergeCell ref="V38:W38"/>
    <mergeCell ref="N39:O39"/>
    <mergeCell ref="V39:W39"/>
    <mergeCell ref="A44:E45"/>
    <mergeCell ref="F44:I45"/>
    <mergeCell ref="J44:O44"/>
    <mergeCell ref="P44:T45"/>
    <mergeCell ref="U44:Y45"/>
    <mergeCell ref="J45:O45"/>
    <mergeCell ref="A46:E47"/>
    <mergeCell ref="F46:I47"/>
    <mergeCell ref="J46:L46"/>
    <mergeCell ref="M46:O46"/>
    <mergeCell ref="P46:T47"/>
    <mergeCell ref="U46:Y47"/>
    <mergeCell ref="J47:L47"/>
    <mergeCell ref="M47:O47"/>
    <mergeCell ref="F48:I48"/>
    <mergeCell ref="J48:L48"/>
    <mergeCell ref="M48:O48"/>
    <mergeCell ref="P48:T48"/>
    <mergeCell ref="U50:Y50"/>
    <mergeCell ref="A50:B50"/>
    <mergeCell ref="C50:E50"/>
    <mergeCell ref="F50:I50"/>
    <mergeCell ref="J50:L50"/>
    <mergeCell ref="M50:O50"/>
    <mergeCell ref="U48:Y48"/>
    <mergeCell ref="A49:B49"/>
    <mergeCell ref="C49:E49"/>
    <mergeCell ref="F49:I49"/>
    <mergeCell ref="J49:L49"/>
    <mergeCell ref="M49:O49"/>
    <mergeCell ref="P49:T49"/>
    <mergeCell ref="U49:Y49"/>
    <mergeCell ref="A48:B48"/>
    <mergeCell ref="C48:E48"/>
    <mergeCell ref="P50:T50"/>
    <mergeCell ref="U52:Y52"/>
    <mergeCell ref="A52:B52"/>
    <mergeCell ref="C52:E52"/>
    <mergeCell ref="F52:I52"/>
    <mergeCell ref="J52:L52"/>
    <mergeCell ref="M52:O52"/>
    <mergeCell ref="P52:T52"/>
    <mergeCell ref="U51:Y51"/>
    <mergeCell ref="U53:Y53"/>
    <mergeCell ref="A51:B51"/>
    <mergeCell ref="C51:E51"/>
    <mergeCell ref="F51:I51"/>
    <mergeCell ref="J51:L51"/>
    <mergeCell ref="M51:O51"/>
    <mergeCell ref="P51:T51"/>
    <mergeCell ref="A53:B53"/>
    <mergeCell ref="C53:E53"/>
    <mergeCell ref="F53:I53"/>
    <mergeCell ref="J53:L53"/>
    <mergeCell ref="M53:O53"/>
    <mergeCell ref="P53:T53"/>
    <mergeCell ref="F54:I54"/>
    <mergeCell ref="J54:L54"/>
    <mergeCell ref="M54:O54"/>
    <mergeCell ref="P54:T54"/>
    <mergeCell ref="U56:Y56"/>
    <mergeCell ref="A57:B57"/>
    <mergeCell ref="C57:E57"/>
    <mergeCell ref="F57:I57"/>
    <mergeCell ref="J57:L57"/>
    <mergeCell ref="M57:O57"/>
    <mergeCell ref="U54:Y54"/>
    <mergeCell ref="A55:B55"/>
    <mergeCell ref="C55:E55"/>
    <mergeCell ref="F55:I55"/>
    <mergeCell ref="J55:L55"/>
    <mergeCell ref="M55:O55"/>
    <mergeCell ref="P55:T55"/>
    <mergeCell ref="U55:Y55"/>
    <mergeCell ref="A54:B54"/>
    <mergeCell ref="C54:E54"/>
    <mergeCell ref="A56:B56"/>
    <mergeCell ref="C56:E56"/>
    <mergeCell ref="F56:I56"/>
    <mergeCell ref="J56:L56"/>
    <mergeCell ref="M56:O56"/>
    <mergeCell ref="P56:T56"/>
    <mergeCell ref="J58:L58"/>
    <mergeCell ref="M58:O58"/>
    <mergeCell ref="P58:T58"/>
    <mergeCell ref="A63:E64"/>
    <mergeCell ref="F63:I64"/>
    <mergeCell ref="J63:L63"/>
    <mergeCell ref="M63:O63"/>
    <mergeCell ref="P63:T64"/>
    <mergeCell ref="U63:Y64"/>
    <mergeCell ref="J64:L64"/>
    <mergeCell ref="M64:O64"/>
    <mergeCell ref="P57:T57"/>
    <mergeCell ref="U57:Y57"/>
    <mergeCell ref="U58:Y58"/>
    <mergeCell ref="A61:E62"/>
    <mergeCell ref="F61:I62"/>
    <mergeCell ref="J61:O61"/>
    <mergeCell ref="P61:T62"/>
    <mergeCell ref="U61:Y62"/>
    <mergeCell ref="J62:O62"/>
    <mergeCell ref="A58:B58"/>
    <mergeCell ref="C58:E58"/>
    <mergeCell ref="F58:I58"/>
    <mergeCell ref="P68:T68"/>
    <mergeCell ref="U68:Y68"/>
    <mergeCell ref="A67:B67"/>
    <mergeCell ref="C67:E67"/>
    <mergeCell ref="U66:Y66"/>
    <mergeCell ref="A65:B65"/>
    <mergeCell ref="C65:E65"/>
    <mergeCell ref="F65:I65"/>
    <mergeCell ref="J65:L65"/>
    <mergeCell ref="M65:O65"/>
    <mergeCell ref="P65:T65"/>
    <mergeCell ref="U65:Y65"/>
    <mergeCell ref="A66:B66"/>
    <mergeCell ref="C66:E66"/>
    <mergeCell ref="F66:I66"/>
    <mergeCell ref="J66:L66"/>
    <mergeCell ref="M66:O66"/>
    <mergeCell ref="P66:T66"/>
    <mergeCell ref="P70:T70"/>
    <mergeCell ref="U70:Y70"/>
    <mergeCell ref="A69:B69"/>
    <mergeCell ref="C69:E69"/>
    <mergeCell ref="F69:I69"/>
    <mergeCell ref="J69:L69"/>
    <mergeCell ref="M69:O69"/>
    <mergeCell ref="P69:T69"/>
    <mergeCell ref="F67:I67"/>
    <mergeCell ref="J67:L67"/>
    <mergeCell ref="M67:O67"/>
    <mergeCell ref="P67:T67"/>
    <mergeCell ref="U69:Y69"/>
    <mergeCell ref="A70:B70"/>
    <mergeCell ref="C70:E70"/>
    <mergeCell ref="F70:I70"/>
    <mergeCell ref="J70:L70"/>
    <mergeCell ref="M70:O70"/>
    <mergeCell ref="U67:Y67"/>
    <mergeCell ref="A68:B68"/>
    <mergeCell ref="C68:E68"/>
    <mergeCell ref="F68:I68"/>
    <mergeCell ref="J68:L68"/>
    <mergeCell ref="M68:O68"/>
    <mergeCell ref="F71:I71"/>
    <mergeCell ref="J71:L71"/>
    <mergeCell ref="M71:O71"/>
    <mergeCell ref="P71:T71"/>
    <mergeCell ref="U73:Y73"/>
    <mergeCell ref="A74:B74"/>
    <mergeCell ref="C74:E74"/>
    <mergeCell ref="F74:I74"/>
    <mergeCell ref="J74:L74"/>
    <mergeCell ref="M74:O74"/>
    <mergeCell ref="U71:Y71"/>
    <mergeCell ref="A72:B72"/>
    <mergeCell ref="C72:E72"/>
    <mergeCell ref="F72:I72"/>
    <mergeCell ref="J72:L72"/>
    <mergeCell ref="M72:O72"/>
    <mergeCell ref="P72:T72"/>
    <mergeCell ref="U72:Y72"/>
    <mergeCell ref="A71:B71"/>
    <mergeCell ref="C71:E71"/>
    <mergeCell ref="P76:T76"/>
    <mergeCell ref="U76:Y76"/>
    <mergeCell ref="A75:B75"/>
    <mergeCell ref="C75:E75"/>
    <mergeCell ref="P74:T74"/>
    <mergeCell ref="U74:Y74"/>
    <mergeCell ref="A73:B73"/>
    <mergeCell ref="C73:E73"/>
    <mergeCell ref="F73:I73"/>
    <mergeCell ref="J73:L73"/>
    <mergeCell ref="M73:O73"/>
    <mergeCell ref="P73:T73"/>
    <mergeCell ref="P78:T78"/>
    <mergeCell ref="U78:Y78"/>
    <mergeCell ref="A77:B77"/>
    <mergeCell ref="C77:E77"/>
    <mergeCell ref="F77:I77"/>
    <mergeCell ref="J77:L77"/>
    <mergeCell ref="M77:O77"/>
    <mergeCell ref="P77:T77"/>
    <mergeCell ref="F75:I75"/>
    <mergeCell ref="J75:L75"/>
    <mergeCell ref="M75:O75"/>
    <mergeCell ref="P75:T75"/>
    <mergeCell ref="U77:Y77"/>
    <mergeCell ref="A78:B78"/>
    <mergeCell ref="C78:E78"/>
    <mergeCell ref="F78:I78"/>
    <mergeCell ref="J78:L78"/>
    <mergeCell ref="M78:O78"/>
    <mergeCell ref="U75:Y75"/>
    <mergeCell ref="A76:B76"/>
    <mergeCell ref="C76:E76"/>
    <mergeCell ref="F76:I76"/>
    <mergeCell ref="J76:L76"/>
    <mergeCell ref="M76:O76"/>
    <mergeCell ref="U82:Y82"/>
    <mergeCell ref="U83:Y83"/>
    <mergeCell ref="U79:Y79"/>
    <mergeCell ref="A80:B80"/>
    <mergeCell ref="C80:E80"/>
    <mergeCell ref="F80:I80"/>
    <mergeCell ref="J80:L80"/>
    <mergeCell ref="M80:O80"/>
    <mergeCell ref="P80:T80"/>
    <mergeCell ref="U80:Y80"/>
    <mergeCell ref="A79:B79"/>
    <mergeCell ref="C79:E79"/>
    <mergeCell ref="F83:I83"/>
    <mergeCell ref="J83:L83"/>
    <mergeCell ref="M83:O83"/>
    <mergeCell ref="P83:T83"/>
    <mergeCell ref="F79:I79"/>
    <mergeCell ref="J79:L79"/>
    <mergeCell ref="M79:O79"/>
    <mergeCell ref="P79:T79"/>
    <mergeCell ref="C83:E83"/>
    <mergeCell ref="Z46:AA46"/>
    <mergeCell ref="A97:Y97"/>
    <mergeCell ref="A100:F100"/>
    <mergeCell ref="K102:O102"/>
    <mergeCell ref="J103:N103"/>
    <mergeCell ref="U59:Y59"/>
    <mergeCell ref="U85:Y85"/>
    <mergeCell ref="P93:Y93"/>
    <mergeCell ref="A94:G94"/>
    <mergeCell ref="P94:Y94"/>
    <mergeCell ref="A81:B81"/>
    <mergeCell ref="C81:E81"/>
    <mergeCell ref="F81:I81"/>
    <mergeCell ref="J81:L81"/>
    <mergeCell ref="M81:O81"/>
    <mergeCell ref="P81:T81"/>
    <mergeCell ref="A82:B82"/>
    <mergeCell ref="C82:E82"/>
    <mergeCell ref="F82:I82"/>
    <mergeCell ref="J82:L82"/>
    <mergeCell ref="M82:O82"/>
    <mergeCell ref="P82:T82"/>
    <mergeCell ref="A83:B83"/>
    <mergeCell ref="U81:Y81"/>
    <mergeCell ref="A84:B84"/>
    <mergeCell ref="C84:E84"/>
    <mergeCell ref="F84:I84"/>
    <mergeCell ref="J84:L84"/>
    <mergeCell ref="M84:O84"/>
    <mergeCell ref="A95:Y95"/>
    <mergeCell ref="A96:Y96"/>
    <mergeCell ref="A85:B85"/>
    <mergeCell ref="C85:E85"/>
    <mergeCell ref="F85:I85"/>
    <mergeCell ref="J85:L85"/>
    <mergeCell ref="M85:O85"/>
    <mergeCell ref="P85:T85"/>
    <mergeCell ref="U84:Y84"/>
    <mergeCell ref="P84:T84"/>
  </mergeCells>
  <conditionalFormatting sqref="AB15:AE19">
    <cfRule type="uniqueValues" dxfId="7" priority="1"/>
  </conditionalFormatting>
  <conditionalFormatting sqref="AF49:AH58 AH48 AF45:AG45">
    <cfRule type="duplicateValues" dxfId="6" priority="2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1" max="2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"/>
  <sheetViews>
    <sheetView view="pageBreakPreview" topLeftCell="A21" zoomScaleNormal="100" zoomScaleSheetLayoutView="100" workbookViewId="0">
      <selection activeCell="I77" sqref="I77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4" style="2" customWidth="1"/>
    <col min="27" max="27" width="16.28515625" style="2" customWidth="1"/>
    <col min="28" max="28" width="14.5703125" style="2" customWidth="1"/>
    <col min="29" max="30" width="13.85546875" style="2" customWidth="1"/>
    <col min="31" max="31" width="15" style="2" customWidth="1"/>
    <col min="32" max="34" width="9.140625" style="2"/>
    <col min="35" max="35" width="10.5703125" style="2" bestFit="1" customWidth="1"/>
    <col min="36" max="16384" width="9.140625" style="2"/>
  </cols>
  <sheetData>
    <row r="1" spans="1:31" ht="29.25" x14ac:dyDescent="0.8">
      <c r="A1" s="239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</row>
    <row r="2" spans="1:31" ht="29.25" x14ac:dyDescent="0.8">
      <c r="A2" s="239" t="s">
        <v>1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</row>
    <row r="3" spans="1:31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31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31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31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31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31" ht="23.25" customHeight="1" x14ac:dyDescent="0.25">
      <c r="A8" s="105" t="s">
        <v>147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31" ht="21.95" customHeight="1" x14ac:dyDescent="0.25">
      <c r="A9" s="5" t="s">
        <v>141</v>
      </c>
      <c r="B9" s="7"/>
      <c r="C9" s="7"/>
      <c r="D9" s="7"/>
      <c r="E9" s="7"/>
      <c r="F9" s="79" t="s">
        <v>117</v>
      </c>
      <c r="G9" s="79"/>
      <c r="H9" s="79"/>
      <c r="I9" s="79"/>
      <c r="J9" s="79"/>
      <c r="K9" s="79"/>
      <c r="L9" s="7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1" ht="21.95" customHeight="1" x14ac:dyDescent="0.25">
      <c r="A10" s="7"/>
      <c r="B10" s="7" t="s">
        <v>9</v>
      </c>
      <c r="C10" s="7"/>
      <c r="D10" s="7"/>
      <c r="E10" s="7"/>
      <c r="F10" s="79" t="s">
        <v>118</v>
      </c>
      <c r="G10" s="79"/>
      <c r="H10" s="79"/>
      <c r="I10" s="79"/>
      <c r="J10" s="79"/>
      <c r="K10" s="79"/>
      <c r="L10" s="7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31" ht="21.95" customHeight="1" x14ac:dyDescent="0.25">
      <c r="A11" s="7"/>
      <c r="B11" s="7"/>
      <c r="C11" s="7"/>
      <c r="D11" s="7"/>
      <c r="E11" s="7"/>
      <c r="F11" s="84" t="s">
        <v>119</v>
      </c>
      <c r="G11" s="79"/>
      <c r="H11" s="79"/>
      <c r="I11" s="79"/>
      <c r="J11" s="79"/>
      <c r="K11" s="79"/>
      <c r="L11" s="7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31" ht="21.95" customHeight="1" x14ac:dyDescent="0.25">
      <c r="A12" s="7" t="s">
        <v>10</v>
      </c>
      <c r="B12" s="7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31" ht="21.95" customHeight="1" x14ac:dyDescent="0.25">
      <c r="A13" s="7" t="s">
        <v>140</v>
      </c>
      <c r="B13" s="7"/>
      <c r="C13" s="7"/>
      <c r="D13" s="7"/>
      <c r="E13" s="7"/>
      <c r="F13" s="7"/>
      <c r="G13" s="7"/>
      <c r="H13" s="79" t="s">
        <v>121</v>
      </c>
      <c r="I13" s="79"/>
      <c r="J13" s="79"/>
      <c r="K13" s="79"/>
      <c r="L13" s="79"/>
      <c r="M13" s="79"/>
      <c r="N13" s="79"/>
      <c r="O13" s="79" t="s">
        <v>12</v>
      </c>
      <c r="P13" s="197">
        <v>46014</v>
      </c>
      <c r="Q13" s="197"/>
      <c r="R13" s="197"/>
      <c r="S13" s="197"/>
      <c r="T13" s="7"/>
      <c r="U13" s="7"/>
      <c r="V13" s="7"/>
      <c r="W13" s="7"/>
      <c r="X13" s="7"/>
      <c r="Y13" s="7"/>
    </row>
    <row r="14" spans="1:31" ht="21.95" customHeight="1" x14ac:dyDescent="0.65">
      <c r="A14" s="7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</row>
    <row r="15" spans="1:31" ht="21.95" customHeight="1" x14ac:dyDescent="0.65">
      <c r="A15" s="7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AB15" s="64"/>
      <c r="AE15" s="63"/>
    </row>
    <row r="16" spans="1:31" ht="21" customHeight="1" x14ac:dyDescent="0.25">
      <c r="A16" s="7"/>
      <c r="B16" s="7" t="s">
        <v>15</v>
      </c>
      <c r="C16" s="7"/>
      <c r="D16" s="7"/>
      <c r="E16" s="7"/>
      <c r="F16" s="7" t="s">
        <v>14</v>
      </c>
      <c r="G16" s="5"/>
      <c r="H16" s="7" t="s">
        <v>16</v>
      </c>
      <c r="I16" s="105">
        <v>1</v>
      </c>
      <c r="J16" s="105"/>
      <c r="K16" s="7" t="s">
        <v>17</v>
      </c>
      <c r="L16" s="105"/>
      <c r="M16" s="105"/>
      <c r="N16" s="7" t="s">
        <v>18</v>
      </c>
      <c r="O16" s="105">
        <v>2</v>
      </c>
      <c r="P16" s="105"/>
      <c r="Q16" s="7" t="s">
        <v>17</v>
      </c>
      <c r="R16" s="105"/>
      <c r="S16" s="105"/>
      <c r="T16" s="7" t="s">
        <v>19</v>
      </c>
      <c r="U16" s="7"/>
      <c r="V16" s="109">
        <f>O16+I16</f>
        <v>3</v>
      </c>
      <c r="W16" s="109"/>
      <c r="X16" s="7" t="s">
        <v>17</v>
      </c>
      <c r="Y16" s="7"/>
      <c r="AB16" s="64"/>
      <c r="AE16" s="63"/>
    </row>
    <row r="17" spans="1:31" ht="21" customHeight="1" x14ac:dyDescent="0.25">
      <c r="A17" s="7"/>
      <c r="B17" s="7" t="s">
        <v>20</v>
      </c>
      <c r="C17" s="7"/>
      <c r="D17" s="7"/>
      <c r="E17" s="7"/>
      <c r="F17" s="7" t="s">
        <v>14</v>
      </c>
      <c r="G17" s="7"/>
      <c r="H17" s="7" t="s">
        <v>16</v>
      </c>
      <c r="I17" s="105">
        <v>2</v>
      </c>
      <c r="J17" s="105"/>
      <c r="K17" s="7" t="s">
        <v>17</v>
      </c>
      <c r="L17" s="105"/>
      <c r="M17" s="105"/>
      <c r="N17" s="7" t="s">
        <v>18</v>
      </c>
      <c r="O17" s="105">
        <v>2</v>
      </c>
      <c r="P17" s="105"/>
      <c r="Q17" s="7" t="s">
        <v>17</v>
      </c>
      <c r="R17" s="105"/>
      <c r="S17" s="105"/>
      <c r="T17" s="7" t="s">
        <v>19</v>
      </c>
      <c r="U17" s="7"/>
      <c r="V17" s="109">
        <f>O17+I17</f>
        <v>4</v>
      </c>
      <c r="W17" s="109"/>
      <c r="X17" s="7" t="s">
        <v>17</v>
      </c>
      <c r="Y17" s="7"/>
      <c r="AB17" s="64"/>
      <c r="AE17" s="63"/>
    </row>
    <row r="18" spans="1:31" ht="21" customHeight="1" x14ac:dyDescent="0.25">
      <c r="A18" s="7"/>
      <c r="B18" s="7" t="s">
        <v>21</v>
      </c>
      <c r="C18" s="7"/>
      <c r="D18" s="7"/>
      <c r="E18" s="7"/>
      <c r="F18" s="7" t="s">
        <v>14</v>
      </c>
      <c r="G18" s="7"/>
      <c r="H18" s="7" t="s">
        <v>16</v>
      </c>
      <c r="I18" s="105">
        <v>36</v>
      </c>
      <c r="J18" s="105"/>
      <c r="K18" s="7" t="s">
        <v>17</v>
      </c>
      <c r="L18" s="105"/>
      <c r="M18" s="105"/>
      <c r="N18" s="7" t="s">
        <v>18</v>
      </c>
      <c r="O18" s="105">
        <v>88</v>
      </c>
      <c r="P18" s="105"/>
      <c r="Q18" s="7" t="s">
        <v>17</v>
      </c>
      <c r="R18" s="105"/>
      <c r="S18" s="105"/>
      <c r="T18" s="7" t="s">
        <v>19</v>
      </c>
      <c r="U18" s="7"/>
      <c r="V18" s="109">
        <f>O18+I18</f>
        <v>124</v>
      </c>
      <c r="W18" s="109"/>
      <c r="X18" s="7" t="s">
        <v>17</v>
      </c>
      <c r="Y18" s="7"/>
      <c r="AB18" s="64"/>
      <c r="AE18" s="63"/>
    </row>
    <row r="19" spans="1:31" ht="21" customHeight="1" x14ac:dyDescent="0.25">
      <c r="A19" s="7"/>
      <c r="B19" s="19" t="s">
        <v>22</v>
      </c>
      <c r="C19" s="7"/>
      <c r="D19" s="7"/>
      <c r="E19" s="7"/>
      <c r="F19" s="7" t="s">
        <v>14</v>
      </c>
      <c r="G19" s="7"/>
      <c r="H19" s="7" t="s">
        <v>16</v>
      </c>
      <c r="I19" s="105">
        <v>20</v>
      </c>
      <c r="J19" s="105"/>
      <c r="K19" s="7" t="s">
        <v>17</v>
      </c>
      <c r="L19" s="105"/>
      <c r="M19" s="105"/>
      <c r="N19" s="7" t="s">
        <v>18</v>
      </c>
      <c r="O19" s="105">
        <v>25</v>
      </c>
      <c r="P19" s="105"/>
      <c r="Q19" s="7" t="s">
        <v>17</v>
      </c>
      <c r="R19" s="105"/>
      <c r="S19" s="105"/>
      <c r="T19" s="7" t="s">
        <v>19</v>
      </c>
      <c r="U19" s="7"/>
      <c r="V19" s="109">
        <f>O19+I19</f>
        <v>45</v>
      </c>
      <c r="W19" s="109"/>
      <c r="X19" s="7" t="s">
        <v>17</v>
      </c>
      <c r="Y19" s="7"/>
      <c r="Z19" s="12">
        <f>V16+V17+V18+V19</f>
        <v>176</v>
      </c>
      <c r="AB19" s="64"/>
      <c r="AE19" s="63"/>
    </row>
    <row r="20" spans="1:31" ht="21" customHeight="1" x14ac:dyDescent="0.25">
      <c r="A20" s="7"/>
      <c r="B20" s="19" t="s">
        <v>23</v>
      </c>
      <c r="C20" s="7"/>
      <c r="D20" s="7"/>
      <c r="E20" s="7"/>
      <c r="F20" s="7" t="s">
        <v>14</v>
      </c>
      <c r="G20" s="7"/>
      <c r="H20" s="7" t="s">
        <v>16</v>
      </c>
      <c r="I20" s="105">
        <f>I18+I19</f>
        <v>56</v>
      </c>
      <c r="J20" s="105"/>
      <c r="K20" s="7" t="s">
        <v>17</v>
      </c>
      <c r="L20" s="29"/>
      <c r="M20" s="29"/>
      <c r="N20" s="7" t="s">
        <v>18</v>
      </c>
      <c r="O20" s="105">
        <f>O18+O19</f>
        <v>113</v>
      </c>
      <c r="P20" s="105"/>
      <c r="Q20" s="7" t="s">
        <v>17</v>
      </c>
      <c r="R20" s="29"/>
      <c r="S20" s="29"/>
      <c r="T20" s="7" t="s">
        <v>19</v>
      </c>
      <c r="U20" s="7"/>
      <c r="V20" s="109">
        <f>V18+V19</f>
        <v>169</v>
      </c>
      <c r="W20" s="109"/>
      <c r="X20" s="7" t="s">
        <v>17</v>
      </c>
      <c r="Y20" s="7"/>
      <c r="AB20" s="63"/>
      <c r="AE20" s="63"/>
    </row>
    <row r="21" spans="1:31" ht="21.95" customHeight="1" x14ac:dyDescent="0.25">
      <c r="A21" s="7" t="s">
        <v>24</v>
      </c>
      <c r="B21" s="7"/>
      <c r="C21" s="7"/>
      <c r="D21" s="7"/>
      <c r="E21" s="7"/>
      <c r="F21" s="7" t="s">
        <v>14</v>
      </c>
      <c r="G21" s="7"/>
      <c r="H21" s="7"/>
      <c r="I21" s="237"/>
      <c r="J21" s="23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AB21" s="63"/>
      <c r="AE21" s="63"/>
    </row>
    <row r="22" spans="1:31" ht="21.95" customHeight="1" x14ac:dyDescent="0.25">
      <c r="A22" s="7"/>
      <c r="B22" s="7" t="s">
        <v>15</v>
      </c>
      <c r="C22" s="7"/>
      <c r="D22" s="7"/>
      <c r="E22" s="7"/>
      <c r="F22" s="7" t="s">
        <v>14</v>
      </c>
      <c r="G22" s="238">
        <v>4900</v>
      </c>
      <c r="H22" s="238"/>
      <c r="I22" s="238"/>
      <c r="J22" s="62"/>
      <c r="K22" s="7" t="s">
        <v>25</v>
      </c>
      <c r="L22" s="7"/>
      <c r="M22" s="62"/>
      <c r="N22" s="6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31" ht="21.95" customHeight="1" x14ac:dyDescent="0.25">
      <c r="A23" s="7"/>
      <c r="B23" s="7" t="s">
        <v>20</v>
      </c>
      <c r="C23" s="7"/>
      <c r="D23" s="7"/>
      <c r="E23" s="7"/>
      <c r="F23" s="7" t="s">
        <v>14</v>
      </c>
      <c r="G23" s="238">
        <v>3636.1970000000001</v>
      </c>
      <c r="H23" s="238"/>
      <c r="I23" s="238"/>
      <c r="J23" s="62"/>
      <c r="K23" s="7" t="s">
        <v>25</v>
      </c>
      <c r="L23" s="7"/>
      <c r="M23" s="62"/>
      <c r="N23" s="62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31" ht="21.95" customHeight="1" x14ac:dyDescent="0.25">
      <c r="A24" s="7"/>
      <c r="B24" s="7" t="s">
        <v>21</v>
      </c>
      <c r="C24" s="7"/>
      <c r="D24" s="7"/>
      <c r="E24" s="7"/>
      <c r="F24" s="7" t="s">
        <v>14</v>
      </c>
      <c r="G24" s="238">
        <v>37528.297431952597</v>
      </c>
      <c r="H24" s="238"/>
      <c r="I24" s="238"/>
      <c r="J24" s="62"/>
      <c r="K24" s="7" t="s">
        <v>25</v>
      </c>
      <c r="L24" s="7"/>
      <c r="M24" s="62"/>
      <c r="N24" s="6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31" ht="21.95" customHeight="1" x14ac:dyDescent="0.25">
      <c r="A25" s="7"/>
      <c r="B25" s="7" t="s">
        <v>22</v>
      </c>
      <c r="C25" s="7"/>
      <c r="D25" s="7"/>
      <c r="E25" s="7"/>
      <c r="F25" s="7" t="s">
        <v>14</v>
      </c>
      <c r="G25" s="238">
        <v>12966.844999999999</v>
      </c>
      <c r="H25" s="238"/>
      <c r="I25" s="238"/>
      <c r="J25" s="62"/>
      <c r="K25" s="7" t="s">
        <v>25</v>
      </c>
      <c r="L25" s="7"/>
      <c r="M25" s="62"/>
      <c r="N25" s="62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31" ht="21.6" customHeight="1" x14ac:dyDescent="0.25">
      <c r="A26" s="7"/>
      <c r="B26" s="19" t="s">
        <v>23</v>
      </c>
      <c r="C26" s="7"/>
      <c r="D26" s="7"/>
      <c r="E26" s="7"/>
      <c r="F26" s="7" t="s">
        <v>14</v>
      </c>
      <c r="G26" s="238">
        <f>G25+G24</f>
        <v>50495.142431952598</v>
      </c>
      <c r="H26" s="238"/>
      <c r="I26" s="238"/>
      <c r="J26" s="62"/>
      <c r="K26" s="7" t="s">
        <v>25</v>
      </c>
      <c r="L26" s="7"/>
      <c r="M26" s="62"/>
      <c r="N26" s="62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31" ht="21.95" customHeight="1" x14ac:dyDescent="0.65">
      <c r="A27" s="7" t="s">
        <v>26</v>
      </c>
      <c r="B27" s="3"/>
      <c r="C27" s="3"/>
      <c r="D27" s="3"/>
      <c r="E27" s="3"/>
      <c r="F27" s="3" t="s">
        <v>14</v>
      </c>
      <c r="G27" s="236"/>
      <c r="H27" s="236"/>
      <c r="I27" s="236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31" ht="23.25" x14ac:dyDescent="0.65">
      <c r="A28" s="3"/>
      <c r="B28" s="7" t="s">
        <v>27</v>
      </c>
      <c r="C28" s="7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7"/>
      <c r="O28" s="7" t="s">
        <v>30</v>
      </c>
      <c r="P28" s="3"/>
      <c r="Q28" s="3"/>
      <c r="R28" s="3"/>
      <c r="S28" s="3"/>
      <c r="T28" s="3"/>
      <c r="U28" s="235">
        <v>208</v>
      </c>
      <c r="V28" s="235"/>
      <c r="W28" s="235"/>
      <c r="X28" s="235"/>
      <c r="Y28" s="235"/>
    </row>
    <row r="29" spans="1:31" ht="23.25" x14ac:dyDescent="0.65">
      <c r="A29" s="3"/>
      <c r="B29" s="7" t="s">
        <v>31</v>
      </c>
      <c r="C29" s="7"/>
      <c r="D29" s="3"/>
      <c r="E29" s="82" t="s">
        <v>32</v>
      </c>
      <c r="F29" s="82"/>
      <c r="G29" s="82"/>
      <c r="H29" s="82"/>
      <c r="I29" s="7" t="s">
        <v>33</v>
      </c>
      <c r="J29" s="3"/>
      <c r="K29" s="3"/>
      <c r="L29" s="3"/>
      <c r="M29" s="3"/>
      <c r="N29" s="112">
        <v>30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31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18"/>
    </row>
    <row r="31" spans="1:31" ht="23.25" x14ac:dyDescent="0.65">
      <c r="A31" s="7"/>
      <c r="B31" s="3" t="s">
        <v>35</v>
      </c>
      <c r="C31" s="7"/>
      <c r="D31" s="79" t="s">
        <v>36</v>
      </c>
      <c r="E31" s="79"/>
      <c r="F31" s="79"/>
      <c r="G31" s="7"/>
      <c r="H31" s="7"/>
      <c r="I31" s="7"/>
      <c r="J31" s="7"/>
      <c r="K31" s="7"/>
      <c r="L31" s="3" t="s">
        <v>37</v>
      </c>
      <c r="M31" s="7"/>
      <c r="N31" s="7"/>
      <c r="O31" s="7"/>
      <c r="P31" s="79" t="s">
        <v>38</v>
      </c>
      <c r="Q31" s="79"/>
      <c r="R31" s="79" t="s">
        <v>39</v>
      </c>
      <c r="S31" s="79"/>
      <c r="T31" s="79"/>
      <c r="U31" s="79"/>
      <c r="V31" s="7"/>
      <c r="W31" s="7"/>
      <c r="X31" s="7"/>
      <c r="Y31" s="7"/>
    </row>
    <row r="32" spans="1:31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37" ht="23.25" x14ac:dyDescent="0.25">
      <c r="A33" s="5"/>
      <c r="B33" s="80" t="s">
        <v>41</v>
      </c>
      <c r="C33" s="79"/>
      <c r="D33" s="79"/>
      <c r="E33" s="79"/>
      <c r="F33" s="79"/>
      <c r="G33" s="79"/>
      <c r="H33" s="7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37" ht="23.25" x14ac:dyDescent="0.65">
      <c r="A34" s="5"/>
      <c r="B34" s="80" t="s">
        <v>42</v>
      </c>
      <c r="C34" s="79"/>
      <c r="D34" s="79"/>
      <c r="E34" s="81" t="s">
        <v>43</v>
      </c>
      <c r="F34" s="79" t="s">
        <v>44</v>
      </c>
      <c r="G34" s="79" t="s">
        <v>45</v>
      </c>
      <c r="H34" s="79" t="s">
        <v>46</v>
      </c>
      <c r="I34" s="7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37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78"/>
      <c r="AA35" s="78"/>
      <c r="AB35" s="78"/>
      <c r="AC35" s="78"/>
      <c r="AD35" s="58" t="s">
        <v>90</v>
      </c>
      <c r="AE35" s="58" t="s">
        <v>129</v>
      </c>
    </row>
    <row r="36" spans="1:37" ht="23.25" x14ac:dyDescent="0.65">
      <c r="A36" s="3"/>
      <c r="B36" s="3" t="s">
        <v>49</v>
      </c>
      <c r="C36" s="3"/>
      <c r="D36" s="3"/>
      <c r="E36" s="3"/>
      <c r="F36" s="3"/>
      <c r="G36" s="82" t="s">
        <v>50</v>
      </c>
      <c r="H36" s="82"/>
      <c r="I36" s="82"/>
      <c r="J36" s="82"/>
      <c r="K36" s="82"/>
      <c r="L36" s="3"/>
      <c r="M36" s="3" t="s">
        <v>19</v>
      </c>
      <c r="N36" s="113">
        <v>2</v>
      </c>
      <c r="O36" s="113"/>
      <c r="P36" s="3" t="s">
        <v>51</v>
      </c>
      <c r="Q36" s="61"/>
      <c r="R36" s="3"/>
      <c r="S36" s="3" t="s">
        <v>52</v>
      </c>
      <c r="T36" s="3"/>
      <c r="U36" s="3"/>
      <c r="V36" s="113">
        <v>2</v>
      </c>
      <c r="W36" s="113"/>
      <c r="X36" s="3" t="s">
        <v>53</v>
      </c>
      <c r="Y36" s="3"/>
      <c r="Z36" s="223" t="s">
        <v>139</v>
      </c>
      <c r="AA36" s="223"/>
      <c r="AB36" s="51" t="s">
        <v>138</v>
      </c>
      <c r="AC36" s="51" t="s">
        <v>137</v>
      </c>
      <c r="AD36" s="55">
        <v>-673</v>
      </c>
      <c r="AE36" s="55">
        <v>-256</v>
      </c>
      <c r="AF36" s="2">
        <f>AD36/30</f>
        <v>-22.433333333333334</v>
      </c>
      <c r="AG36" s="2">
        <f>AE36/30</f>
        <v>-8.5333333333333332</v>
      </c>
    </row>
    <row r="37" spans="1:37" ht="23.25" x14ac:dyDescent="0.65">
      <c r="A37" s="3"/>
      <c r="B37" s="3" t="s">
        <v>54</v>
      </c>
      <c r="C37" s="3"/>
      <c r="D37" s="3"/>
      <c r="E37" s="3"/>
      <c r="F37" s="3"/>
      <c r="G37" s="82" t="s">
        <v>55</v>
      </c>
      <c r="H37" s="82"/>
      <c r="I37" s="82"/>
      <c r="J37" s="82"/>
      <c r="K37" s="82"/>
      <c r="L37" s="3"/>
      <c r="M37" s="3" t="s">
        <v>19</v>
      </c>
      <c r="N37" s="113">
        <v>1</v>
      </c>
      <c r="O37" s="113"/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53" t="s">
        <v>127</v>
      </c>
      <c r="AA37" s="53" t="s">
        <v>90</v>
      </c>
      <c r="AB37" s="54" t="s">
        <v>136</v>
      </c>
      <c r="AC37" s="55">
        <v>19485</v>
      </c>
      <c r="AD37" s="55">
        <f>AC37+AD36</f>
        <v>18812</v>
      </c>
      <c r="AE37" s="55">
        <f>AC38+AE36</f>
        <v>8228</v>
      </c>
      <c r="AF37" s="2">
        <f>AD37/208</f>
        <v>90.442307692307693</v>
      </c>
      <c r="AG37" s="2">
        <f>AE37/208</f>
        <v>39.557692307692307</v>
      </c>
    </row>
    <row r="38" spans="1:37" ht="23.25" x14ac:dyDescent="0.65">
      <c r="A38" s="3"/>
      <c r="B38" s="3" t="s">
        <v>58</v>
      </c>
      <c r="C38" s="3"/>
      <c r="D38" s="3"/>
      <c r="E38" s="3"/>
      <c r="F38" s="3"/>
      <c r="G38" s="82" t="s">
        <v>59</v>
      </c>
      <c r="H38" s="82"/>
      <c r="I38" s="82"/>
      <c r="J38" s="82"/>
      <c r="K38" s="82"/>
      <c r="L38" s="3"/>
      <c r="M38" s="3" t="s">
        <v>19</v>
      </c>
      <c r="N38" s="113">
        <v>133</v>
      </c>
      <c r="O38" s="113"/>
      <c r="P38" s="3" t="s">
        <v>53</v>
      </c>
      <c r="Q38" s="3"/>
      <c r="R38" s="3"/>
      <c r="S38" s="3" t="s">
        <v>52</v>
      </c>
      <c r="T38" s="3"/>
      <c r="U38" s="3"/>
      <c r="V38" s="113">
        <v>129</v>
      </c>
      <c r="W38" s="113"/>
      <c r="X38" s="3" t="s">
        <v>53</v>
      </c>
      <c r="Y38" s="3"/>
      <c r="Z38" s="54" t="s">
        <v>127</v>
      </c>
      <c r="AA38" s="53" t="s">
        <v>129</v>
      </c>
      <c r="AB38" s="54" t="s">
        <v>136</v>
      </c>
      <c r="AC38" s="55">
        <v>8484</v>
      </c>
      <c r="AD38" s="51"/>
      <c r="AE38" s="51"/>
    </row>
    <row r="39" spans="1:37" ht="23.25" x14ac:dyDescent="0.65">
      <c r="A39" s="3"/>
      <c r="B39" s="3" t="s">
        <v>60</v>
      </c>
      <c r="C39" s="3"/>
      <c r="D39" s="3"/>
      <c r="E39" s="3"/>
      <c r="F39" s="3"/>
      <c r="G39" s="82" t="s">
        <v>61</v>
      </c>
      <c r="H39" s="82"/>
      <c r="I39" s="82"/>
      <c r="J39" s="82"/>
      <c r="K39" s="82"/>
      <c r="L39" s="3"/>
      <c r="M39" s="3" t="s">
        <v>19</v>
      </c>
      <c r="N39" s="113">
        <v>14</v>
      </c>
      <c r="O39" s="113"/>
      <c r="P39" s="3" t="s">
        <v>53</v>
      </c>
      <c r="Q39" s="3"/>
      <c r="R39" s="3"/>
      <c r="S39" s="3" t="s">
        <v>52</v>
      </c>
      <c r="T39" s="3"/>
      <c r="U39" s="3"/>
      <c r="V39" s="113">
        <v>12</v>
      </c>
      <c r="W39" s="113"/>
      <c r="X39" s="3" t="s">
        <v>53</v>
      </c>
      <c r="Y39" s="3"/>
      <c r="Z39" s="53" t="s">
        <v>127</v>
      </c>
      <c r="AA39" s="53" t="s">
        <v>146</v>
      </c>
      <c r="AB39" s="53" t="s">
        <v>136</v>
      </c>
      <c r="AC39" s="55">
        <v>1000</v>
      </c>
      <c r="AD39" s="51">
        <f>AC39/30</f>
        <v>33.333333333333336</v>
      </c>
      <c r="AE39" s="51"/>
    </row>
    <row r="40" spans="1:37" ht="23.25" x14ac:dyDescent="0.65">
      <c r="A40" s="3"/>
      <c r="B40" s="3" t="s">
        <v>64</v>
      </c>
      <c r="C40" s="3"/>
      <c r="D40" s="3"/>
      <c r="E40" s="3"/>
      <c r="F40" s="3"/>
      <c r="G40" s="82" t="s">
        <v>65</v>
      </c>
      <c r="H40" s="82"/>
      <c r="I40" s="82"/>
      <c r="J40" s="82"/>
      <c r="K40" s="82"/>
      <c r="L40" s="3"/>
      <c r="M40" s="3" t="s">
        <v>19</v>
      </c>
      <c r="N40" s="113">
        <v>25</v>
      </c>
      <c r="O40" s="113"/>
      <c r="P40" s="3" t="s">
        <v>53</v>
      </c>
      <c r="Q40" s="3"/>
      <c r="R40" s="3"/>
      <c r="S40" s="3" t="s">
        <v>52</v>
      </c>
      <c r="T40" s="3"/>
      <c r="U40" s="3"/>
      <c r="V40" s="113">
        <v>21</v>
      </c>
      <c r="W40" s="113"/>
      <c r="X40" s="3" t="s">
        <v>53</v>
      </c>
      <c r="Y40" s="3"/>
      <c r="Z40" s="51" t="s">
        <v>127</v>
      </c>
      <c r="AA40" s="75" t="s">
        <v>90</v>
      </c>
      <c r="AB40" s="75" t="s">
        <v>83</v>
      </c>
      <c r="AC40" s="75">
        <v>3001</v>
      </c>
      <c r="AD40" s="51">
        <f>AC40/208</f>
        <v>14.427884615384615</v>
      </c>
      <c r="AE40" s="75"/>
    </row>
    <row r="41" spans="1:37" ht="23.25" x14ac:dyDescent="0.6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 t="s">
        <v>66</v>
      </c>
      <c r="M41" s="23"/>
      <c r="N41" s="116">
        <f>SUM(N36:N40)</f>
        <v>175</v>
      </c>
      <c r="O41" s="116"/>
      <c r="P41" s="24" t="s">
        <v>53</v>
      </c>
      <c r="Q41" s="23"/>
      <c r="R41" s="23"/>
      <c r="S41" s="116" t="s">
        <v>52</v>
      </c>
      <c r="T41" s="116"/>
      <c r="U41" s="116"/>
      <c r="V41" s="116">
        <f>SUM(V36:W40)</f>
        <v>165</v>
      </c>
      <c r="W41" s="116"/>
      <c r="X41" s="24" t="s">
        <v>53</v>
      </c>
      <c r="Y41" s="23"/>
      <c r="Z41" s="49"/>
      <c r="AA41" s="77"/>
      <c r="AB41" s="75"/>
      <c r="AC41" s="76">
        <f>SUM(AC37:AC40)</f>
        <v>31970</v>
      </c>
      <c r="AD41" s="75"/>
      <c r="AE41" s="75"/>
    </row>
    <row r="42" spans="1:37" ht="23.25" x14ac:dyDescent="0.65">
      <c r="A42" s="3" t="s">
        <v>67</v>
      </c>
      <c r="B42" s="25"/>
      <c r="C42" s="25"/>
      <c r="D42" s="25"/>
      <c r="E42" s="25"/>
      <c r="F42" s="2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AC42" s="59"/>
    </row>
    <row r="43" spans="1:37" ht="9.9499999999999993" customHeight="1" x14ac:dyDescent="0.6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37" ht="21" x14ac:dyDescent="0.6">
      <c r="A44" s="122" t="s">
        <v>68</v>
      </c>
      <c r="B44" s="123"/>
      <c r="C44" s="123"/>
      <c r="D44" s="123"/>
      <c r="E44" s="124"/>
      <c r="F44" s="122" t="s">
        <v>69</v>
      </c>
      <c r="G44" s="123"/>
      <c r="H44" s="123"/>
      <c r="I44" s="124"/>
      <c r="J44" s="119" t="s">
        <v>70</v>
      </c>
      <c r="K44" s="119"/>
      <c r="L44" s="119"/>
      <c r="M44" s="119"/>
      <c r="N44" s="119"/>
      <c r="O44" s="119"/>
      <c r="P44" s="128" t="s">
        <v>71</v>
      </c>
      <c r="Q44" s="128"/>
      <c r="R44" s="128"/>
      <c r="S44" s="128"/>
      <c r="T44" s="128"/>
      <c r="U44" s="128" t="s">
        <v>72</v>
      </c>
      <c r="V44" s="128"/>
      <c r="W44" s="128"/>
      <c r="X44" s="128"/>
      <c r="Y44" s="122"/>
      <c r="AD44" s="57"/>
      <c r="AE44" s="57"/>
      <c r="AF44" s="57"/>
      <c r="AG44" s="56"/>
    </row>
    <row r="45" spans="1:37" x14ac:dyDescent="0.25">
      <c r="A45" s="125"/>
      <c r="B45" s="126"/>
      <c r="C45" s="126"/>
      <c r="D45" s="126"/>
      <c r="E45" s="127"/>
      <c r="F45" s="125"/>
      <c r="G45" s="126"/>
      <c r="H45" s="126"/>
      <c r="I45" s="127"/>
      <c r="J45" s="198" t="s">
        <v>73</v>
      </c>
      <c r="K45" s="198"/>
      <c r="L45" s="198"/>
      <c r="M45" s="198"/>
      <c r="N45" s="198"/>
      <c r="O45" s="198"/>
      <c r="P45" s="129"/>
      <c r="Q45" s="129"/>
      <c r="R45" s="129"/>
      <c r="S45" s="129"/>
      <c r="T45" s="129"/>
      <c r="U45" s="129"/>
      <c r="V45" s="129"/>
      <c r="W45" s="129"/>
      <c r="X45" s="129"/>
      <c r="Y45" s="231"/>
      <c r="AF45" s="57"/>
      <c r="AG45" s="56"/>
    </row>
    <row r="46" spans="1:37" ht="21" x14ac:dyDescent="0.6">
      <c r="A46" s="199" t="s">
        <v>74</v>
      </c>
      <c r="B46" s="199"/>
      <c r="C46" s="199"/>
      <c r="D46" s="199"/>
      <c r="E46" s="199"/>
      <c r="F46" s="199" t="s">
        <v>75</v>
      </c>
      <c r="G46" s="199"/>
      <c r="H46" s="199"/>
      <c r="I46" s="199"/>
      <c r="J46" s="119" t="s">
        <v>76</v>
      </c>
      <c r="K46" s="119"/>
      <c r="L46" s="119"/>
      <c r="M46" s="119" t="s">
        <v>77</v>
      </c>
      <c r="N46" s="119"/>
      <c r="O46" s="119"/>
      <c r="P46" s="201" t="s">
        <v>78</v>
      </c>
      <c r="Q46" s="199"/>
      <c r="R46" s="199"/>
      <c r="S46" s="199"/>
      <c r="T46" s="199"/>
      <c r="U46" s="199" t="s">
        <v>79</v>
      </c>
      <c r="V46" s="199"/>
      <c r="W46" s="199"/>
      <c r="X46" s="199"/>
      <c r="Y46" s="233"/>
      <c r="AF46" s="57"/>
      <c r="AG46" s="56"/>
    </row>
    <row r="47" spans="1:37" x14ac:dyDescent="0.25">
      <c r="A47" s="200"/>
      <c r="B47" s="200"/>
      <c r="C47" s="200"/>
      <c r="D47" s="200"/>
      <c r="E47" s="200"/>
      <c r="F47" s="200"/>
      <c r="G47" s="200"/>
      <c r="H47" s="200"/>
      <c r="I47" s="200"/>
      <c r="J47" s="202" t="s">
        <v>80</v>
      </c>
      <c r="K47" s="202"/>
      <c r="L47" s="202"/>
      <c r="M47" s="202" t="s">
        <v>81</v>
      </c>
      <c r="N47" s="202"/>
      <c r="O47" s="202"/>
      <c r="P47" s="200"/>
      <c r="Q47" s="200"/>
      <c r="R47" s="200"/>
      <c r="S47" s="200"/>
      <c r="T47" s="200"/>
      <c r="U47" s="200"/>
      <c r="V47" s="200"/>
      <c r="W47" s="200"/>
      <c r="X47" s="200"/>
      <c r="Y47" s="234"/>
      <c r="AF47" s="57"/>
      <c r="AG47" s="56"/>
    </row>
    <row r="48" spans="1:37" ht="20.100000000000001" customHeight="1" x14ac:dyDescent="0.25">
      <c r="A48" s="204" t="s">
        <v>127</v>
      </c>
      <c r="B48" s="204"/>
      <c r="C48" s="204" t="s">
        <v>90</v>
      </c>
      <c r="D48" s="204"/>
      <c r="E48" s="204"/>
      <c r="F48" s="205" t="s">
        <v>88</v>
      </c>
      <c r="G48" s="205" t="s">
        <v>83</v>
      </c>
      <c r="H48" s="205" t="s">
        <v>83</v>
      </c>
      <c r="I48" s="205" t="s">
        <v>83</v>
      </c>
      <c r="J48" s="206">
        <v>8</v>
      </c>
      <c r="K48" s="206"/>
      <c r="L48" s="206"/>
      <c r="M48" s="230">
        <v>90</v>
      </c>
      <c r="N48" s="230"/>
      <c r="O48" s="230"/>
      <c r="P48" s="208">
        <f t="shared" ref="P48:P53" si="0">M48*J48</f>
        <v>720</v>
      </c>
      <c r="Q48" s="208"/>
      <c r="R48" s="208"/>
      <c r="S48" s="208"/>
      <c r="T48" s="208"/>
      <c r="U48" s="203">
        <f>M48*($U$28)</f>
        <v>18720</v>
      </c>
      <c r="V48" s="203"/>
      <c r="W48" s="203"/>
      <c r="X48" s="203"/>
      <c r="Y48" s="228"/>
      <c r="AI48" s="26"/>
      <c r="AK48" s="27"/>
    </row>
    <row r="49" spans="1:37" ht="20.100000000000001" customHeight="1" x14ac:dyDescent="0.25">
      <c r="A49" s="204" t="s">
        <v>127</v>
      </c>
      <c r="B49" s="204"/>
      <c r="C49" s="204" t="s">
        <v>129</v>
      </c>
      <c r="D49" s="204"/>
      <c r="E49" s="204"/>
      <c r="F49" s="205" t="s">
        <v>88</v>
      </c>
      <c r="G49" s="205"/>
      <c r="H49" s="205"/>
      <c r="I49" s="205"/>
      <c r="J49" s="206">
        <v>8</v>
      </c>
      <c r="K49" s="206"/>
      <c r="L49" s="206"/>
      <c r="M49" s="230">
        <v>39</v>
      </c>
      <c r="N49" s="230"/>
      <c r="O49" s="230"/>
      <c r="P49" s="208">
        <f t="shared" si="0"/>
        <v>312</v>
      </c>
      <c r="Q49" s="208"/>
      <c r="R49" s="208"/>
      <c r="S49" s="208"/>
      <c r="T49" s="208"/>
      <c r="U49" s="203">
        <f>M49*($U$28)</f>
        <v>8112</v>
      </c>
      <c r="V49" s="203"/>
      <c r="W49" s="203"/>
      <c r="X49" s="203"/>
      <c r="Y49" s="228"/>
      <c r="AG49" s="50"/>
      <c r="AI49" s="26"/>
      <c r="AK49" s="27"/>
    </row>
    <row r="50" spans="1:37" ht="20.100000000000001" customHeight="1" x14ac:dyDescent="0.25">
      <c r="A50" s="204" t="s">
        <v>127</v>
      </c>
      <c r="B50" s="204"/>
      <c r="C50" s="204" t="s">
        <v>90</v>
      </c>
      <c r="D50" s="204"/>
      <c r="E50" s="204"/>
      <c r="F50" s="205" t="s">
        <v>83</v>
      </c>
      <c r="G50" s="205"/>
      <c r="H50" s="205"/>
      <c r="I50" s="205"/>
      <c r="J50" s="206">
        <v>8</v>
      </c>
      <c r="K50" s="206"/>
      <c r="L50" s="206"/>
      <c r="M50" s="230">
        <v>15</v>
      </c>
      <c r="N50" s="230"/>
      <c r="O50" s="230"/>
      <c r="P50" s="208">
        <f t="shared" si="0"/>
        <v>120</v>
      </c>
      <c r="Q50" s="208"/>
      <c r="R50" s="208"/>
      <c r="S50" s="208"/>
      <c r="T50" s="208"/>
      <c r="U50" s="203">
        <f>M50*($U$28)</f>
        <v>3120</v>
      </c>
      <c r="V50" s="203"/>
      <c r="W50" s="203"/>
      <c r="X50" s="203"/>
      <c r="Y50" s="228"/>
      <c r="AG50" s="50"/>
      <c r="AI50" s="26"/>
      <c r="AK50" s="27"/>
    </row>
    <row r="51" spans="1:37" ht="20.100000000000001" customHeight="1" x14ac:dyDescent="0.25">
      <c r="A51" s="204" t="s">
        <v>127</v>
      </c>
      <c r="B51" s="204"/>
      <c r="C51" s="204" t="s">
        <v>90</v>
      </c>
      <c r="D51" s="204"/>
      <c r="E51" s="204"/>
      <c r="F51" s="205" t="s">
        <v>88</v>
      </c>
      <c r="G51" s="205" t="s">
        <v>83</v>
      </c>
      <c r="H51" s="205" t="s">
        <v>83</v>
      </c>
      <c r="I51" s="205" t="s">
        <v>83</v>
      </c>
      <c r="J51" s="206">
        <v>2</v>
      </c>
      <c r="K51" s="206"/>
      <c r="L51" s="206"/>
      <c r="M51" s="230">
        <v>22</v>
      </c>
      <c r="N51" s="230"/>
      <c r="O51" s="230"/>
      <c r="P51" s="208">
        <f t="shared" si="0"/>
        <v>44</v>
      </c>
      <c r="Q51" s="208"/>
      <c r="R51" s="208"/>
      <c r="S51" s="208"/>
      <c r="T51" s="208"/>
      <c r="U51" s="203">
        <f>M51*($N$29)</f>
        <v>660</v>
      </c>
      <c r="V51" s="203"/>
      <c r="W51" s="203"/>
      <c r="X51" s="203"/>
      <c r="Y51" s="228"/>
      <c r="AI51" s="26"/>
      <c r="AK51" s="27"/>
    </row>
    <row r="52" spans="1:37" ht="20.100000000000001" customHeight="1" x14ac:dyDescent="0.25">
      <c r="A52" s="204" t="s">
        <v>127</v>
      </c>
      <c r="B52" s="204"/>
      <c r="C52" s="204" t="s">
        <v>129</v>
      </c>
      <c r="D52" s="204"/>
      <c r="E52" s="204"/>
      <c r="F52" s="205" t="s">
        <v>88</v>
      </c>
      <c r="G52" s="205" t="s">
        <v>83</v>
      </c>
      <c r="H52" s="205" t="s">
        <v>83</v>
      </c>
      <c r="I52" s="205" t="s">
        <v>83</v>
      </c>
      <c r="J52" s="206">
        <v>2</v>
      </c>
      <c r="K52" s="206"/>
      <c r="L52" s="206"/>
      <c r="M52" s="230">
        <v>12</v>
      </c>
      <c r="N52" s="230"/>
      <c r="O52" s="230"/>
      <c r="P52" s="208">
        <f t="shared" si="0"/>
        <v>24</v>
      </c>
      <c r="Q52" s="208"/>
      <c r="R52" s="208"/>
      <c r="S52" s="208"/>
      <c r="T52" s="208"/>
      <c r="U52" s="203">
        <f>M52*($N$29)</f>
        <v>360</v>
      </c>
      <c r="V52" s="203"/>
      <c r="W52" s="203"/>
      <c r="X52" s="203"/>
      <c r="Y52" s="228"/>
      <c r="Z52" s="28">
        <f>SUM(U48:Y53)</f>
        <v>31962</v>
      </c>
    </row>
    <row r="53" spans="1:37" ht="20.100000000000001" customHeight="1" x14ac:dyDescent="0.25">
      <c r="A53" s="204" t="s">
        <v>127</v>
      </c>
      <c r="B53" s="204"/>
      <c r="C53" s="204" t="s">
        <v>146</v>
      </c>
      <c r="D53" s="204"/>
      <c r="E53" s="204"/>
      <c r="F53" s="205" t="s">
        <v>88</v>
      </c>
      <c r="G53" s="205" t="s">
        <v>83</v>
      </c>
      <c r="H53" s="205" t="s">
        <v>83</v>
      </c>
      <c r="I53" s="205" t="s">
        <v>83</v>
      </c>
      <c r="J53" s="206">
        <v>2</v>
      </c>
      <c r="K53" s="206"/>
      <c r="L53" s="206"/>
      <c r="M53" s="230">
        <v>33</v>
      </c>
      <c r="N53" s="230"/>
      <c r="O53" s="230"/>
      <c r="P53" s="208">
        <f t="shared" si="0"/>
        <v>66</v>
      </c>
      <c r="Q53" s="208"/>
      <c r="R53" s="208"/>
      <c r="S53" s="208"/>
      <c r="T53" s="208"/>
      <c r="U53" s="203">
        <f>M53*($N$29)</f>
        <v>990</v>
      </c>
      <c r="V53" s="203"/>
      <c r="W53" s="203"/>
      <c r="X53" s="203"/>
      <c r="Y53" s="228"/>
      <c r="AG53" s="50"/>
      <c r="AI53" s="26"/>
      <c r="AK53" s="27"/>
    </row>
    <row r="54" spans="1:37" ht="23.25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30"/>
      <c r="K54" s="30"/>
      <c r="L54" s="30"/>
      <c r="M54" s="31"/>
      <c r="N54" s="31"/>
      <c r="O54" s="31"/>
      <c r="P54" s="32"/>
      <c r="Q54" s="32"/>
      <c r="R54" s="32"/>
      <c r="S54" s="32"/>
      <c r="T54" s="32"/>
      <c r="U54" s="221"/>
      <c r="V54" s="221"/>
      <c r="W54" s="221"/>
      <c r="X54" s="221"/>
      <c r="Y54" s="221"/>
      <c r="Z54" s="47"/>
      <c r="AA54" s="27"/>
      <c r="AF54"/>
      <c r="AG54"/>
      <c r="AH54"/>
    </row>
    <row r="55" spans="1:37" s="3" customFormat="1" ht="23.25" x14ac:dyDescent="0.65">
      <c r="A55" s="3" t="s">
        <v>95</v>
      </c>
    </row>
    <row r="56" spans="1:37" ht="21" x14ac:dyDescent="0.6">
      <c r="A56" s="122" t="s">
        <v>68</v>
      </c>
      <c r="B56" s="123"/>
      <c r="C56" s="123"/>
      <c r="D56" s="123"/>
      <c r="E56" s="124"/>
      <c r="F56" s="122" t="s">
        <v>69</v>
      </c>
      <c r="G56" s="123"/>
      <c r="H56" s="123"/>
      <c r="I56" s="124"/>
      <c r="J56" s="119" t="s">
        <v>96</v>
      </c>
      <c r="K56" s="119"/>
      <c r="L56" s="119"/>
      <c r="M56" s="119"/>
      <c r="N56" s="119"/>
      <c r="O56" s="119"/>
      <c r="P56" s="122" t="s">
        <v>66</v>
      </c>
      <c r="Q56" s="123"/>
      <c r="R56" s="123"/>
      <c r="S56" s="123"/>
      <c r="T56" s="124"/>
      <c r="U56" s="122" t="s">
        <v>97</v>
      </c>
      <c r="V56" s="123"/>
      <c r="W56" s="123"/>
      <c r="X56" s="123"/>
      <c r="Y56" s="124"/>
      <c r="AF56"/>
      <c r="AG56"/>
      <c r="AH56"/>
    </row>
    <row r="57" spans="1:37" x14ac:dyDescent="0.25">
      <c r="A57" s="125"/>
      <c r="B57" s="126"/>
      <c r="C57" s="126"/>
      <c r="D57" s="126"/>
      <c r="E57" s="127"/>
      <c r="F57" s="125"/>
      <c r="G57" s="126"/>
      <c r="H57" s="126"/>
      <c r="I57" s="127"/>
      <c r="J57" s="210" t="s">
        <v>98</v>
      </c>
      <c r="K57" s="210"/>
      <c r="L57" s="210"/>
      <c r="M57" s="210"/>
      <c r="N57" s="210"/>
      <c r="O57" s="210"/>
      <c r="P57" s="125"/>
      <c r="Q57" s="126"/>
      <c r="R57" s="126"/>
      <c r="S57" s="126"/>
      <c r="T57" s="127"/>
      <c r="U57" s="125"/>
      <c r="V57" s="126"/>
      <c r="W57" s="126"/>
      <c r="X57" s="126"/>
      <c r="Y57" s="127"/>
      <c r="AF57"/>
      <c r="AG57"/>
      <c r="AH57"/>
    </row>
    <row r="58" spans="1:37" ht="19.5" customHeight="1" x14ac:dyDescent="0.25">
      <c r="A58" s="199" t="s">
        <v>74</v>
      </c>
      <c r="B58" s="199"/>
      <c r="C58" s="199"/>
      <c r="D58" s="199"/>
      <c r="E58" s="199"/>
      <c r="F58" s="199" t="s">
        <v>75</v>
      </c>
      <c r="G58" s="199"/>
      <c r="H58" s="199"/>
      <c r="I58" s="199"/>
      <c r="J58" s="122" t="s">
        <v>99</v>
      </c>
      <c r="K58" s="123"/>
      <c r="L58" s="123"/>
      <c r="M58" s="122" t="s">
        <v>100</v>
      </c>
      <c r="N58" s="123"/>
      <c r="O58" s="123"/>
      <c r="P58" s="199" t="s">
        <v>101</v>
      </c>
      <c r="Q58" s="199"/>
      <c r="R58" s="199"/>
      <c r="S58" s="199"/>
      <c r="T58" s="199"/>
      <c r="U58" s="199" t="s">
        <v>102</v>
      </c>
      <c r="V58" s="199"/>
      <c r="W58" s="199"/>
      <c r="X58" s="199"/>
      <c r="Y58" s="199"/>
      <c r="Z58" s="74"/>
      <c r="AA58" s="73"/>
      <c r="AF58"/>
      <c r="AG58"/>
      <c r="AH58"/>
    </row>
    <row r="59" spans="1:37" x14ac:dyDescent="0.25">
      <c r="A59" s="200"/>
      <c r="B59" s="200"/>
      <c r="C59" s="200"/>
      <c r="D59" s="200"/>
      <c r="E59" s="200"/>
      <c r="F59" s="200"/>
      <c r="G59" s="200"/>
      <c r="H59" s="200"/>
      <c r="I59" s="200"/>
      <c r="J59" s="202" t="s">
        <v>103</v>
      </c>
      <c r="K59" s="202"/>
      <c r="L59" s="202"/>
      <c r="M59" s="202" t="s">
        <v>104</v>
      </c>
      <c r="N59" s="202"/>
      <c r="O59" s="202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72"/>
      <c r="AA59" s="69"/>
      <c r="AF59"/>
      <c r="AG59"/>
      <c r="AH59"/>
    </row>
    <row r="60" spans="1:37" ht="20.100000000000001" customHeight="1" x14ac:dyDescent="0.25">
      <c r="A60" s="205" t="str">
        <f t="shared" ref="A60:A65" si="1">A48</f>
        <v>LADIES</v>
      </c>
      <c r="B60" s="205" t="s">
        <v>82</v>
      </c>
      <c r="C60" s="205" t="str">
        <f t="shared" ref="C60:C65" si="2">C48</f>
        <v>PANT</v>
      </c>
      <c r="D60" s="205" t="s">
        <v>90</v>
      </c>
      <c r="E60" s="205" t="s">
        <v>90</v>
      </c>
      <c r="F60" s="205" t="str">
        <f t="shared" ref="F60:F65" si="3">F48</f>
        <v xml:space="preserve">KNITTED </v>
      </c>
      <c r="G60" s="205"/>
      <c r="H60" s="205"/>
      <c r="I60" s="205"/>
      <c r="J60" s="215">
        <f t="shared" ref="J60:J65" si="4">M60*12</f>
        <v>6.24</v>
      </c>
      <c r="K60" s="216"/>
      <c r="L60" s="217"/>
      <c r="M60" s="218">
        <v>0.52</v>
      </c>
      <c r="N60" s="218"/>
      <c r="O60" s="218"/>
      <c r="P60" s="203">
        <f t="shared" ref="P60:P65" si="5">U48</f>
        <v>18720</v>
      </c>
      <c r="Q60" s="203"/>
      <c r="R60" s="203"/>
      <c r="S60" s="203"/>
      <c r="T60" s="203"/>
      <c r="U60" s="211">
        <f t="shared" ref="U60:U65" si="6">P60*M60</f>
        <v>9734.4</v>
      </c>
      <c r="V60" s="211"/>
      <c r="W60" s="211"/>
      <c r="X60" s="211"/>
      <c r="Y60" s="211"/>
      <c r="Z60" s="71"/>
      <c r="AA60" s="69"/>
      <c r="AF60"/>
      <c r="AG60"/>
      <c r="AH60"/>
    </row>
    <row r="61" spans="1:37" ht="20.100000000000001" customHeight="1" x14ac:dyDescent="0.25">
      <c r="A61" s="205" t="str">
        <f t="shared" si="1"/>
        <v>LADIES</v>
      </c>
      <c r="B61" s="205" t="s">
        <v>82</v>
      </c>
      <c r="C61" s="205" t="str">
        <f t="shared" si="2"/>
        <v>PAJAMAS</v>
      </c>
      <c r="D61" s="205" t="s">
        <v>90</v>
      </c>
      <c r="E61" s="205" t="s">
        <v>90</v>
      </c>
      <c r="F61" s="205" t="str">
        <f t="shared" si="3"/>
        <v xml:space="preserve">KNITTED </v>
      </c>
      <c r="G61" s="205"/>
      <c r="H61" s="205"/>
      <c r="I61" s="205"/>
      <c r="J61" s="208">
        <f t="shared" si="4"/>
        <v>4.08</v>
      </c>
      <c r="K61" s="208"/>
      <c r="L61" s="208"/>
      <c r="M61" s="212">
        <v>0.34</v>
      </c>
      <c r="N61" s="213"/>
      <c r="O61" s="214"/>
      <c r="P61" s="203">
        <f t="shared" si="5"/>
        <v>8112</v>
      </c>
      <c r="Q61" s="203"/>
      <c r="R61" s="203"/>
      <c r="S61" s="203"/>
      <c r="T61" s="203"/>
      <c r="U61" s="211">
        <f t="shared" si="6"/>
        <v>2758.0800000000004</v>
      </c>
      <c r="V61" s="211"/>
      <c r="W61" s="211"/>
      <c r="X61" s="211"/>
      <c r="Y61" s="211"/>
      <c r="Z61" s="71"/>
      <c r="AA61" s="69"/>
    </row>
    <row r="62" spans="1:37" ht="20.100000000000001" customHeight="1" x14ac:dyDescent="0.25">
      <c r="A62" s="205" t="str">
        <f t="shared" si="1"/>
        <v>LADIES</v>
      </c>
      <c r="B62" s="205" t="s">
        <v>82</v>
      </c>
      <c r="C62" s="205" t="str">
        <f t="shared" si="2"/>
        <v>PANT</v>
      </c>
      <c r="D62" s="205" t="s">
        <v>90</v>
      </c>
      <c r="E62" s="205" t="s">
        <v>90</v>
      </c>
      <c r="F62" s="205" t="str">
        <f t="shared" si="3"/>
        <v>WOVEN</v>
      </c>
      <c r="G62" s="205"/>
      <c r="H62" s="205"/>
      <c r="I62" s="205"/>
      <c r="J62" s="208">
        <f t="shared" si="4"/>
        <v>5.88</v>
      </c>
      <c r="K62" s="208"/>
      <c r="L62" s="208"/>
      <c r="M62" s="212">
        <v>0.49</v>
      </c>
      <c r="N62" s="213"/>
      <c r="O62" s="214"/>
      <c r="P62" s="203">
        <f t="shared" si="5"/>
        <v>3120</v>
      </c>
      <c r="Q62" s="203"/>
      <c r="R62" s="203"/>
      <c r="S62" s="203"/>
      <c r="T62" s="203"/>
      <c r="U62" s="211">
        <f t="shared" si="6"/>
        <v>1528.8</v>
      </c>
      <c r="V62" s="211"/>
      <c r="W62" s="211"/>
      <c r="X62" s="211"/>
      <c r="Y62" s="211"/>
      <c r="Z62" s="71"/>
      <c r="AA62" s="69"/>
    </row>
    <row r="63" spans="1:37" ht="20.100000000000001" customHeight="1" x14ac:dyDescent="0.25">
      <c r="A63" s="205" t="str">
        <f t="shared" si="1"/>
        <v>LADIES</v>
      </c>
      <c r="B63" s="205" t="s">
        <v>82</v>
      </c>
      <c r="C63" s="205" t="str">
        <f t="shared" si="2"/>
        <v>PANT</v>
      </c>
      <c r="D63" s="205" t="s">
        <v>90</v>
      </c>
      <c r="E63" s="205" t="s">
        <v>90</v>
      </c>
      <c r="F63" s="205" t="str">
        <f t="shared" si="3"/>
        <v xml:space="preserve">KNITTED </v>
      </c>
      <c r="G63" s="205"/>
      <c r="H63" s="205"/>
      <c r="I63" s="205"/>
      <c r="J63" s="208">
        <f t="shared" si="4"/>
        <v>6.24</v>
      </c>
      <c r="K63" s="208"/>
      <c r="L63" s="208"/>
      <c r="M63" s="218">
        <v>0.52</v>
      </c>
      <c r="N63" s="218"/>
      <c r="O63" s="218"/>
      <c r="P63" s="203">
        <f t="shared" si="5"/>
        <v>660</v>
      </c>
      <c r="Q63" s="203"/>
      <c r="R63" s="203"/>
      <c r="S63" s="203"/>
      <c r="T63" s="203"/>
      <c r="U63" s="211">
        <f t="shared" si="6"/>
        <v>343.2</v>
      </c>
      <c r="V63" s="211"/>
      <c r="W63" s="211"/>
      <c r="X63" s="211"/>
      <c r="Y63" s="211"/>
      <c r="Z63" s="71"/>
      <c r="AA63" s="69"/>
    </row>
    <row r="64" spans="1:37" ht="20.100000000000001" customHeight="1" x14ac:dyDescent="0.25">
      <c r="A64" s="205" t="str">
        <f t="shared" si="1"/>
        <v>LADIES</v>
      </c>
      <c r="B64" s="205" t="s">
        <v>82</v>
      </c>
      <c r="C64" s="205" t="str">
        <f t="shared" si="2"/>
        <v>PAJAMAS</v>
      </c>
      <c r="D64" s="205" t="s">
        <v>90</v>
      </c>
      <c r="E64" s="205" t="s">
        <v>90</v>
      </c>
      <c r="F64" s="205" t="str">
        <f t="shared" si="3"/>
        <v xml:space="preserve">KNITTED </v>
      </c>
      <c r="G64" s="205"/>
      <c r="H64" s="205"/>
      <c r="I64" s="205"/>
      <c r="J64" s="208">
        <f t="shared" si="4"/>
        <v>4.08</v>
      </c>
      <c r="K64" s="208"/>
      <c r="L64" s="208"/>
      <c r="M64" s="212">
        <v>0.34</v>
      </c>
      <c r="N64" s="213"/>
      <c r="O64" s="214"/>
      <c r="P64" s="203">
        <f t="shared" si="5"/>
        <v>360</v>
      </c>
      <c r="Q64" s="203"/>
      <c r="R64" s="203"/>
      <c r="S64" s="203"/>
      <c r="T64" s="203"/>
      <c r="U64" s="211">
        <f t="shared" si="6"/>
        <v>122.4</v>
      </c>
      <c r="V64" s="211"/>
      <c r="W64" s="211"/>
      <c r="X64" s="211"/>
      <c r="Y64" s="211"/>
      <c r="Z64" s="71"/>
      <c r="AA64" s="69"/>
    </row>
    <row r="65" spans="1:27" ht="20.100000000000001" customHeight="1" x14ac:dyDescent="0.25">
      <c r="A65" s="205" t="str">
        <f t="shared" si="1"/>
        <v>LADIES</v>
      </c>
      <c r="B65" s="205" t="s">
        <v>82</v>
      </c>
      <c r="C65" s="205" t="str">
        <f t="shared" si="2"/>
        <v>SKORT</v>
      </c>
      <c r="D65" s="205" t="s">
        <v>90</v>
      </c>
      <c r="E65" s="205" t="s">
        <v>90</v>
      </c>
      <c r="F65" s="205" t="str">
        <f t="shared" si="3"/>
        <v xml:space="preserve">KNITTED </v>
      </c>
      <c r="G65" s="205"/>
      <c r="H65" s="205"/>
      <c r="I65" s="205"/>
      <c r="J65" s="208">
        <f t="shared" si="4"/>
        <v>2.64</v>
      </c>
      <c r="K65" s="208"/>
      <c r="L65" s="208"/>
      <c r="M65" s="212">
        <v>0.22</v>
      </c>
      <c r="N65" s="213"/>
      <c r="O65" s="214"/>
      <c r="P65" s="203">
        <f t="shared" si="5"/>
        <v>990</v>
      </c>
      <c r="Q65" s="203"/>
      <c r="R65" s="203"/>
      <c r="S65" s="203"/>
      <c r="T65" s="203"/>
      <c r="U65" s="211">
        <f t="shared" si="6"/>
        <v>217.8</v>
      </c>
      <c r="V65" s="211"/>
      <c r="W65" s="211"/>
      <c r="X65" s="211"/>
      <c r="Y65" s="211"/>
      <c r="Z65" s="70"/>
      <c r="AA65" s="69"/>
    </row>
    <row r="66" spans="1:27" ht="23.25" x14ac:dyDescent="0.65">
      <c r="A66" s="3" t="s">
        <v>106</v>
      </c>
      <c r="B66" s="25"/>
      <c r="C66" s="25"/>
      <c r="D66" s="25"/>
      <c r="E66" s="25"/>
      <c r="F66" s="2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7" ht="20.100000000000001" customHeight="1" x14ac:dyDescent="0.65">
      <c r="A67" s="36"/>
      <c r="B67" s="4" t="s">
        <v>107</v>
      </c>
      <c r="C67" s="25"/>
      <c r="D67" s="25"/>
      <c r="E67" s="25"/>
      <c r="F67" s="2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7" ht="20.100000000000001" customHeight="1" x14ac:dyDescent="0.65">
      <c r="A68" s="4" t="s">
        <v>108</v>
      </c>
      <c r="B68" s="25"/>
      <c r="C68" s="25"/>
      <c r="D68" s="25"/>
      <c r="E68" s="25"/>
      <c r="F68" s="2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7" ht="23.25" x14ac:dyDescent="0.65">
      <c r="A69" s="36"/>
      <c r="B69" s="3" t="s">
        <v>109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7" ht="23.25" x14ac:dyDescent="0.65">
      <c r="A70" s="4" t="s">
        <v>150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7" ht="23.25" x14ac:dyDescent="0.65">
      <c r="A71" s="3"/>
      <c r="B71" s="3" t="s">
        <v>110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7" ht="21.95" customHeight="1" x14ac:dyDescent="0.65">
      <c r="A72" s="37" t="s">
        <v>111</v>
      </c>
      <c r="B72" s="38"/>
      <c r="C72" s="38"/>
      <c r="D72" s="38"/>
      <c r="E72" s="38"/>
      <c r="F72" s="38"/>
      <c r="G72" s="37"/>
      <c r="H72" s="3"/>
      <c r="I72" s="3"/>
      <c r="J72" s="3"/>
      <c r="K72" s="3"/>
      <c r="L72" s="3"/>
      <c r="M72" s="3"/>
      <c r="N72" s="3"/>
      <c r="O72" s="3"/>
      <c r="P72" s="176" t="s">
        <v>112</v>
      </c>
      <c r="Q72" s="176"/>
      <c r="R72" s="176"/>
      <c r="S72" s="176"/>
      <c r="T72" s="176"/>
      <c r="U72" s="176"/>
      <c r="V72" s="176"/>
      <c r="W72" s="176"/>
      <c r="X72" s="176"/>
      <c r="Y72" s="176"/>
    </row>
    <row r="73" spans="1:27" ht="21.95" customHeight="1" x14ac:dyDescent="0.65">
      <c r="A73" s="176" t="s">
        <v>113</v>
      </c>
      <c r="B73" s="176"/>
      <c r="C73" s="176"/>
      <c r="D73" s="176"/>
      <c r="E73" s="176"/>
      <c r="F73" s="176"/>
      <c r="G73" s="176"/>
      <c r="H73" s="3"/>
      <c r="I73" s="3"/>
      <c r="J73" s="3"/>
      <c r="K73" s="3"/>
      <c r="L73" s="3"/>
      <c r="M73" s="3"/>
      <c r="N73" s="3"/>
      <c r="O73" s="3"/>
      <c r="P73" s="176" t="s">
        <v>114</v>
      </c>
      <c r="Q73" s="176"/>
      <c r="R73" s="176"/>
      <c r="S73" s="176"/>
      <c r="T73" s="176"/>
      <c r="U73" s="176"/>
      <c r="V73" s="176"/>
      <c r="W73" s="176"/>
      <c r="X73" s="176"/>
      <c r="Y73" s="176"/>
    </row>
    <row r="74" spans="1:27" ht="21.95" customHeight="1" x14ac:dyDescent="0.65">
      <c r="A74" s="176" t="s">
        <v>115</v>
      </c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</row>
    <row r="75" spans="1:27" ht="21.95" customHeight="1" x14ac:dyDescent="0.25">
      <c r="A75" s="177" t="s">
        <v>116</v>
      </c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</row>
    <row r="76" spans="1:27" ht="21" x14ac:dyDescent="0.6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</row>
    <row r="77" spans="1:27" ht="21" x14ac:dyDescent="0.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 spans="1:27" ht="21" x14ac:dyDescent="0.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7" ht="23.25" x14ac:dyDescent="0.65">
      <c r="A79" s="219" t="s">
        <v>148</v>
      </c>
      <c r="B79" s="219"/>
      <c r="C79" s="219"/>
      <c r="D79" s="219"/>
      <c r="E79" s="219"/>
      <c r="F79" s="21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7" ht="25.5" x14ac:dyDescent="0.7">
      <c r="A80" s="40"/>
      <c r="B80" s="40"/>
      <c r="C80" s="40"/>
      <c r="D80" s="40"/>
      <c r="E80" s="40"/>
      <c r="F80" s="4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25.5" x14ac:dyDescent="0.7">
      <c r="A81" s="40"/>
      <c r="B81" s="40"/>
      <c r="C81" s="40"/>
      <c r="D81" s="40"/>
      <c r="E81" s="40"/>
      <c r="F81" s="40"/>
      <c r="G81" s="3"/>
      <c r="H81" s="3"/>
      <c r="I81" s="3"/>
      <c r="J81" s="3"/>
      <c r="K81" s="220" t="s">
        <v>131</v>
      </c>
      <c r="L81" s="220"/>
      <c r="M81" s="220"/>
      <c r="N81" s="220"/>
      <c r="O81" s="220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29.25" x14ac:dyDescent="0.8">
      <c r="A82" s="41"/>
      <c r="B82" s="41"/>
      <c r="C82" s="41"/>
      <c r="D82" s="41"/>
      <c r="E82" s="41"/>
      <c r="F82" s="41"/>
      <c r="G82" s="41"/>
      <c r="H82" s="41"/>
      <c r="I82" s="41"/>
      <c r="J82" s="175"/>
      <c r="K82" s="175"/>
      <c r="L82" s="175"/>
      <c r="M82" s="175"/>
      <c r="N82" s="175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</sheetData>
  <mergeCells count="178">
    <mergeCell ref="A1:Y1"/>
    <mergeCell ref="A2:Y2"/>
    <mergeCell ref="A3:H3"/>
    <mergeCell ref="A4:H4"/>
    <mergeCell ref="A5:H5"/>
    <mergeCell ref="A6:Y6"/>
    <mergeCell ref="I17:J17"/>
    <mergeCell ref="L17:M17"/>
    <mergeCell ref="O17:P17"/>
    <mergeCell ref="R17:S17"/>
    <mergeCell ref="V17:W17"/>
    <mergeCell ref="A7:Y7"/>
    <mergeCell ref="A8:Y8"/>
    <mergeCell ref="P13:S13"/>
    <mergeCell ref="P14:S14"/>
    <mergeCell ref="I16:J16"/>
    <mergeCell ref="L16:M16"/>
    <mergeCell ref="O16:P16"/>
    <mergeCell ref="R16:S16"/>
    <mergeCell ref="V16:W16"/>
    <mergeCell ref="R18:S18"/>
    <mergeCell ref="V18:W18"/>
    <mergeCell ref="I21:J21"/>
    <mergeCell ref="L19:M19"/>
    <mergeCell ref="O19:P19"/>
    <mergeCell ref="R19:S19"/>
    <mergeCell ref="V19:W19"/>
    <mergeCell ref="I20:J20"/>
    <mergeCell ref="O20:P20"/>
    <mergeCell ref="V20:W20"/>
    <mergeCell ref="G22:I22"/>
    <mergeCell ref="G23:I23"/>
    <mergeCell ref="G24:I24"/>
    <mergeCell ref="G25:I25"/>
    <mergeCell ref="G26:I26"/>
    <mergeCell ref="I19:J19"/>
    <mergeCell ref="I18:J18"/>
    <mergeCell ref="L18:M18"/>
    <mergeCell ref="O18:P18"/>
    <mergeCell ref="G27:I27"/>
    <mergeCell ref="U28:Y28"/>
    <mergeCell ref="N29:R29"/>
    <mergeCell ref="N36:O36"/>
    <mergeCell ref="V36:W36"/>
    <mergeCell ref="N37:O37"/>
    <mergeCell ref="V37:W37"/>
    <mergeCell ref="N38:O38"/>
    <mergeCell ref="V38:W38"/>
    <mergeCell ref="A52:B52"/>
    <mergeCell ref="N41:O41"/>
    <mergeCell ref="S41:U41"/>
    <mergeCell ref="V41:W41"/>
    <mergeCell ref="A44:E45"/>
    <mergeCell ref="F44:I45"/>
    <mergeCell ref="J44:O44"/>
    <mergeCell ref="P44:T45"/>
    <mergeCell ref="U44:Y45"/>
    <mergeCell ref="J45:O45"/>
    <mergeCell ref="U49:Y49"/>
    <mergeCell ref="U51:Y51"/>
    <mergeCell ref="C50:E50"/>
    <mergeCell ref="F50:I50"/>
    <mergeCell ref="J50:L50"/>
    <mergeCell ref="A50:B50"/>
    <mergeCell ref="A49:B49"/>
    <mergeCell ref="C49:E49"/>
    <mergeCell ref="F49:I49"/>
    <mergeCell ref="J49:L49"/>
    <mergeCell ref="M49:O49"/>
    <mergeCell ref="P49:T49"/>
    <mergeCell ref="J52:L52"/>
    <mergeCell ref="M52:O52"/>
    <mergeCell ref="Z36:AA36"/>
    <mergeCell ref="J47:L47"/>
    <mergeCell ref="M47:O47"/>
    <mergeCell ref="A48:B48"/>
    <mergeCell ref="C48:E48"/>
    <mergeCell ref="F48:I48"/>
    <mergeCell ref="J48:L48"/>
    <mergeCell ref="M48:O48"/>
    <mergeCell ref="P48:T48"/>
    <mergeCell ref="U48:Y48"/>
    <mergeCell ref="N39:O39"/>
    <mergeCell ref="V39:W39"/>
    <mergeCell ref="N40:O40"/>
    <mergeCell ref="V40:W40"/>
    <mergeCell ref="A46:E47"/>
    <mergeCell ref="F46:I47"/>
    <mergeCell ref="J46:L46"/>
    <mergeCell ref="M46:O46"/>
    <mergeCell ref="P46:T47"/>
    <mergeCell ref="U46:Y47"/>
    <mergeCell ref="A76:Y76"/>
    <mergeCell ref="A79:F79"/>
    <mergeCell ref="K81:O81"/>
    <mergeCell ref="J82:N82"/>
    <mergeCell ref="A53:B53"/>
    <mergeCell ref="C53:E53"/>
    <mergeCell ref="F53:I53"/>
    <mergeCell ref="J53:L53"/>
    <mergeCell ref="M53:O53"/>
    <mergeCell ref="C64:E64"/>
    <mergeCell ref="F64:I64"/>
    <mergeCell ref="J64:L64"/>
    <mergeCell ref="M64:O64"/>
    <mergeCell ref="P64:T64"/>
    <mergeCell ref="U62:Y62"/>
    <mergeCell ref="J62:L62"/>
    <mergeCell ref="M62:O62"/>
    <mergeCell ref="C63:E63"/>
    <mergeCell ref="F63:I63"/>
    <mergeCell ref="A61:B61"/>
    <mergeCell ref="J61:L61"/>
    <mergeCell ref="M61:O61"/>
    <mergeCell ref="U61:Y61"/>
    <mergeCell ref="A60:B60"/>
    <mergeCell ref="P72:Y72"/>
    <mergeCell ref="A73:G73"/>
    <mergeCell ref="P73:Y73"/>
    <mergeCell ref="A74:Y74"/>
    <mergeCell ref="A75:Y75"/>
    <mergeCell ref="U64:Y64"/>
    <mergeCell ref="A65:B65"/>
    <mergeCell ref="C65:E65"/>
    <mergeCell ref="F65:I65"/>
    <mergeCell ref="J65:L65"/>
    <mergeCell ref="M65:O65"/>
    <mergeCell ref="P65:T65"/>
    <mergeCell ref="U65:Y65"/>
    <mergeCell ref="A64:B64"/>
    <mergeCell ref="C61:E61"/>
    <mergeCell ref="F61:I61"/>
    <mergeCell ref="P61:T61"/>
    <mergeCell ref="U63:Y63"/>
    <mergeCell ref="A63:B63"/>
    <mergeCell ref="M50:O50"/>
    <mergeCell ref="P50:T50"/>
    <mergeCell ref="U50:Y50"/>
    <mergeCell ref="A58:E59"/>
    <mergeCell ref="F58:I59"/>
    <mergeCell ref="J58:L58"/>
    <mergeCell ref="M58:O58"/>
    <mergeCell ref="P58:T59"/>
    <mergeCell ref="U58:Y59"/>
    <mergeCell ref="J59:L59"/>
    <mergeCell ref="P53:T53"/>
    <mergeCell ref="A51:B51"/>
    <mergeCell ref="C51:E51"/>
    <mergeCell ref="F51:I51"/>
    <mergeCell ref="J51:L51"/>
    <mergeCell ref="M51:O51"/>
    <mergeCell ref="P51:T51"/>
    <mergeCell ref="C52:E52"/>
    <mergeCell ref="F52:I52"/>
    <mergeCell ref="P52:T52"/>
    <mergeCell ref="U53:Y53"/>
    <mergeCell ref="U52:Y52"/>
    <mergeCell ref="J63:L63"/>
    <mergeCell ref="M63:O63"/>
    <mergeCell ref="P63:T63"/>
    <mergeCell ref="A62:B62"/>
    <mergeCell ref="C62:E62"/>
    <mergeCell ref="F62:I62"/>
    <mergeCell ref="P62:T62"/>
    <mergeCell ref="M59:O59"/>
    <mergeCell ref="U54:Y54"/>
    <mergeCell ref="A56:E57"/>
    <mergeCell ref="F56:I57"/>
    <mergeCell ref="J56:O56"/>
    <mergeCell ref="P56:T57"/>
    <mergeCell ref="U56:Y57"/>
    <mergeCell ref="J57:O57"/>
    <mergeCell ref="U60:Y60"/>
    <mergeCell ref="C60:E60"/>
    <mergeCell ref="F60:I60"/>
    <mergeCell ref="J60:L60"/>
    <mergeCell ref="M60:O60"/>
    <mergeCell ref="P60:T60"/>
  </mergeCells>
  <conditionalFormatting sqref="AB15:AE19">
    <cfRule type="uniqueValues" dxfId="5" priority="1"/>
  </conditionalFormatting>
  <conditionalFormatting sqref="AF49:AH53 AH48 AF45:AG45">
    <cfRule type="duplicateValues" dxfId="4" priority="2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1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view="pageBreakPreview" topLeftCell="A11" zoomScaleNormal="100" zoomScaleSheetLayoutView="100" workbookViewId="0">
      <selection activeCell="AG39" sqref="AG39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4" style="2" customWidth="1"/>
    <col min="27" max="27" width="16.28515625" style="2" customWidth="1"/>
    <col min="28" max="28" width="14.5703125" style="2" customWidth="1"/>
    <col min="29" max="30" width="13.85546875" style="2" customWidth="1"/>
    <col min="31" max="31" width="15" style="2" customWidth="1"/>
    <col min="32" max="34" width="9.140625" style="2"/>
    <col min="35" max="35" width="10.5703125" style="2" bestFit="1" customWidth="1"/>
    <col min="36" max="16384" width="9.140625" style="2"/>
  </cols>
  <sheetData>
    <row r="1" spans="1:31" ht="29.25" x14ac:dyDescent="0.8">
      <c r="A1" s="239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</row>
    <row r="2" spans="1:31" ht="29.25" x14ac:dyDescent="0.8">
      <c r="A2" s="239" t="s">
        <v>1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</row>
    <row r="3" spans="1:31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31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31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31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31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31" ht="23.25" customHeight="1" x14ac:dyDescent="0.25">
      <c r="A8" s="105" t="s">
        <v>149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31" ht="21.95" customHeight="1" x14ac:dyDescent="0.25">
      <c r="A9" s="5" t="s">
        <v>141</v>
      </c>
      <c r="B9" s="7"/>
      <c r="C9" s="7"/>
      <c r="D9" s="7"/>
      <c r="E9" s="7"/>
      <c r="F9" s="79" t="s">
        <v>117</v>
      </c>
      <c r="G9" s="79"/>
      <c r="H9" s="79"/>
      <c r="I9" s="79"/>
      <c r="J9" s="79"/>
      <c r="K9" s="79"/>
      <c r="L9" s="7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1" ht="21.95" customHeight="1" x14ac:dyDescent="0.25">
      <c r="A10" s="7"/>
      <c r="B10" s="7" t="s">
        <v>9</v>
      </c>
      <c r="C10" s="7"/>
      <c r="D10" s="7"/>
      <c r="E10" s="7"/>
      <c r="F10" s="79" t="s">
        <v>118</v>
      </c>
      <c r="G10" s="79"/>
      <c r="H10" s="79"/>
      <c r="I10" s="79"/>
      <c r="J10" s="79"/>
      <c r="K10" s="79"/>
      <c r="L10" s="7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31" ht="21.95" customHeight="1" x14ac:dyDescent="0.25">
      <c r="A11" s="7"/>
      <c r="B11" s="7"/>
      <c r="C11" s="7"/>
      <c r="D11" s="7"/>
      <c r="E11" s="7"/>
      <c r="F11" s="84" t="s">
        <v>119</v>
      </c>
      <c r="G11" s="79"/>
      <c r="H11" s="79"/>
      <c r="I11" s="79"/>
      <c r="J11" s="79"/>
      <c r="K11" s="79"/>
      <c r="L11" s="7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31" ht="21.95" customHeight="1" x14ac:dyDescent="0.25">
      <c r="A12" s="7" t="s">
        <v>10</v>
      </c>
      <c r="B12" s="7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31" ht="21.95" customHeight="1" x14ac:dyDescent="0.25">
      <c r="A13" s="7" t="s">
        <v>140</v>
      </c>
      <c r="B13" s="7"/>
      <c r="C13" s="7"/>
      <c r="D13" s="7"/>
      <c r="E13" s="7"/>
      <c r="F13" s="7"/>
      <c r="G13" s="7"/>
      <c r="H13" s="79" t="s">
        <v>121</v>
      </c>
      <c r="I13" s="79"/>
      <c r="J13" s="79"/>
      <c r="K13" s="79"/>
      <c r="L13" s="79"/>
      <c r="M13" s="79"/>
      <c r="N13" s="79"/>
      <c r="O13" s="79" t="s">
        <v>12</v>
      </c>
      <c r="P13" s="197">
        <v>46014</v>
      </c>
      <c r="Q13" s="197"/>
      <c r="R13" s="197"/>
      <c r="S13" s="197"/>
      <c r="T13" s="7"/>
      <c r="U13" s="7"/>
      <c r="V13" s="7"/>
      <c r="W13" s="7"/>
      <c r="X13" s="7"/>
      <c r="Y13" s="7"/>
    </row>
    <row r="14" spans="1:31" ht="21.95" customHeight="1" x14ac:dyDescent="0.65">
      <c r="A14" s="7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</row>
    <row r="15" spans="1:31" ht="21.95" customHeight="1" x14ac:dyDescent="0.65">
      <c r="A15" s="7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AB15" s="64"/>
      <c r="AE15" s="63"/>
    </row>
    <row r="16" spans="1:31" ht="21" customHeight="1" x14ac:dyDescent="0.25">
      <c r="A16" s="7"/>
      <c r="B16" s="7" t="s">
        <v>15</v>
      </c>
      <c r="C16" s="7"/>
      <c r="D16" s="7"/>
      <c r="E16" s="7"/>
      <c r="F16" s="7" t="s">
        <v>14</v>
      </c>
      <c r="G16" s="5"/>
      <c r="H16" s="7" t="s">
        <v>16</v>
      </c>
      <c r="I16" s="105">
        <v>1</v>
      </c>
      <c r="J16" s="105"/>
      <c r="K16" s="7" t="s">
        <v>17</v>
      </c>
      <c r="L16" s="105"/>
      <c r="M16" s="105"/>
      <c r="N16" s="7" t="s">
        <v>18</v>
      </c>
      <c r="O16" s="105">
        <v>2</v>
      </c>
      <c r="P16" s="105"/>
      <c r="Q16" s="7" t="s">
        <v>17</v>
      </c>
      <c r="R16" s="105"/>
      <c r="S16" s="105"/>
      <c r="T16" s="7" t="s">
        <v>19</v>
      </c>
      <c r="U16" s="7"/>
      <c r="V16" s="109">
        <f>O16+I16</f>
        <v>3</v>
      </c>
      <c r="W16" s="109"/>
      <c r="X16" s="7" t="s">
        <v>17</v>
      </c>
      <c r="Y16" s="7"/>
      <c r="AB16" s="64"/>
      <c r="AE16" s="63"/>
    </row>
    <row r="17" spans="1:31" ht="21" customHeight="1" x14ac:dyDescent="0.25">
      <c r="A17" s="7"/>
      <c r="B17" s="7" t="s">
        <v>20</v>
      </c>
      <c r="C17" s="7"/>
      <c r="D17" s="7"/>
      <c r="E17" s="7"/>
      <c r="F17" s="7" t="s">
        <v>14</v>
      </c>
      <c r="G17" s="7"/>
      <c r="H17" s="7" t="s">
        <v>16</v>
      </c>
      <c r="I17" s="105">
        <v>2</v>
      </c>
      <c r="J17" s="105"/>
      <c r="K17" s="7" t="s">
        <v>17</v>
      </c>
      <c r="L17" s="105"/>
      <c r="M17" s="105"/>
      <c r="N17" s="7" t="s">
        <v>18</v>
      </c>
      <c r="O17" s="105">
        <v>1</v>
      </c>
      <c r="P17" s="105"/>
      <c r="Q17" s="7" t="s">
        <v>17</v>
      </c>
      <c r="R17" s="105"/>
      <c r="S17" s="105"/>
      <c r="T17" s="7" t="s">
        <v>19</v>
      </c>
      <c r="U17" s="7"/>
      <c r="V17" s="109">
        <f>O17+I17</f>
        <v>3</v>
      </c>
      <c r="W17" s="109"/>
      <c r="X17" s="7" t="s">
        <v>17</v>
      </c>
      <c r="Y17" s="7"/>
      <c r="AB17" s="64"/>
      <c r="AE17" s="63"/>
    </row>
    <row r="18" spans="1:31" ht="21" customHeight="1" x14ac:dyDescent="0.25">
      <c r="A18" s="7"/>
      <c r="B18" s="7" t="s">
        <v>21</v>
      </c>
      <c r="C18" s="7"/>
      <c r="D18" s="7"/>
      <c r="E18" s="7"/>
      <c r="F18" s="7" t="s">
        <v>14</v>
      </c>
      <c r="G18" s="7"/>
      <c r="H18" s="7" t="s">
        <v>16</v>
      </c>
      <c r="I18" s="105">
        <v>37</v>
      </c>
      <c r="J18" s="105"/>
      <c r="K18" s="7" t="s">
        <v>17</v>
      </c>
      <c r="L18" s="105"/>
      <c r="M18" s="105"/>
      <c r="N18" s="7" t="s">
        <v>18</v>
      </c>
      <c r="O18" s="105">
        <v>86</v>
      </c>
      <c r="P18" s="105"/>
      <c r="Q18" s="7" t="s">
        <v>17</v>
      </c>
      <c r="R18" s="105"/>
      <c r="S18" s="105"/>
      <c r="T18" s="7" t="s">
        <v>19</v>
      </c>
      <c r="U18" s="7"/>
      <c r="V18" s="109">
        <f>O18+I18</f>
        <v>123</v>
      </c>
      <c r="W18" s="109"/>
      <c r="X18" s="7" t="s">
        <v>17</v>
      </c>
      <c r="Y18" s="7"/>
      <c r="AB18" s="64"/>
      <c r="AE18" s="63"/>
    </row>
    <row r="19" spans="1:31" ht="21" customHeight="1" x14ac:dyDescent="0.25">
      <c r="A19" s="7"/>
      <c r="B19" s="19" t="s">
        <v>22</v>
      </c>
      <c r="C19" s="7"/>
      <c r="D19" s="7"/>
      <c r="E19" s="7"/>
      <c r="F19" s="7" t="s">
        <v>14</v>
      </c>
      <c r="G19" s="7"/>
      <c r="H19" s="7" t="s">
        <v>16</v>
      </c>
      <c r="I19" s="105">
        <v>18</v>
      </c>
      <c r="J19" s="105"/>
      <c r="K19" s="7" t="s">
        <v>17</v>
      </c>
      <c r="L19" s="105"/>
      <c r="M19" s="105"/>
      <c r="N19" s="7" t="s">
        <v>18</v>
      </c>
      <c r="O19" s="105">
        <v>27</v>
      </c>
      <c r="P19" s="105"/>
      <c r="Q19" s="7" t="s">
        <v>17</v>
      </c>
      <c r="R19" s="105"/>
      <c r="S19" s="105"/>
      <c r="T19" s="7" t="s">
        <v>19</v>
      </c>
      <c r="U19" s="7"/>
      <c r="V19" s="109">
        <f>O19+I19</f>
        <v>45</v>
      </c>
      <c r="W19" s="109"/>
      <c r="X19" s="7" t="s">
        <v>17</v>
      </c>
      <c r="Y19" s="7"/>
      <c r="Z19" s="12">
        <f>V16+V17+V18+V19</f>
        <v>174</v>
      </c>
      <c r="AB19" s="64"/>
      <c r="AE19" s="63"/>
    </row>
    <row r="20" spans="1:31" ht="21" customHeight="1" x14ac:dyDescent="0.25">
      <c r="A20" s="7"/>
      <c r="B20" s="19" t="s">
        <v>23</v>
      </c>
      <c r="C20" s="7"/>
      <c r="D20" s="7"/>
      <c r="E20" s="7"/>
      <c r="F20" s="7" t="s">
        <v>14</v>
      </c>
      <c r="G20" s="7"/>
      <c r="H20" s="7" t="s">
        <v>16</v>
      </c>
      <c r="I20" s="105">
        <f>I18+I19</f>
        <v>55</v>
      </c>
      <c r="J20" s="105"/>
      <c r="K20" s="7" t="s">
        <v>17</v>
      </c>
      <c r="L20" s="90"/>
      <c r="M20" s="90"/>
      <c r="N20" s="7" t="s">
        <v>18</v>
      </c>
      <c r="O20" s="105">
        <f>O18+O19</f>
        <v>113</v>
      </c>
      <c r="P20" s="105"/>
      <c r="Q20" s="7" t="s">
        <v>17</v>
      </c>
      <c r="R20" s="88"/>
      <c r="S20" s="88"/>
      <c r="T20" s="7" t="s">
        <v>19</v>
      </c>
      <c r="U20" s="7"/>
      <c r="V20" s="109">
        <f>V18+V19</f>
        <v>168</v>
      </c>
      <c r="W20" s="109"/>
      <c r="X20" s="7" t="s">
        <v>17</v>
      </c>
      <c r="Y20" s="7"/>
      <c r="AB20" s="63"/>
      <c r="AE20" s="63"/>
    </row>
    <row r="21" spans="1:31" ht="21.95" customHeight="1" x14ac:dyDescent="0.25">
      <c r="A21" s="7" t="s">
        <v>24</v>
      </c>
      <c r="B21" s="7"/>
      <c r="C21" s="7"/>
      <c r="D21" s="7"/>
      <c r="E21" s="7"/>
      <c r="F21" s="7" t="s">
        <v>14</v>
      </c>
      <c r="G21" s="7"/>
      <c r="H21" s="7"/>
      <c r="I21" s="237"/>
      <c r="J21" s="23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AB21" s="63"/>
      <c r="AE21" s="63"/>
    </row>
    <row r="22" spans="1:31" ht="21.95" customHeight="1" x14ac:dyDescent="0.25">
      <c r="A22" s="7"/>
      <c r="B22" s="7" t="s">
        <v>15</v>
      </c>
      <c r="C22" s="7"/>
      <c r="D22" s="7"/>
      <c r="E22" s="7"/>
      <c r="F22" s="7" t="s">
        <v>14</v>
      </c>
      <c r="G22" s="238">
        <v>4900</v>
      </c>
      <c r="H22" s="238"/>
      <c r="I22" s="238"/>
      <c r="J22" s="62"/>
      <c r="K22" s="7" t="s">
        <v>25</v>
      </c>
      <c r="L22" s="7"/>
      <c r="M22" s="62"/>
      <c r="N22" s="6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31" ht="21.95" customHeight="1" x14ac:dyDescent="0.25">
      <c r="A23" s="7"/>
      <c r="B23" s="7" t="s">
        <v>20</v>
      </c>
      <c r="C23" s="7"/>
      <c r="D23" s="7"/>
      <c r="E23" s="7"/>
      <c r="F23" s="7" t="s">
        <v>14</v>
      </c>
      <c r="G23" s="238">
        <v>2750.39</v>
      </c>
      <c r="H23" s="238"/>
      <c r="I23" s="238"/>
      <c r="J23" s="62"/>
      <c r="K23" s="7" t="s">
        <v>25</v>
      </c>
      <c r="L23" s="7"/>
      <c r="M23" s="62"/>
      <c r="N23" s="62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31" ht="21.95" customHeight="1" x14ac:dyDescent="0.25">
      <c r="A24" s="7"/>
      <c r="B24" s="7" t="s">
        <v>21</v>
      </c>
      <c r="C24" s="7"/>
      <c r="D24" s="7"/>
      <c r="E24" s="7"/>
      <c r="F24" s="7" t="s">
        <v>14</v>
      </c>
      <c r="G24" s="238">
        <v>33498.300000000003</v>
      </c>
      <c r="H24" s="238"/>
      <c r="I24" s="238"/>
      <c r="J24" s="62"/>
      <c r="K24" s="7" t="s">
        <v>25</v>
      </c>
      <c r="L24" s="7"/>
      <c r="M24" s="62"/>
      <c r="N24" s="6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31" ht="21.95" customHeight="1" x14ac:dyDescent="0.25">
      <c r="A25" s="7"/>
      <c r="B25" s="7" t="s">
        <v>22</v>
      </c>
      <c r="C25" s="7"/>
      <c r="D25" s="7"/>
      <c r="E25" s="7"/>
      <c r="F25" s="7" t="s">
        <v>14</v>
      </c>
      <c r="G25" s="238">
        <v>19861.650000000001</v>
      </c>
      <c r="H25" s="238"/>
      <c r="I25" s="238"/>
      <c r="J25" s="62"/>
      <c r="K25" s="7" t="s">
        <v>25</v>
      </c>
      <c r="L25" s="7"/>
      <c r="M25" s="62"/>
      <c r="N25" s="62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31" ht="21.6" customHeight="1" x14ac:dyDescent="0.25">
      <c r="A26" s="7"/>
      <c r="B26" s="19" t="s">
        <v>23</v>
      </c>
      <c r="C26" s="7"/>
      <c r="D26" s="7"/>
      <c r="E26" s="7"/>
      <c r="F26" s="7" t="s">
        <v>14</v>
      </c>
      <c r="G26" s="238">
        <f>G25+G24</f>
        <v>53359.950000000004</v>
      </c>
      <c r="H26" s="238"/>
      <c r="I26" s="238"/>
      <c r="J26" s="62"/>
      <c r="K26" s="7" t="s">
        <v>25</v>
      </c>
      <c r="L26" s="7"/>
      <c r="M26" s="62"/>
      <c r="N26" s="62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31" ht="21.95" customHeight="1" x14ac:dyDescent="0.65">
      <c r="A27" s="7" t="s">
        <v>26</v>
      </c>
      <c r="B27" s="3"/>
      <c r="C27" s="3"/>
      <c r="D27" s="3"/>
      <c r="E27" s="3"/>
      <c r="F27" s="3" t="s">
        <v>14</v>
      </c>
      <c r="G27" s="236"/>
      <c r="H27" s="236"/>
      <c r="I27" s="236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31" ht="23.25" x14ac:dyDescent="0.65">
      <c r="A28" s="3"/>
      <c r="B28" s="7" t="s">
        <v>27</v>
      </c>
      <c r="C28" s="7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7"/>
      <c r="O28" s="7" t="s">
        <v>30</v>
      </c>
      <c r="P28" s="3"/>
      <c r="Q28" s="3"/>
      <c r="R28" s="3"/>
      <c r="S28" s="3"/>
      <c r="T28" s="3"/>
      <c r="U28" s="235">
        <v>208</v>
      </c>
      <c r="V28" s="235"/>
      <c r="W28" s="235"/>
      <c r="X28" s="235"/>
      <c r="Y28" s="235"/>
    </row>
    <row r="29" spans="1:31" ht="23.25" x14ac:dyDescent="0.65">
      <c r="A29" s="3"/>
      <c r="B29" s="7" t="s">
        <v>31</v>
      </c>
      <c r="C29" s="7"/>
      <c r="D29" s="3"/>
      <c r="E29" s="82" t="s">
        <v>32</v>
      </c>
      <c r="F29" s="82"/>
      <c r="G29" s="82"/>
      <c r="H29" s="82"/>
      <c r="I29" s="7" t="s">
        <v>33</v>
      </c>
      <c r="J29" s="3"/>
      <c r="K29" s="3"/>
      <c r="L29" s="3"/>
      <c r="M29" s="3"/>
      <c r="N29" s="112">
        <v>30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31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18"/>
    </row>
    <row r="31" spans="1:31" ht="23.25" x14ac:dyDescent="0.65">
      <c r="A31" s="7"/>
      <c r="B31" s="3" t="s">
        <v>35</v>
      </c>
      <c r="C31" s="7"/>
      <c r="D31" s="79" t="s">
        <v>36</v>
      </c>
      <c r="E31" s="79"/>
      <c r="F31" s="79"/>
      <c r="G31" s="7"/>
      <c r="H31" s="7"/>
      <c r="I31" s="7"/>
      <c r="J31" s="7"/>
      <c r="K31" s="7"/>
      <c r="L31" s="3" t="s">
        <v>37</v>
      </c>
      <c r="M31" s="7"/>
      <c r="N31" s="7"/>
      <c r="O31" s="7"/>
      <c r="P31" s="79" t="s">
        <v>38</v>
      </c>
      <c r="Q31" s="79"/>
      <c r="R31" s="79" t="s">
        <v>39</v>
      </c>
      <c r="S31" s="79"/>
      <c r="T31" s="79"/>
      <c r="U31" s="79"/>
      <c r="V31" s="7"/>
      <c r="W31" s="7"/>
      <c r="X31" s="7"/>
      <c r="Y31" s="7"/>
    </row>
    <row r="32" spans="1:31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37" ht="23.25" x14ac:dyDescent="0.25">
      <c r="A33" s="5"/>
      <c r="B33" s="80" t="s">
        <v>41</v>
      </c>
      <c r="C33" s="79"/>
      <c r="D33" s="79"/>
      <c r="E33" s="79"/>
      <c r="F33" s="79"/>
      <c r="G33" s="79"/>
      <c r="H33" s="7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37" ht="23.25" x14ac:dyDescent="0.65">
      <c r="A34" s="5"/>
      <c r="B34" s="80" t="s">
        <v>42</v>
      </c>
      <c r="C34" s="79"/>
      <c r="D34" s="79"/>
      <c r="E34" s="81" t="s">
        <v>43</v>
      </c>
      <c r="F34" s="79" t="s">
        <v>44</v>
      </c>
      <c r="G34" s="79" t="s">
        <v>45</v>
      </c>
      <c r="H34" s="79" t="s">
        <v>46</v>
      </c>
      <c r="I34" s="7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37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78"/>
      <c r="AA35" s="78"/>
      <c r="AB35" s="78"/>
      <c r="AC35" s="78"/>
      <c r="AD35" s="58" t="s">
        <v>90</v>
      </c>
      <c r="AE35" s="58" t="s">
        <v>129</v>
      </c>
    </row>
    <row r="36" spans="1:37" ht="23.25" x14ac:dyDescent="0.65">
      <c r="A36" s="3"/>
      <c r="B36" s="3" t="s">
        <v>49</v>
      </c>
      <c r="C36" s="3"/>
      <c r="D36" s="3"/>
      <c r="E36" s="3"/>
      <c r="F36" s="3"/>
      <c r="G36" s="82" t="s">
        <v>50</v>
      </c>
      <c r="H36" s="82"/>
      <c r="I36" s="82"/>
      <c r="J36" s="82"/>
      <c r="K36" s="82"/>
      <c r="L36" s="3"/>
      <c r="M36" s="3" t="s">
        <v>19</v>
      </c>
      <c r="N36" s="113">
        <v>2</v>
      </c>
      <c r="O36" s="113"/>
      <c r="P36" s="3" t="s">
        <v>51</v>
      </c>
      <c r="Q36" s="61"/>
      <c r="R36" s="3"/>
      <c r="S36" s="3" t="s">
        <v>52</v>
      </c>
      <c r="T36" s="3"/>
      <c r="U36" s="3"/>
      <c r="V36" s="113">
        <v>2</v>
      </c>
      <c r="W36" s="113"/>
      <c r="X36" s="3" t="s">
        <v>53</v>
      </c>
      <c r="Y36" s="3"/>
      <c r="Z36" s="223" t="s">
        <v>139</v>
      </c>
      <c r="AA36" s="223"/>
      <c r="AB36" s="85" t="s">
        <v>138</v>
      </c>
      <c r="AC36" s="85" t="s">
        <v>137</v>
      </c>
      <c r="AD36" s="55">
        <v>-894</v>
      </c>
      <c r="AE36" s="55">
        <v>-358</v>
      </c>
      <c r="AF36" s="2">
        <f>AD36/30</f>
        <v>-29.8</v>
      </c>
      <c r="AG36" s="2">
        <f>AE36/30</f>
        <v>-11.933333333333334</v>
      </c>
    </row>
    <row r="37" spans="1:37" ht="23.25" x14ac:dyDescent="0.65">
      <c r="A37" s="3"/>
      <c r="B37" s="3" t="s">
        <v>54</v>
      </c>
      <c r="C37" s="3"/>
      <c r="D37" s="3"/>
      <c r="E37" s="3"/>
      <c r="F37" s="3"/>
      <c r="G37" s="82" t="s">
        <v>55</v>
      </c>
      <c r="H37" s="82"/>
      <c r="I37" s="82"/>
      <c r="J37" s="82"/>
      <c r="K37" s="82"/>
      <c r="L37" s="3"/>
      <c r="M37" s="3" t="s">
        <v>19</v>
      </c>
      <c r="N37" s="113">
        <v>1</v>
      </c>
      <c r="O37" s="113"/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53" t="s">
        <v>127</v>
      </c>
      <c r="AA37" s="53" t="s">
        <v>90</v>
      </c>
      <c r="AB37" s="54" t="s">
        <v>136</v>
      </c>
      <c r="AC37" s="55">
        <v>41078</v>
      </c>
      <c r="AD37" s="55">
        <f>AC37+AD36</f>
        <v>40184</v>
      </c>
      <c r="AE37" s="55">
        <f>AC38+AE36</f>
        <v>13046</v>
      </c>
      <c r="AF37" s="2">
        <f>AD37/208</f>
        <v>193.19230769230768</v>
      </c>
      <c r="AG37" s="2">
        <f>AE37/208</f>
        <v>62.721153846153847</v>
      </c>
    </row>
    <row r="38" spans="1:37" ht="23.25" x14ac:dyDescent="0.65">
      <c r="A38" s="3"/>
      <c r="B38" s="3" t="s">
        <v>58</v>
      </c>
      <c r="C38" s="3"/>
      <c r="D38" s="3"/>
      <c r="E38" s="3"/>
      <c r="F38" s="3"/>
      <c r="G38" s="82" t="s">
        <v>59</v>
      </c>
      <c r="H38" s="82"/>
      <c r="I38" s="82"/>
      <c r="J38" s="82"/>
      <c r="K38" s="82"/>
      <c r="L38" s="3"/>
      <c r="M38" s="3" t="s">
        <v>19</v>
      </c>
      <c r="N38" s="113">
        <v>131</v>
      </c>
      <c r="O38" s="113"/>
      <c r="P38" s="3" t="s">
        <v>53</v>
      </c>
      <c r="Q38" s="3"/>
      <c r="R38" s="3"/>
      <c r="S38" s="3" t="s">
        <v>52</v>
      </c>
      <c r="T38" s="3"/>
      <c r="U38" s="3"/>
      <c r="V38" s="113">
        <v>127</v>
      </c>
      <c r="W38" s="113"/>
      <c r="X38" s="3" t="s">
        <v>53</v>
      </c>
      <c r="Y38" s="3"/>
      <c r="Z38" s="54" t="s">
        <v>127</v>
      </c>
      <c r="AA38" s="53" t="s">
        <v>129</v>
      </c>
      <c r="AB38" s="54" t="s">
        <v>136</v>
      </c>
      <c r="AC38" s="55">
        <v>13404</v>
      </c>
      <c r="AD38" s="85"/>
      <c r="AE38" s="85"/>
    </row>
    <row r="39" spans="1:37" ht="23.25" x14ac:dyDescent="0.65">
      <c r="A39" s="3"/>
      <c r="B39" s="3" t="s">
        <v>60</v>
      </c>
      <c r="C39" s="3"/>
      <c r="D39" s="3"/>
      <c r="E39" s="3"/>
      <c r="F39" s="3"/>
      <c r="G39" s="82" t="s">
        <v>61</v>
      </c>
      <c r="H39" s="82"/>
      <c r="I39" s="82"/>
      <c r="J39" s="82"/>
      <c r="K39" s="82"/>
      <c r="L39" s="3"/>
      <c r="M39" s="3" t="s">
        <v>19</v>
      </c>
      <c r="N39" s="113">
        <v>14</v>
      </c>
      <c r="O39" s="113"/>
      <c r="P39" s="3" t="s">
        <v>53</v>
      </c>
      <c r="Q39" s="3"/>
      <c r="R39" s="3"/>
      <c r="S39" s="3" t="s">
        <v>52</v>
      </c>
      <c r="T39" s="3"/>
      <c r="U39" s="3"/>
      <c r="V39" s="113">
        <v>12</v>
      </c>
      <c r="W39" s="113"/>
      <c r="X39" s="3" t="s">
        <v>53</v>
      </c>
      <c r="Y39" s="3"/>
      <c r="Z39" s="91"/>
      <c r="AA39" s="91"/>
      <c r="AB39" s="91"/>
      <c r="AC39" s="98">
        <f>SUM(AC37:AC38)</f>
        <v>54482</v>
      </c>
      <c r="AD39" s="92"/>
      <c r="AE39" s="92"/>
      <c r="AF39" s="93"/>
      <c r="AG39" s="93"/>
    </row>
    <row r="40" spans="1:37" ht="23.25" x14ac:dyDescent="0.65">
      <c r="A40" s="3"/>
      <c r="B40" s="3" t="s">
        <v>64</v>
      </c>
      <c r="C40" s="3"/>
      <c r="D40" s="3"/>
      <c r="E40" s="3"/>
      <c r="F40" s="3"/>
      <c r="G40" s="82" t="s">
        <v>65</v>
      </c>
      <c r="H40" s="82"/>
      <c r="I40" s="82"/>
      <c r="J40" s="82"/>
      <c r="K40" s="82"/>
      <c r="L40" s="3"/>
      <c r="M40" s="3" t="s">
        <v>19</v>
      </c>
      <c r="N40" s="113">
        <v>25</v>
      </c>
      <c r="O40" s="113"/>
      <c r="P40" s="3" t="s">
        <v>53</v>
      </c>
      <c r="Q40" s="3"/>
      <c r="R40" s="3"/>
      <c r="S40" s="3" t="s">
        <v>52</v>
      </c>
      <c r="T40" s="3"/>
      <c r="U40" s="3"/>
      <c r="V40" s="113">
        <v>21</v>
      </c>
      <c r="W40" s="113"/>
      <c r="X40" s="3" t="s">
        <v>53</v>
      </c>
      <c r="Y40" s="3"/>
      <c r="Z40" s="92"/>
      <c r="AA40" s="94"/>
      <c r="AB40" s="94"/>
      <c r="AC40" s="94"/>
      <c r="AD40" s="92"/>
      <c r="AE40" s="94"/>
      <c r="AF40" s="93"/>
      <c r="AG40" s="93"/>
    </row>
    <row r="41" spans="1:37" ht="23.25" x14ac:dyDescent="0.6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 t="s">
        <v>66</v>
      </c>
      <c r="M41" s="23"/>
      <c r="N41" s="116">
        <f>SUM(N36:N40)</f>
        <v>173</v>
      </c>
      <c r="O41" s="116"/>
      <c r="P41" s="24" t="s">
        <v>53</v>
      </c>
      <c r="Q41" s="23"/>
      <c r="R41" s="23"/>
      <c r="S41" s="116" t="s">
        <v>52</v>
      </c>
      <c r="T41" s="116"/>
      <c r="U41" s="116"/>
      <c r="V41" s="116">
        <f>SUM(V36:W40)</f>
        <v>163</v>
      </c>
      <c r="W41" s="116"/>
      <c r="X41" s="24" t="s">
        <v>53</v>
      </c>
      <c r="Y41" s="23"/>
      <c r="Z41" s="95"/>
      <c r="AA41" s="96"/>
      <c r="AB41" s="94"/>
      <c r="AC41" s="97"/>
      <c r="AD41" s="94"/>
      <c r="AE41" s="94"/>
      <c r="AF41" s="93"/>
      <c r="AG41" s="93"/>
    </row>
    <row r="42" spans="1:37" ht="23.25" x14ac:dyDescent="0.65">
      <c r="A42" s="3" t="s">
        <v>67</v>
      </c>
      <c r="B42" s="87"/>
      <c r="C42" s="87"/>
      <c r="D42" s="87"/>
      <c r="E42" s="87"/>
      <c r="F42" s="8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AC42" s="59"/>
    </row>
    <row r="43" spans="1:37" ht="9.9499999999999993" customHeight="1" x14ac:dyDescent="0.6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37" ht="21" x14ac:dyDescent="0.6">
      <c r="A44" s="122" t="s">
        <v>68</v>
      </c>
      <c r="B44" s="123"/>
      <c r="C44" s="123"/>
      <c r="D44" s="123"/>
      <c r="E44" s="124"/>
      <c r="F44" s="122" t="s">
        <v>69</v>
      </c>
      <c r="G44" s="123"/>
      <c r="H44" s="123"/>
      <c r="I44" s="124"/>
      <c r="J44" s="119" t="s">
        <v>70</v>
      </c>
      <c r="K44" s="119"/>
      <c r="L44" s="119"/>
      <c r="M44" s="119"/>
      <c r="N44" s="119"/>
      <c r="O44" s="119"/>
      <c r="P44" s="128" t="s">
        <v>71</v>
      </c>
      <c r="Q44" s="128"/>
      <c r="R44" s="128"/>
      <c r="S44" s="128"/>
      <c r="T44" s="128"/>
      <c r="U44" s="128" t="s">
        <v>72</v>
      </c>
      <c r="V44" s="128"/>
      <c r="W44" s="128"/>
      <c r="X44" s="128"/>
      <c r="Y44" s="128"/>
      <c r="AD44" s="57"/>
      <c r="AE44" s="57"/>
      <c r="AF44" s="57"/>
      <c r="AG44" s="56"/>
    </row>
    <row r="45" spans="1:37" x14ac:dyDescent="0.25">
      <c r="A45" s="125"/>
      <c r="B45" s="126"/>
      <c r="C45" s="126"/>
      <c r="D45" s="126"/>
      <c r="E45" s="127"/>
      <c r="F45" s="125"/>
      <c r="G45" s="126"/>
      <c r="H45" s="126"/>
      <c r="I45" s="127"/>
      <c r="J45" s="198" t="s">
        <v>73</v>
      </c>
      <c r="K45" s="198"/>
      <c r="L45" s="198"/>
      <c r="M45" s="198"/>
      <c r="N45" s="198"/>
      <c r="O45" s="198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AF45" s="57"/>
      <c r="AG45" s="56"/>
    </row>
    <row r="46" spans="1:37" ht="21" x14ac:dyDescent="0.6">
      <c r="A46" s="199" t="s">
        <v>74</v>
      </c>
      <c r="B46" s="199"/>
      <c r="C46" s="199"/>
      <c r="D46" s="199"/>
      <c r="E46" s="199"/>
      <c r="F46" s="199" t="s">
        <v>75</v>
      </c>
      <c r="G46" s="199"/>
      <c r="H46" s="199"/>
      <c r="I46" s="199"/>
      <c r="J46" s="119" t="s">
        <v>76</v>
      </c>
      <c r="K46" s="119"/>
      <c r="L46" s="119"/>
      <c r="M46" s="119" t="s">
        <v>77</v>
      </c>
      <c r="N46" s="119"/>
      <c r="O46" s="119"/>
      <c r="P46" s="201" t="s">
        <v>78</v>
      </c>
      <c r="Q46" s="199"/>
      <c r="R46" s="199"/>
      <c r="S46" s="199"/>
      <c r="T46" s="199"/>
      <c r="U46" s="199" t="s">
        <v>79</v>
      </c>
      <c r="V46" s="199"/>
      <c r="W46" s="199"/>
      <c r="X46" s="199"/>
      <c r="Y46" s="199"/>
      <c r="AF46" s="57"/>
      <c r="AG46" s="56"/>
    </row>
    <row r="47" spans="1:37" x14ac:dyDescent="0.25">
      <c r="A47" s="200"/>
      <c r="B47" s="200"/>
      <c r="C47" s="200"/>
      <c r="D47" s="200"/>
      <c r="E47" s="200"/>
      <c r="F47" s="200"/>
      <c r="G47" s="200"/>
      <c r="H47" s="200"/>
      <c r="I47" s="200"/>
      <c r="J47" s="202" t="s">
        <v>80</v>
      </c>
      <c r="K47" s="202"/>
      <c r="L47" s="202"/>
      <c r="M47" s="202" t="s">
        <v>81</v>
      </c>
      <c r="N47" s="202"/>
      <c r="O47" s="202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AF47" s="57"/>
      <c r="AG47" s="56"/>
    </row>
    <row r="48" spans="1:37" ht="20.100000000000001" customHeight="1" x14ac:dyDescent="0.25">
      <c r="A48" s="204" t="s">
        <v>127</v>
      </c>
      <c r="B48" s="204"/>
      <c r="C48" s="204" t="s">
        <v>90</v>
      </c>
      <c r="D48" s="204"/>
      <c r="E48" s="204"/>
      <c r="F48" s="205" t="s">
        <v>88</v>
      </c>
      <c r="G48" s="205" t="s">
        <v>83</v>
      </c>
      <c r="H48" s="205" t="s">
        <v>83</v>
      </c>
      <c r="I48" s="205" t="s">
        <v>83</v>
      </c>
      <c r="J48" s="206">
        <v>8</v>
      </c>
      <c r="K48" s="206"/>
      <c r="L48" s="206"/>
      <c r="M48" s="230">
        <v>193</v>
      </c>
      <c r="N48" s="230"/>
      <c r="O48" s="230"/>
      <c r="P48" s="208">
        <f t="shared" ref="P48:P51" si="0">M48*J48</f>
        <v>1544</v>
      </c>
      <c r="Q48" s="208"/>
      <c r="R48" s="208"/>
      <c r="S48" s="208"/>
      <c r="T48" s="208"/>
      <c r="U48" s="203">
        <f>M48*($U$28)</f>
        <v>40144</v>
      </c>
      <c r="V48" s="203"/>
      <c r="W48" s="203"/>
      <c r="X48" s="203"/>
      <c r="Y48" s="203"/>
      <c r="AI48" s="26"/>
      <c r="AK48" s="27"/>
    </row>
    <row r="49" spans="1:37" ht="20.100000000000001" customHeight="1" x14ac:dyDescent="0.25">
      <c r="A49" s="204" t="s">
        <v>127</v>
      </c>
      <c r="B49" s="204"/>
      <c r="C49" s="204" t="s">
        <v>129</v>
      </c>
      <c r="D49" s="204"/>
      <c r="E49" s="204"/>
      <c r="F49" s="205" t="s">
        <v>88</v>
      </c>
      <c r="G49" s="205"/>
      <c r="H49" s="205"/>
      <c r="I49" s="205"/>
      <c r="J49" s="206">
        <v>8</v>
      </c>
      <c r="K49" s="206"/>
      <c r="L49" s="206"/>
      <c r="M49" s="230">
        <v>63</v>
      </c>
      <c r="N49" s="230"/>
      <c r="O49" s="230"/>
      <c r="P49" s="208">
        <f t="shared" si="0"/>
        <v>504</v>
      </c>
      <c r="Q49" s="208"/>
      <c r="R49" s="208"/>
      <c r="S49" s="208"/>
      <c r="T49" s="208"/>
      <c r="U49" s="203">
        <f>M49*($U$28)</f>
        <v>13104</v>
      </c>
      <c r="V49" s="203"/>
      <c r="W49" s="203"/>
      <c r="X49" s="203"/>
      <c r="Y49" s="203"/>
      <c r="AC49" s="47"/>
      <c r="AG49" s="50"/>
      <c r="AI49" s="26"/>
      <c r="AK49" s="27"/>
    </row>
    <row r="50" spans="1:37" ht="20.100000000000001" customHeight="1" x14ac:dyDescent="0.25">
      <c r="A50" s="204" t="s">
        <v>127</v>
      </c>
      <c r="B50" s="204"/>
      <c r="C50" s="204" t="s">
        <v>90</v>
      </c>
      <c r="D50" s="204"/>
      <c r="E50" s="204"/>
      <c r="F50" s="205" t="s">
        <v>88</v>
      </c>
      <c r="G50" s="205" t="s">
        <v>83</v>
      </c>
      <c r="H50" s="205" t="s">
        <v>83</v>
      </c>
      <c r="I50" s="205" t="s">
        <v>83</v>
      </c>
      <c r="J50" s="206">
        <v>2</v>
      </c>
      <c r="K50" s="206"/>
      <c r="L50" s="206"/>
      <c r="M50" s="230">
        <v>29</v>
      </c>
      <c r="N50" s="230"/>
      <c r="O50" s="230"/>
      <c r="P50" s="208">
        <f t="shared" si="0"/>
        <v>58</v>
      </c>
      <c r="Q50" s="208"/>
      <c r="R50" s="208"/>
      <c r="S50" s="208"/>
      <c r="T50" s="208"/>
      <c r="U50" s="203">
        <f>M50*($N$29)</f>
        <v>870</v>
      </c>
      <c r="V50" s="203"/>
      <c r="W50" s="203"/>
      <c r="X50" s="203"/>
      <c r="Y50" s="203"/>
      <c r="AI50" s="26"/>
      <c r="AK50" s="27"/>
    </row>
    <row r="51" spans="1:37" ht="20.100000000000001" customHeight="1" x14ac:dyDescent="0.25">
      <c r="A51" s="204" t="s">
        <v>127</v>
      </c>
      <c r="B51" s="204"/>
      <c r="C51" s="204" t="s">
        <v>129</v>
      </c>
      <c r="D51" s="204"/>
      <c r="E51" s="204"/>
      <c r="F51" s="205" t="s">
        <v>88</v>
      </c>
      <c r="G51" s="205" t="s">
        <v>83</v>
      </c>
      <c r="H51" s="205" t="s">
        <v>83</v>
      </c>
      <c r="I51" s="205" t="s">
        <v>83</v>
      </c>
      <c r="J51" s="206">
        <v>2</v>
      </c>
      <c r="K51" s="206"/>
      <c r="L51" s="206"/>
      <c r="M51" s="230">
        <v>12</v>
      </c>
      <c r="N51" s="230"/>
      <c r="O51" s="230"/>
      <c r="P51" s="208">
        <f t="shared" si="0"/>
        <v>24</v>
      </c>
      <c r="Q51" s="208"/>
      <c r="R51" s="208"/>
      <c r="S51" s="208"/>
      <c r="T51" s="208"/>
      <c r="U51" s="203">
        <f>M51*($N$29)</f>
        <v>360</v>
      </c>
      <c r="V51" s="203"/>
      <c r="W51" s="203"/>
      <c r="X51" s="203"/>
      <c r="Y51" s="203"/>
      <c r="Z51" s="28">
        <f>SUM(U48:Y51)</f>
        <v>54478</v>
      </c>
    </row>
    <row r="52" spans="1:37" ht="23.25" x14ac:dyDescent="0.25">
      <c r="A52" s="88"/>
      <c r="B52" s="88"/>
      <c r="C52" s="88"/>
      <c r="D52" s="88"/>
      <c r="E52" s="88"/>
      <c r="F52" s="88"/>
      <c r="G52" s="88"/>
      <c r="H52" s="88"/>
      <c r="I52" s="88"/>
      <c r="J52" s="30"/>
      <c r="K52" s="30"/>
      <c r="L52" s="30"/>
      <c r="M52" s="31"/>
      <c r="N52" s="31"/>
      <c r="O52" s="31"/>
      <c r="P52" s="32"/>
      <c r="Q52" s="32"/>
      <c r="R52" s="32"/>
      <c r="S52" s="32"/>
      <c r="T52" s="32"/>
      <c r="U52" s="221"/>
      <c r="V52" s="221"/>
      <c r="W52" s="221"/>
      <c r="X52" s="221"/>
      <c r="Y52" s="221"/>
      <c r="Z52" s="47"/>
      <c r="AA52" s="27"/>
      <c r="AF52"/>
      <c r="AG52"/>
      <c r="AH52"/>
    </row>
    <row r="53" spans="1:37" s="3" customFormat="1" ht="23.25" x14ac:dyDescent="0.65">
      <c r="A53" s="3" t="s">
        <v>95</v>
      </c>
    </row>
    <row r="54" spans="1:37" ht="21" x14ac:dyDescent="0.6">
      <c r="A54" s="122" t="s">
        <v>68</v>
      </c>
      <c r="B54" s="123"/>
      <c r="C54" s="123"/>
      <c r="D54" s="123"/>
      <c r="E54" s="124"/>
      <c r="F54" s="122" t="s">
        <v>69</v>
      </c>
      <c r="G54" s="123"/>
      <c r="H54" s="123"/>
      <c r="I54" s="124"/>
      <c r="J54" s="119" t="s">
        <v>96</v>
      </c>
      <c r="K54" s="119"/>
      <c r="L54" s="119"/>
      <c r="M54" s="119"/>
      <c r="N54" s="119"/>
      <c r="O54" s="119"/>
      <c r="P54" s="122" t="s">
        <v>66</v>
      </c>
      <c r="Q54" s="123"/>
      <c r="R54" s="123"/>
      <c r="S54" s="123"/>
      <c r="T54" s="124"/>
      <c r="U54" s="122" t="s">
        <v>97</v>
      </c>
      <c r="V54" s="123"/>
      <c r="W54" s="123"/>
      <c r="X54" s="123"/>
      <c r="Y54" s="124"/>
      <c r="AF54"/>
      <c r="AG54"/>
      <c r="AH54"/>
    </row>
    <row r="55" spans="1:37" x14ac:dyDescent="0.25">
      <c r="A55" s="125"/>
      <c r="B55" s="126"/>
      <c r="C55" s="126"/>
      <c r="D55" s="126"/>
      <c r="E55" s="127"/>
      <c r="F55" s="125"/>
      <c r="G55" s="126"/>
      <c r="H55" s="126"/>
      <c r="I55" s="127"/>
      <c r="J55" s="210" t="s">
        <v>98</v>
      </c>
      <c r="K55" s="210"/>
      <c r="L55" s="210"/>
      <c r="M55" s="210"/>
      <c r="N55" s="210"/>
      <c r="O55" s="210"/>
      <c r="P55" s="125"/>
      <c r="Q55" s="126"/>
      <c r="R55" s="126"/>
      <c r="S55" s="126"/>
      <c r="T55" s="127"/>
      <c r="U55" s="125"/>
      <c r="V55" s="126"/>
      <c r="W55" s="126"/>
      <c r="X55" s="126"/>
      <c r="Y55" s="127"/>
      <c r="AF55"/>
      <c r="AG55"/>
      <c r="AH55"/>
    </row>
    <row r="56" spans="1:37" ht="19.5" customHeight="1" x14ac:dyDescent="0.25">
      <c r="A56" s="199" t="s">
        <v>74</v>
      </c>
      <c r="B56" s="199"/>
      <c r="C56" s="199"/>
      <c r="D56" s="199"/>
      <c r="E56" s="199"/>
      <c r="F56" s="199" t="s">
        <v>75</v>
      </c>
      <c r="G56" s="199"/>
      <c r="H56" s="199"/>
      <c r="I56" s="199"/>
      <c r="J56" s="122" t="s">
        <v>99</v>
      </c>
      <c r="K56" s="123"/>
      <c r="L56" s="123"/>
      <c r="M56" s="122" t="s">
        <v>100</v>
      </c>
      <c r="N56" s="123"/>
      <c r="O56" s="123"/>
      <c r="P56" s="199" t="s">
        <v>101</v>
      </c>
      <c r="Q56" s="199"/>
      <c r="R56" s="199"/>
      <c r="S56" s="199"/>
      <c r="T56" s="199"/>
      <c r="U56" s="199" t="s">
        <v>102</v>
      </c>
      <c r="V56" s="199"/>
      <c r="W56" s="199"/>
      <c r="X56" s="199"/>
      <c r="Y56" s="199"/>
      <c r="Z56" s="74"/>
      <c r="AA56" s="73"/>
      <c r="AF56"/>
      <c r="AG56"/>
      <c r="AH56"/>
    </row>
    <row r="57" spans="1:37" x14ac:dyDescent="0.25">
      <c r="A57" s="200"/>
      <c r="B57" s="200"/>
      <c r="C57" s="200"/>
      <c r="D57" s="200"/>
      <c r="E57" s="200"/>
      <c r="F57" s="200"/>
      <c r="G57" s="200"/>
      <c r="H57" s="200"/>
      <c r="I57" s="200"/>
      <c r="J57" s="202" t="s">
        <v>103</v>
      </c>
      <c r="K57" s="202"/>
      <c r="L57" s="202"/>
      <c r="M57" s="202" t="s">
        <v>104</v>
      </c>
      <c r="N57" s="202"/>
      <c r="O57" s="202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72"/>
      <c r="AA57" s="69"/>
      <c r="AF57"/>
      <c r="AG57"/>
      <c r="AH57"/>
    </row>
    <row r="58" spans="1:37" ht="20.100000000000001" customHeight="1" x14ac:dyDescent="0.25">
      <c r="A58" s="205" t="str">
        <f>A48</f>
        <v>LADIES</v>
      </c>
      <c r="B58" s="205" t="s">
        <v>82</v>
      </c>
      <c r="C58" s="205" t="str">
        <f>C48</f>
        <v>PANT</v>
      </c>
      <c r="D58" s="205" t="s">
        <v>90</v>
      </c>
      <c r="E58" s="205" t="s">
        <v>90</v>
      </c>
      <c r="F58" s="205" t="str">
        <f>F48</f>
        <v xml:space="preserve">KNITTED </v>
      </c>
      <c r="G58" s="205"/>
      <c r="H58" s="205"/>
      <c r="I58" s="205"/>
      <c r="J58" s="215">
        <f t="shared" ref="J58:J61" si="1">M58*12</f>
        <v>6.6000000000000005</v>
      </c>
      <c r="K58" s="216"/>
      <c r="L58" s="217"/>
      <c r="M58" s="218">
        <v>0.55000000000000004</v>
      </c>
      <c r="N58" s="218"/>
      <c r="O58" s="218"/>
      <c r="P58" s="203">
        <f>U48</f>
        <v>40144</v>
      </c>
      <c r="Q58" s="203"/>
      <c r="R58" s="203"/>
      <c r="S58" s="203"/>
      <c r="T58" s="203"/>
      <c r="U58" s="211">
        <f t="shared" ref="U58:U61" si="2">P58*M58</f>
        <v>22079.200000000001</v>
      </c>
      <c r="V58" s="211"/>
      <c r="W58" s="211"/>
      <c r="X58" s="211"/>
      <c r="Y58" s="211"/>
      <c r="Z58" s="71"/>
      <c r="AA58" s="69"/>
      <c r="AF58"/>
      <c r="AG58"/>
      <c r="AH58"/>
    </row>
    <row r="59" spans="1:37" ht="20.100000000000001" customHeight="1" x14ac:dyDescent="0.25">
      <c r="A59" s="205" t="str">
        <f>A49</f>
        <v>LADIES</v>
      </c>
      <c r="B59" s="205" t="s">
        <v>82</v>
      </c>
      <c r="C59" s="205" t="str">
        <f>C49</f>
        <v>PAJAMAS</v>
      </c>
      <c r="D59" s="205" t="s">
        <v>90</v>
      </c>
      <c r="E59" s="205" t="s">
        <v>90</v>
      </c>
      <c r="F59" s="205" t="str">
        <f>F49</f>
        <v xml:space="preserve">KNITTED </v>
      </c>
      <c r="G59" s="205"/>
      <c r="H59" s="205"/>
      <c r="I59" s="205"/>
      <c r="J59" s="208">
        <f t="shared" si="1"/>
        <v>3.7199999999999998</v>
      </c>
      <c r="K59" s="208"/>
      <c r="L59" s="208"/>
      <c r="M59" s="212">
        <v>0.31</v>
      </c>
      <c r="N59" s="213"/>
      <c r="O59" s="214"/>
      <c r="P59" s="203">
        <f>U49</f>
        <v>13104</v>
      </c>
      <c r="Q59" s="203"/>
      <c r="R59" s="203"/>
      <c r="S59" s="203"/>
      <c r="T59" s="203"/>
      <c r="U59" s="211">
        <f t="shared" si="2"/>
        <v>4062.24</v>
      </c>
      <c r="V59" s="211"/>
      <c r="W59" s="211"/>
      <c r="X59" s="211"/>
      <c r="Y59" s="211"/>
      <c r="Z59" s="71"/>
      <c r="AA59" s="69"/>
    </row>
    <row r="60" spans="1:37" ht="20.100000000000001" customHeight="1" x14ac:dyDescent="0.25">
      <c r="A60" s="205" t="str">
        <f>A50</f>
        <v>LADIES</v>
      </c>
      <c r="B60" s="205" t="s">
        <v>82</v>
      </c>
      <c r="C60" s="205" t="str">
        <f>C50</f>
        <v>PANT</v>
      </c>
      <c r="D60" s="205" t="s">
        <v>90</v>
      </c>
      <c r="E60" s="205" t="s">
        <v>90</v>
      </c>
      <c r="F60" s="205" t="str">
        <f>F50</f>
        <v xml:space="preserve">KNITTED </v>
      </c>
      <c r="G60" s="205"/>
      <c r="H60" s="205"/>
      <c r="I60" s="205"/>
      <c r="J60" s="208">
        <f t="shared" si="1"/>
        <v>6.6000000000000005</v>
      </c>
      <c r="K60" s="208"/>
      <c r="L60" s="208"/>
      <c r="M60" s="218">
        <v>0.55000000000000004</v>
      </c>
      <c r="N60" s="218"/>
      <c r="O60" s="218"/>
      <c r="P60" s="203">
        <f>U50</f>
        <v>870</v>
      </c>
      <c r="Q60" s="203"/>
      <c r="R60" s="203"/>
      <c r="S60" s="203"/>
      <c r="T60" s="203"/>
      <c r="U60" s="211">
        <f t="shared" si="2"/>
        <v>478.50000000000006</v>
      </c>
      <c r="V60" s="211"/>
      <c r="W60" s="211"/>
      <c r="X60" s="211"/>
      <c r="Y60" s="211"/>
      <c r="Z60" s="71"/>
      <c r="AA60" s="69"/>
    </row>
    <row r="61" spans="1:37" ht="20.100000000000001" customHeight="1" x14ac:dyDescent="0.25">
      <c r="A61" s="205" t="str">
        <f>A51</f>
        <v>LADIES</v>
      </c>
      <c r="B61" s="205" t="s">
        <v>82</v>
      </c>
      <c r="C61" s="205" t="str">
        <f>C51</f>
        <v>PAJAMAS</v>
      </c>
      <c r="D61" s="205" t="s">
        <v>90</v>
      </c>
      <c r="E61" s="205" t="s">
        <v>90</v>
      </c>
      <c r="F61" s="205" t="str">
        <f>F51</f>
        <v xml:space="preserve">KNITTED </v>
      </c>
      <c r="G61" s="205"/>
      <c r="H61" s="205"/>
      <c r="I61" s="205"/>
      <c r="J61" s="208">
        <f t="shared" si="1"/>
        <v>3.7199999999999998</v>
      </c>
      <c r="K61" s="208"/>
      <c r="L61" s="208"/>
      <c r="M61" s="212">
        <v>0.31</v>
      </c>
      <c r="N61" s="213"/>
      <c r="O61" s="214"/>
      <c r="P61" s="203">
        <f>U51</f>
        <v>360</v>
      </c>
      <c r="Q61" s="203"/>
      <c r="R61" s="203"/>
      <c r="S61" s="203"/>
      <c r="T61" s="203"/>
      <c r="U61" s="211">
        <f t="shared" si="2"/>
        <v>111.6</v>
      </c>
      <c r="V61" s="211"/>
      <c r="W61" s="211"/>
      <c r="X61" s="211"/>
      <c r="Y61" s="211"/>
      <c r="Z61" s="70"/>
      <c r="AA61" s="69"/>
    </row>
    <row r="62" spans="1:37" ht="23.25" x14ac:dyDescent="0.65">
      <c r="A62" s="3" t="s">
        <v>106</v>
      </c>
      <c r="B62" s="87"/>
      <c r="C62" s="87"/>
      <c r="D62" s="87"/>
      <c r="E62" s="87"/>
      <c r="F62" s="8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37" ht="20.100000000000001" customHeight="1" x14ac:dyDescent="0.65">
      <c r="A63" s="36"/>
      <c r="B63" s="4" t="s">
        <v>107</v>
      </c>
      <c r="C63" s="87"/>
      <c r="D63" s="87"/>
      <c r="E63" s="87"/>
      <c r="F63" s="8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37" ht="20.100000000000001" customHeight="1" x14ac:dyDescent="0.65">
      <c r="A64" s="4" t="s">
        <v>108</v>
      </c>
      <c r="B64" s="87"/>
      <c r="C64" s="87"/>
      <c r="D64" s="87"/>
      <c r="E64" s="87"/>
      <c r="F64" s="8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23.25" x14ac:dyDescent="0.65">
      <c r="A65" s="36"/>
      <c r="B65" s="3" t="s">
        <v>109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23.25" x14ac:dyDescent="0.65">
      <c r="A66" s="4" t="s">
        <v>150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23.25" x14ac:dyDescent="0.65">
      <c r="A67" s="3"/>
      <c r="B67" s="3" t="s">
        <v>110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21.95" customHeight="1" x14ac:dyDescent="0.65">
      <c r="A68" s="37" t="s">
        <v>111</v>
      </c>
      <c r="B68" s="38"/>
      <c r="C68" s="38"/>
      <c r="D68" s="38"/>
      <c r="E68" s="38"/>
      <c r="F68" s="38"/>
      <c r="G68" s="37"/>
      <c r="H68" s="3"/>
      <c r="I68" s="3"/>
      <c r="J68" s="3"/>
      <c r="K68" s="3"/>
      <c r="L68" s="3"/>
      <c r="M68" s="3"/>
      <c r="N68" s="3"/>
      <c r="O68" s="3"/>
      <c r="P68" s="176" t="s">
        <v>112</v>
      </c>
      <c r="Q68" s="176"/>
      <c r="R68" s="176"/>
      <c r="S68" s="176"/>
      <c r="T68" s="176"/>
      <c r="U68" s="176"/>
      <c r="V68" s="176"/>
      <c r="W68" s="176"/>
      <c r="X68" s="176"/>
      <c r="Y68" s="176"/>
    </row>
    <row r="69" spans="1:25" ht="21.95" customHeight="1" x14ac:dyDescent="0.65">
      <c r="A69" s="176" t="s">
        <v>113</v>
      </c>
      <c r="B69" s="176"/>
      <c r="C69" s="176"/>
      <c r="D69" s="176"/>
      <c r="E69" s="176"/>
      <c r="F69" s="176"/>
      <c r="G69" s="176"/>
      <c r="H69" s="3"/>
      <c r="I69" s="3"/>
      <c r="J69" s="3"/>
      <c r="K69" s="3"/>
      <c r="L69" s="3"/>
      <c r="M69" s="3"/>
      <c r="N69" s="3"/>
      <c r="O69" s="3"/>
      <c r="P69" s="176" t="s">
        <v>114</v>
      </c>
      <c r="Q69" s="176"/>
      <c r="R69" s="176"/>
      <c r="S69" s="176"/>
      <c r="T69" s="176"/>
      <c r="U69" s="176"/>
      <c r="V69" s="176"/>
      <c r="W69" s="176"/>
      <c r="X69" s="176"/>
      <c r="Y69" s="176"/>
    </row>
    <row r="70" spans="1:25" ht="21.95" customHeight="1" x14ac:dyDescent="0.65">
      <c r="A70" s="176" t="s">
        <v>115</v>
      </c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</row>
    <row r="71" spans="1:25" ht="21.95" customHeight="1" x14ac:dyDescent="0.25">
      <c r="A71" s="177" t="s">
        <v>116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</row>
    <row r="72" spans="1:25" ht="21" x14ac:dyDescent="0.6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</row>
    <row r="73" spans="1:25" ht="21" x14ac:dyDescent="0.6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</row>
    <row r="74" spans="1:25" ht="21" x14ac:dyDescent="0.6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</row>
    <row r="75" spans="1:25" ht="23.25" x14ac:dyDescent="0.65">
      <c r="A75" s="219" t="s">
        <v>148</v>
      </c>
      <c r="B75" s="219"/>
      <c r="C75" s="219"/>
      <c r="D75" s="219"/>
      <c r="E75" s="219"/>
      <c r="F75" s="21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25.5" x14ac:dyDescent="0.7">
      <c r="A76" s="89"/>
      <c r="B76" s="89"/>
      <c r="C76" s="89"/>
      <c r="D76" s="89"/>
      <c r="E76" s="89"/>
      <c r="F76" s="8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25.5" x14ac:dyDescent="0.7">
      <c r="A77" s="89"/>
      <c r="B77" s="89"/>
      <c r="C77" s="89"/>
      <c r="D77" s="89"/>
      <c r="E77" s="89"/>
      <c r="F77" s="89"/>
      <c r="G77" s="3"/>
      <c r="H77" s="3"/>
      <c r="I77" s="3"/>
      <c r="J77" s="3"/>
      <c r="K77" s="220" t="s">
        <v>131</v>
      </c>
      <c r="L77" s="220"/>
      <c r="M77" s="220"/>
      <c r="N77" s="220"/>
      <c r="O77" s="220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29.25" x14ac:dyDescent="0.8">
      <c r="A78" s="41"/>
      <c r="B78" s="41"/>
      <c r="C78" s="41"/>
      <c r="D78" s="41"/>
      <c r="E78" s="41"/>
      <c r="F78" s="41"/>
      <c r="G78" s="41"/>
      <c r="H78" s="41"/>
      <c r="I78" s="41"/>
      <c r="J78" s="175"/>
      <c r="K78" s="175"/>
      <c r="L78" s="175"/>
      <c r="M78" s="175"/>
      <c r="N78" s="175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</sheetData>
  <mergeCells count="150">
    <mergeCell ref="A75:F75"/>
    <mergeCell ref="K77:O77"/>
    <mergeCell ref="J78:N78"/>
    <mergeCell ref="P68:Y68"/>
    <mergeCell ref="A69:G69"/>
    <mergeCell ref="P69:Y69"/>
    <mergeCell ref="A70:Y70"/>
    <mergeCell ref="A71:Y71"/>
    <mergeCell ref="A72:Y72"/>
    <mergeCell ref="U61:Y61"/>
    <mergeCell ref="A61:B61"/>
    <mergeCell ref="C61:E61"/>
    <mergeCell ref="F61:I61"/>
    <mergeCell ref="J61:L61"/>
    <mergeCell ref="M61:O61"/>
    <mergeCell ref="P61:T61"/>
    <mergeCell ref="A60:B60"/>
    <mergeCell ref="C60:E60"/>
    <mergeCell ref="F60:I60"/>
    <mergeCell ref="J60:L60"/>
    <mergeCell ref="M60:O60"/>
    <mergeCell ref="P60:T60"/>
    <mergeCell ref="U60:Y60"/>
    <mergeCell ref="U58:Y58"/>
    <mergeCell ref="A59:B59"/>
    <mergeCell ref="C59:E59"/>
    <mergeCell ref="F59:I59"/>
    <mergeCell ref="J59:L59"/>
    <mergeCell ref="M59:O59"/>
    <mergeCell ref="P59:T59"/>
    <mergeCell ref="U59:Y59"/>
    <mergeCell ref="A58:B58"/>
    <mergeCell ref="C58:E58"/>
    <mergeCell ref="F58:I58"/>
    <mergeCell ref="J58:L58"/>
    <mergeCell ref="M58:O58"/>
    <mergeCell ref="P58:T58"/>
    <mergeCell ref="A56:E57"/>
    <mergeCell ref="F56:I57"/>
    <mergeCell ref="J56:L56"/>
    <mergeCell ref="M56:O56"/>
    <mergeCell ref="P56:T57"/>
    <mergeCell ref="U56:Y57"/>
    <mergeCell ref="J57:L57"/>
    <mergeCell ref="M57:O57"/>
    <mergeCell ref="U52:Y52"/>
    <mergeCell ref="A54:E55"/>
    <mergeCell ref="F54:I55"/>
    <mergeCell ref="J54:O54"/>
    <mergeCell ref="P54:T55"/>
    <mergeCell ref="U54:Y55"/>
    <mergeCell ref="J55:O55"/>
    <mergeCell ref="U50:Y50"/>
    <mergeCell ref="A51:B51"/>
    <mergeCell ref="C51:E51"/>
    <mergeCell ref="F51:I51"/>
    <mergeCell ref="J51:L51"/>
    <mergeCell ref="M51:O51"/>
    <mergeCell ref="P51:T51"/>
    <mergeCell ref="U51:Y51"/>
    <mergeCell ref="A50:B50"/>
    <mergeCell ref="C50:E50"/>
    <mergeCell ref="F50:I50"/>
    <mergeCell ref="J50:L50"/>
    <mergeCell ref="M50:O50"/>
    <mergeCell ref="P50:T50"/>
    <mergeCell ref="U49:Y49"/>
    <mergeCell ref="A49:B49"/>
    <mergeCell ref="C49:E49"/>
    <mergeCell ref="F49:I49"/>
    <mergeCell ref="J49:L49"/>
    <mergeCell ref="M49:O49"/>
    <mergeCell ref="P49:T49"/>
    <mergeCell ref="U46:Y47"/>
    <mergeCell ref="J47:L47"/>
    <mergeCell ref="M47:O47"/>
    <mergeCell ref="A48:B48"/>
    <mergeCell ref="C48:E48"/>
    <mergeCell ref="F48:I48"/>
    <mergeCell ref="J48:L48"/>
    <mergeCell ref="M48:O48"/>
    <mergeCell ref="P48:T48"/>
    <mergeCell ref="U48:Y48"/>
    <mergeCell ref="J45:O45"/>
    <mergeCell ref="A46:E47"/>
    <mergeCell ref="F46:I47"/>
    <mergeCell ref="J46:L46"/>
    <mergeCell ref="M46:O46"/>
    <mergeCell ref="P46:T47"/>
    <mergeCell ref="N40:O40"/>
    <mergeCell ref="V40:W40"/>
    <mergeCell ref="N41:O41"/>
    <mergeCell ref="S41:U41"/>
    <mergeCell ref="V41:W41"/>
    <mergeCell ref="A44:E45"/>
    <mergeCell ref="F44:I45"/>
    <mergeCell ref="J44:O44"/>
    <mergeCell ref="P44:T45"/>
    <mergeCell ref="U44:Y45"/>
    <mergeCell ref="N37:O37"/>
    <mergeCell ref="V37:W37"/>
    <mergeCell ref="N38:O38"/>
    <mergeCell ref="V38:W38"/>
    <mergeCell ref="N39:O39"/>
    <mergeCell ref="V39:W39"/>
    <mergeCell ref="G27:I27"/>
    <mergeCell ref="U28:Y28"/>
    <mergeCell ref="N29:R29"/>
    <mergeCell ref="N36:O36"/>
    <mergeCell ref="V36:W36"/>
    <mergeCell ref="I18:J18"/>
    <mergeCell ref="L18:M18"/>
    <mergeCell ref="O18:P18"/>
    <mergeCell ref="R18:S18"/>
    <mergeCell ref="V18:W18"/>
    <mergeCell ref="Z36:AA36"/>
    <mergeCell ref="I21:J21"/>
    <mergeCell ref="G22:I22"/>
    <mergeCell ref="G23:I23"/>
    <mergeCell ref="G24:I24"/>
    <mergeCell ref="G25:I25"/>
    <mergeCell ref="G26:I26"/>
    <mergeCell ref="I19:J19"/>
    <mergeCell ref="L19:M19"/>
    <mergeCell ref="O19:P19"/>
    <mergeCell ref="R19:S19"/>
    <mergeCell ref="V19:W19"/>
    <mergeCell ref="I20:J20"/>
    <mergeCell ref="O20:P20"/>
    <mergeCell ref="V20:W20"/>
    <mergeCell ref="P14:S14"/>
    <mergeCell ref="I16:J16"/>
    <mergeCell ref="L16:M16"/>
    <mergeCell ref="O16:P16"/>
    <mergeCell ref="R16:S16"/>
    <mergeCell ref="V16:W16"/>
    <mergeCell ref="I17:J17"/>
    <mergeCell ref="L17:M17"/>
    <mergeCell ref="O17:P17"/>
    <mergeCell ref="R17:S17"/>
    <mergeCell ref="V17:W17"/>
    <mergeCell ref="A1:Y1"/>
    <mergeCell ref="A2:Y2"/>
    <mergeCell ref="A3:H3"/>
    <mergeCell ref="A4:H4"/>
    <mergeCell ref="A5:H5"/>
    <mergeCell ref="A6:Y6"/>
    <mergeCell ref="A7:Y7"/>
    <mergeCell ref="A8:Y8"/>
    <mergeCell ref="P13:S13"/>
  </mergeCells>
  <conditionalFormatting sqref="AB15:AE19">
    <cfRule type="uniqueValues" dxfId="3" priority="1"/>
  </conditionalFormatting>
  <conditionalFormatting sqref="AF49:AH51 AH48 AF45:AG45">
    <cfRule type="duplicateValues" dxfId="2" priority="5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1" max="2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4"/>
  <sheetViews>
    <sheetView tabSelected="1" view="pageBreakPreview" zoomScaleNormal="100" zoomScaleSheetLayoutView="100" workbookViewId="0">
      <selection activeCell="A6" sqref="A6:Y6"/>
    </sheetView>
  </sheetViews>
  <sheetFormatPr defaultColWidth="9.140625" defaultRowHeight="15" x14ac:dyDescent="0.25"/>
  <cols>
    <col min="1" max="1" width="3.5703125" style="1" customWidth="1"/>
    <col min="2" max="2" width="5.85546875" style="1" customWidth="1"/>
    <col min="3" max="4" width="4.140625" style="1" customWidth="1"/>
    <col min="5" max="5" width="6.140625" style="1" customWidth="1"/>
    <col min="6" max="7" width="4.140625" style="1" customWidth="1"/>
    <col min="8" max="8" width="5.28515625" style="1" customWidth="1"/>
    <col min="9" max="9" width="5.140625" style="1" customWidth="1"/>
    <col min="10" max="10" width="3.7109375" style="1" customWidth="1"/>
    <col min="11" max="11" width="4.28515625" style="1" customWidth="1"/>
    <col min="12" max="12" width="7" style="1" customWidth="1"/>
    <col min="13" max="13" width="5.7109375" style="1" customWidth="1"/>
    <col min="14" max="14" width="4.140625" style="1" customWidth="1"/>
    <col min="15" max="15" width="8.28515625" style="1" customWidth="1"/>
    <col min="16" max="16" width="3.28515625" style="1" customWidth="1"/>
    <col min="17" max="17" width="4.42578125" style="1" customWidth="1"/>
    <col min="18" max="18" width="1.5703125" style="1" customWidth="1"/>
    <col min="19" max="19" width="3.5703125" style="1" customWidth="1"/>
    <col min="20" max="20" width="2.140625" style="1" customWidth="1"/>
    <col min="21" max="21" width="3.7109375" style="1" customWidth="1"/>
    <col min="22" max="22" width="1.7109375" style="1" customWidth="1"/>
    <col min="23" max="23" width="5.28515625" style="1" customWidth="1"/>
    <col min="24" max="24" width="2.140625" style="1" customWidth="1"/>
    <col min="25" max="25" width="12.140625" style="1" customWidth="1"/>
    <col min="26" max="26" width="14" style="2" customWidth="1"/>
    <col min="27" max="31" width="20.140625" style="59" customWidth="1"/>
    <col min="32" max="33" width="9.140625" style="2"/>
    <col min="34" max="34" width="10.5703125" style="2" bestFit="1" customWidth="1"/>
    <col min="35" max="16384" width="9.140625" style="2"/>
  </cols>
  <sheetData>
    <row r="1" spans="1:31" ht="29.25" x14ac:dyDescent="0.8">
      <c r="A1" s="239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</row>
    <row r="2" spans="1:31" ht="29.25" x14ac:dyDescent="0.8">
      <c r="A2" s="239" t="s">
        <v>1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</row>
    <row r="3" spans="1:31" ht="23.25" x14ac:dyDescent="0.65">
      <c r="A3" s="104" t="s">
        <v>2</v>
      </c>
      <c r="B3" s="104"/>
      <c r="C3" s="104"/>
      <c r="D3" s="104"/>
      <c r="E3" s="104"/>
      <c r="F3" s="104"/>
      <c r="G3" s="104"/>
      <c r="H3" s="10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31" ht="23.25" x14ac:dyDescent="0.65">
      <c r="A4" s="104" t="s">
        <v>3</v>
      </c>
      <c r="B4" s="104"/>
      <c r="C4" s="104"/>
      <c r="D4" s="104"/>
      <c r="E4" s="104"/>
      <c r="F4" s="104"/>
      <c r="G4" s="104"/>
      <c r="H4" s="10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31" ht="23.25" x14ac:dyDescent="0.65">
      <c r="A5" s="104" t="s">
        <v>4</v>
      </c>
      <c r="B5" s="104"/>
      <c r="C5" s="104"/>
      <c r="D5" s="104"/>
      <c r="E5" s="104"/>
      <c r="F5" s="104"/>
      <c r="G5" s="104"/>
      <c r="H5" s="10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</row>
    <row r="6" spans="1:31" ht="27" customHeight="1" x14ac:dyDescent="0.7">
      <c r="A6" s="107" t="s">
        <v>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</row>
    <row r="7" spans="1:31" ht="28.5" customHeight="1" x14ac:dyDescent="0.7">
      <c r="A7" s="108" t="s">
        <v>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31" ht="23.25" customHeight="1" x14ac:dyDescent="0.25">
      <c r="A8" s="105" t="s">
        <v>151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31" ht="21.95" customHeight="1" x14ac:dyDescent="0.25">
      <c r="A9" s="5" t="s">
        <v>141</v>
      </c>
      <c r="B9" s="7"/>
      <c r="C9" s="7"/>
      <c r="D9" s="7"/>
      <c r="E9" s="7"/>
      <c r="F9" s="79" t="s">
        <v>117</v>
      </c>
      <c r="G9" s="79"/>
      <c r="H9" s="79"/>
      <c r="I9" s="79"/>
      <c r="J9" s="79"/>
      <c r="K9" s="79"/>
      <c r="L9" s="7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AA9" s="103"/>
      <c r="AB9" s="103" t="s">
        <v>152</v>
      </c>
      <c r="AC9" s="103">
        <v>104</v>
      </c>
      <c r="AD9" s="247">
        <v>155</v>
      </c>
      <c r="AE9" s="103"/>
    </row>
    <row r="10" spans="1:31" ht="21.95" customHeight="1" x14ac:dyDescent="0.25">
      <c r="A10" s="7"/>
      <c r="B10" s="7" t="s">
        <v>9</v>
      </c>
      <c r="C10" s="7"/>
      <c r="D10" s="7"/>
      <c r="E10" s="7"/>
      <c r="F10" s="79" t="s">
        <v>118</v>
      </c>
      <c r="G10" s="79"/>
      <c r="H10" s="79"/>
      <c r="I10" s="79"/>
      <c r="J10" s="79"/>
      <c r="K10" s="79"/>
      <c r="L10" s="7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AA10" s="103"/>
      <c r="AB10" s="103" t="s">
        <v>153</v>
      </c>
      <c r="AC10" s="103">
        <v>51</v>
      </c>
      <c r="AD10" s="248"/>
      <c r="AE10" s="103"/>
    </row>
    <row r="11" spans="1:31" ht="21.95" customHeight="1" x14ac:dyDescent="0.25">
      <c r="A11" s="7"/>
      <c r="B11" s="7"/>
      <c r="C11" s="7"/>
      <c r="D11" s="7"/>
      <c r="E11" s="7"/>
      <c r="F11" s="84" t="s">
        <v>119</v>
      </c>
      <c r="G11" s="79"/>
      <c r="H11" s="79"/>
      <c r="I11" s="79"/>
      <c r="J11" s="79"/>
      <c r="K11" s="79"/>
      <c r="L11" s="7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AA11" s="103"/>
      <c r="AB11" s="103" t="s">
        <v>154</v>
      </c>
      <c r="AC11" s="103" t="s">
        <v>155</v>
      </c>
      <c r="AD11" s="103" t="s">
        <v>156</v>
      </c>
      <c r="AE11" s="103" t="s">
        <v>157</v>
      </c>
    </row>
    <row r="12" spans="1:31" ht="21.95" customHeight="1" x14ac:dyDescent="0.25">
      <c r="A12" s="7" t="s">
        <v>10</v>
      </c>
      <c r="B12" s="7"/>
      <c r="C12" s="7"/>
      <c r="D12" s="7"/>
      <c r="E12" s="7" t="s">
        <v>120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AA12" s="103">
        <v>155</v>
      </c>
      <c r="AB12" s="103">
        <v>4</v>
      </c>
      <c r="AC12" s="103">
        <v>3</v>
      </c>
      <c r="AD12" s="103">
        <v>104</v>
      </c>
      <c r="AE12" s="103">
        <v>44</v>
      </c>
    </row>
    <row r="13" spans="1:31" ht="21.95" customHeight="1" x14ac:dyDescent="0.25">
      <c r="A13" s="7" t="s">
        <v>140</v>
      </c>
      <c r="B13" s="7"/>
      <c r="C13" s="7"/>
      <c r="D13" s="7"/>
      <c r="E13" s="7"/>
      <c r="F13" s="7"/>
      <c r="G13" s="7"/>
      <c r="H13" s="79" t="s">
        <v>121</v>
      </c>
      <c r="I13" s="79"/>
      <c r="J13" s="79"/>
      <c r="K13" s="79"/>
      <c r="L13" s="79"/>
      <c r="M13" s="79"/>
      <c r="N13" s="79"/>
      <c r="O13" s="79" t="s">
        <v>12</v>
      </c>
      <c r="P13" s="197">
        <v>46014</v>
      </c>
      <c r="Q13" s="197"/>
      <c r="R13" s="197"/>
      <c r="S13" s="197"/>
      <c r="T13" s="7"/>
      <c r="U13" s="7"/>
      <c r="V13" s="7"/>
      <c r="W13" s="7"/>
      <c r="X13" s="7"/>
      <c r="Y13" s="7"/>
      <c r="AA13" s="103" t="s">
        <v>152</v>
      </c>
      <c r="AB13" s="103">
        <v>2</v>
      </c>
      <c r="AC13" s="103">
        <v>1</v>
      </c>
      <c r="AD13" s="103">
        <v>75</v>
      </c>
      <c r="AE13" s="103">
        <v>26</v>
      </c>
    </row>
    <row r="14" spans="1:31" ht="21.95" customHeight="1" x14ac:dyDescent="0.65">
      <c r="A14" s="7"/>
      <c r="B14" s="7"/>
      <c r="C14" s="7"/>
      <c r="D14" s="7"/>
      <c r="E14" s="7"/>
      <c r="F14" s="7"/>
      <c r="G14" s="7"/>
      <c r="H14" s="3"/>
      <c r="I14" s="7"/>
      <c r="J14" s="7"/>
      <c r="K14" s="7"/>
      <c r="L14" s="7"/>
      <c r="M14" s="7"/>
      <c r="N14" s="7"/>
      <c r="O14" s="7"/>
      <c r="P14" s="106"/>
      <c r="Q14" s="106"/>
      <c r="R14" s="106"/>
      <c r="S14" s="106"/>
      <c r="T14" s="7"/>
      <c r="U14" s="7"/>
      <c r="V14" s="7"/>
      <c r="W14" s="7"/>
      <c r="X14" s="7"/>
      <c r="Y14" s="7"/>
      <c r="AA14" s="103" t="s">
        <v>153</v>
      </c>
      <c r="AB14" s="103">
        <v>2</v>
      </c>
      <c r="AC14" s="103">
        <v>2</v>
      </c>
      <c r="AD14" s="103">
        <v>29</v>
      </c>
      <c r="AE14" s="103">
        <v>18</v>
      </c>
    </row>
    <row r="15" spans="1:31" ht="21.95" customHeight="1" x14ac:dyDescent="0.65">
      <c r="A15" s="7" t="s">
        <v>13</v>
      </c>
      <c r="B15" s="3"/>
      <c r="C15" s="3"/>
      <c r="D15" s="3"/>
      <c r="E15" s="3"/>
      <c r="F15" s="3" t="s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AB15" s="240"/>
    </row>
    <row r="16" spans="1:31" ht="21" customHeight="1" x14ac:dyDescent="0.25">
      <c r="A16" s="7"/>
      <c r="B16" s="7" t="s">
        <v>15</v>
      </c>
      <c r="C16" s="7"/>
      <c r="D16" s="7"/>
      <c r="E16" s="7"/>
      <c r="F16" s="7" t="s">
        <v>14</v>
      </c>
      <c r="G16" s="5"/>
      <c r="H16" s="7" t="s">
        <v>16</v>
      </c>
      <c r="I16" s="105">
        <v>2</v>
      </c>
      <c r="J16" s="105"/>
      <c r="K16" s="7" t="s">
        <v>17</v>
      </c>
      <c r="L16" s="105"/>
      <c r="M16" s="105"/>
      <c r="N16" s="7" t="s">
        <v>18</v>
      </c>
      <c r="O16" s="105">
        <v>2</v>
      </c>
      <c r="P16" s="105"/>
      <c r="Q16" s="7" t="s">
        <v>17</v>
      </c>
      <c r="R16" s="105"/>
      <c r="S16" s="105"/>
      <c r="T16" s="7" t="s">
        <v>19</v>
      </c>
      <c r="U16" s="7"/>
      <c r="V16" s="109">
        <f>O16+I16</f>
        <v>4</v>
      </c>
      <c r="W16" s="109"/>
      <c r="X16" s="7" t="s">
        <v>17</v>
      </c>
      <c r="Y16" s="7"/>
      <c r="AB16" s="240"/>
    </row>
    <row r="17" spans="1:28" ht="21" customHeight="1" x14ac:dyDescent="0.25">
      <c r="A17" s="7"/>
      <c r="B17" s="7" t="s">
        <v>20</v>
      </c>
      <c r="C17" s="7"/>
      <c r="D17" s="7"/>
      <c r="E17" s="7"/>
      <c r="F17" s="7" t="s">
        <v>14</v>
      </c>
      <c r="G17" s="7"/>
      <c r="H17" s="7" t="s">
        <v>16</v>
      </c>
      <c r="I17" s="105">
        <v>2</v>
      </c>
      <c r="J17" s="105"/>
      <c r="K17" s="7" t="s">
        <v>17</v>
      </c>
      <c r="L17" s="105"/>
      <c r="M17" s="105"/>
      <c r="N17" s="7" t="s">
        <v>18</v>
      </c>
      <c r="O17" s="105">
        <v>1</v>
      </c>
      <c r="P17" s="105"/>
      <c r="Q17" s="7" t="s">
        <v>17</v>
      </c>
      <c r="R17" s="105"/>
      <c r="S17" s="105"/>
      <c r="T17" s="7" t="s">
        <v>19</v>
      </c>
      <c r="U17" s="7"/>
      <c r="V17" s="109">
        <f>O17+I17</f>
        <v>3</v>
      </c>
      <c r="W17" s="109"/>
      <c r="X17" s="7" t="s">
        <v>17</v>
      </c>
      <c r="Y17" s="7"/>
      <c r="AB17" s="240"/>
    </row>
    <row r="18" spans="1:28" ht="21" customHeight="1" x14ac:dyDescent="0.25">
      <c r="A18" s="7"/>
      <c r="B18" s="7" t="s">
        <v>21</v>
      </c>
      <c r="C18" s="7"/>
      <c r="D18" s="7"/>
      <c r="E18" s="7"/>
      <c r="F18" s="7" t="s">
        <v>14</v>
      </c>
      <c r="G18" s="7"/>
      <c r="H18" s="7" t="s">
        <v>16</v>
      </c>
      <c r="I18" s="105">
        <v>29</v>
      </c>
      <c r="J18" s="105"/>
      <c r="K18" s="7" t="s">
        <v>17</v>
      </c>
      <c r="L18" s="105"/>
      <c r="M18" s="105"/>
      <c r="N18" s="7" t="s">
        <v>18</v>
      </c>
      <c r="O18" s="105">
        <v>75</v>
      </c>
      <c r="P18" s="105"/>
      <c r="Q18" s="7" t="s">
        <v>17</v>
      </c>
      <c r="R18" s="105"/>
      <c r="S18" s="105"/>
      <c r="T18" s="7" t="s">
        <v>19</v>
      </c>
      <c r="U18" s="7"/>
      <c r="V18" s="109">
        <f>O18+I18</f>
        <v>104</v>
      </c>
      <c r="W18" s="109"/>
      <c r="X18" s="7" t="s">
        <v>17</v>
      </c>
      <c r="Y18" s="7"/>
      <c r="AB18" s="240"/>
    </row>
    <row r="19" spans="1:28" ht="21" customHeight="1" x14ac:dyDescent="0.25">
      <c r="A19" s="7"/>
      <c r="B19" s="19" t="s">
        <v>22</v>
      </c>
      <c r="C19" s="7"/>
      <c r="D19" s="7"/>
      <c r="E19" s="7"/>
      <c r="F19" s="7" t="s">
        <v>14</v>
      </c>
      <c r="G19" s="7"/>
      <c r="H19" s="7" t="s">
        <v>16</v>
      </c>
      <c r="I19" s="105">
        <v>18</v>
      </c>
      <c r="J19" s="105"/>
      <c r="K19" s="7" t="s">
        <v>17</v>
      </c>
      <c r="L19" s="105"/>
      <c r="M19" s="105"/>
      <c r="N19" s="7" t="s">
        <v>18</v>
      </c>
      <c r="O19" s="105">
        <v>26</v>
      </c>
      <c r="P19" s="105"/>
      <c r="Q19" s="7" t="s">
        <v>17</v>
      </c>
      <c r="R19" s="105"/>
      <c r="S19" s="105"/>
      <c r="T19" s="7" t="s">
        <v>19</v>
      </c>
      <c r="U19" s="7"/>
      <c r="V19" s="109">
        <f>O19+I19</f>
        <v>44</v>
      </c>
      <c r="W19" s="109"/>
      <c r="X19" s="7" t="s">
        <v>17</v>
      </c>
      <c r="Y19" s="7"/>
      <c r="Z19" s="12">
        <f>V16+V17+V18+V19</f>
        <v>155</v>
      </c>
      <c r="AB19" s="240"/>
    </row>
    <row r="20" spans="1:28" ht="21" customHeight="1" x14ac:dyDescent="0.25">
      <c r="A20" s="7"/>
      <c r="B20" s="19" t="s">
        <v>23</v>
      </c>
      <c r="C20" s="7"/>
      <c r="D20" s="7"/>
      <c r="E20" s="7"/>
      <c r="F20" s="7" t="s">
        <v>14</v>
      </c>
      <c r="G20" s="7"/>
      <c r="H20" s="7" t="s">
        <v>16</v>
      </c>
      <c r="I20" s="105">
        <f>I18+I19</f>
        <v>47</v>
      </c>
      <c r="J20" s="105"/>
      <c r="K20" s="7" t="s">
        <v>17</v>
      </c>
      <c r="L20" s="101"/>
      <c r="M20" s="101"/>
      <c r="N20" s="7" t="s">
        <v>18</v>
      </c>
      <c r="O20" s="105">
        <f>O18+O19</f>
        <v>101</v>
      </c>
      <c r="P20" s="105"/>
      <c r="Q20" s="7" t="s">
        <v>17</v>
      </c>
      <c r="R20" s="101"/>
      <c r="S20" s="101"/>
      <c r="T20" s="7" t="s">
        <v>19</v>
      </c>
      <c r="U20" s="7"/>
      <c r="V20" s="109">
        <f>V18+V19</f>
        <v>148</v>
      </c>
      <c r="W20" s="109"/>
      <c r="X20" s="7" t="s">
        <v>17</v>
      </c>
      <c r="Y20" s="7"/>
      <c r="AB20" s="240"/>
    </row>
    <row r="21" spans="1:28" ht="21.95" customHeight="1" x14ac:dyDescent="0.25">
      <c r="A21" s="7" t="s">
        <v>24</v>
      </c>
      <c r="B21" s="7"/>
      <c r="C21" s="7"/>
      <c r="D21" s="7"/>
      <c r="E21" s="7"/>
      <c r="F21" s="7" t="s">
        <v>14</v>
      </c>
      <c r="G21" s="7"/>
      <c r="H21" s="7"/>
      <c r="I21" s="237"/>
      <c r="J21" s="23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AB21" s="240"/>
    </row>
    <row r="22" spans="1:28" ht="21.95" customHeight="1" x14ac:dyDescent="0.25">
      <c r="A22" s="7"/>
      <c r="B22" s="7" t="s">
        <v>15</v>
      </c>
      <c r="C22" s="7"/>
      <c r="D22" s="7"/>
      <c r="E22" s="7"/>
      <c r="F22" s="7" t="s">
        <v>14</v>
      </c>
      <c r="G22" s="238">
        <v>6100</v>
      </c>
      <c r="H22" s="238"/>
      <c r="I22" s="238"/>
      <c r="J22" s="62"/>
      <c r="K22" s="7" t="s">
        <v>25</v>
      </c>
      <c r="L22" s="7"/>
      <c r="M22" s="62"/>
      <c r="N22" s="6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8" ht="21.95" customHeight="1" x14ac:dyDescent="0.25">
      <c r="A23" s="7"/>
      <c r="B23" s="7" t="s">
        <v>20</v>
      </c>
      <c r="C23" s="7"/>
      <c r="D23" s="7"/>
      <c r="E23" s="7"/>
      <c r="F23" s="7" t="s">
        <v>14</v>
      </c>
      <c r="G23" s="238">
        <v>2666.16</v>
      </c>
      <c r="H23" s="238"/>
      <c r="I23" s="238"/>
      <c r="J23" s="62"/>
      <c r="K23" s="7" t="s">
        <v>25</v>
      </c>
      <c r="L23" s="7"/>
      <c r="M23" s="62"/>
      <c r="N23" s="62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8" ht="21.95" customHeight="1" x14ac:dyDescent="0.25">
      <c r="A24" s="7"/>
      <c r="B24" s="7" t="s">
        <v>21</v>
      </c>
      <c r="C24" s="7"/>
      <c r="D24" s="7"/>
      <c r="E24" s="7"/>
      <c r="F24" s="7" t="s">
        <v>14</v>
      </c>
      <c r="G24" s="238">
        <v>27883.27</v>
      </c>
      <c r="H24" s="238"/>
      <c r="I24" s="238"/>
      <c r="J24" s="62"/>
      <c r="K24" s="7" t="s">
        <v>25</v>
      </c>
      <c r="L24" s="7"/>
      <c r="M24" s="62"/>
      <c r="N24" s="6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8" ht="21.95" customHeight="1" x14ac:dyDescent="0.25">
      <c r="A25" s="7"/>
      <c r="B25" s="7" t="s">
        <v>22</v>
      </c>
      <c r="C25" s="7"/>
      <c r="D25" s="7"/>
      <c r="E25" s="7"/>
      <c r="F25" s="7" t="s">
        <v>14</v>
      </c>
      <c r="G25" s="238">
        <v>13770.32</v>
      </c>
      <c r="H25" s="238"/>
      <c r="I25" s="238"/>
      <c r="J25" s="62"/>
      <c r="K25" s="7" t="s">
        <v>25</v>
      </c>
      <c r="L25" s="7"/>
      <c r="M25" s="62"/>
      <c r="N25" s="62"/>
      <c r="O25" s="15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</row>
    <row r="26" spans="1:28" ht="21.6" customHeight="1" x14ac:dyDescent="0.25">
      <c r="A26" s="7"/>
      <c r="B26" s="19" t="s">
        <v>23</v>
      </c>
      <c r="C26" s="7"/>
      <c r="D26" s="7"/>
      <c r="E26" s="7"/>
      <c r="F26" s="7" t="s">
        <v>14</v>
      </c>
      <c r="G26" s="238">
        <f>G25+G24</f>
        <v>41653.589999999997</v>
      </c>
      <c r="H26" s="238"/>
      <c r="I26" s="238"/>
      <c r="J26" s="62"/>
      <c r="K26" s="7" t="s">
        <v>25</v>
      </c>
      <c r="L26" s="7"/>
      <c r="M26" s="62"/>
      <c r="N26" s="62"/>
      <c r="O26" s="15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8" ht="21.95" customHeight="1" x14ac:dyDescent="0.65">
      <c r="A27" s="7" t="s">
        <v>26</v>
      </c>
      <c r="B27" s="3"/>
      <c r="C27" s="3"/>
      <c r="D27" s="3"/>
      <c r="E27" s="3"/>
      <c r="F27" s="3" t="s">
        <v>14</v>
      </c>
      <c r="G27" s="236"/>
      <c r="H27" s="236"/>
      <c r="I27" s="236"/>
      <c r="J27" s="3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8" ht="23.25" x14ac:dyDescent="0.65">
      <c r="A28" s="3"/>
      <c r="B28" s="7" t="s">
        <v>27</v>
      </c>
      <c r="C28" s="7"/>
      <c r="D28" s="3"/>
      <c r="E28" s="3"/>
      <c r="F28" s="3" t="s">
        <v>28</v>
      </c>
      <c r="G28" s="3" t="s">
        <v>29</v>
      </c>
      <c r="H28" s="3"/>
      <c r="I28" s="3"/>
      <c r="J28" s="3"/>
      <c r="K28" s="3"/>
      <c r="L28" s="3"/>
      <c r="M28" s="3"/>
      <c r="N28" s="7"/>
      <c r="O28" s="7" t="s">
        <v>30</v>
      </c>
      <c r="P28" s="3"/>
      <c r="Q28" s="3"/>
      <c r="R28" s="3"/>
      <c r="S28" s="3"/>
      <c r="T28" s="3"/>
      <c r="U28" s="235">
        <v>208</v>
      </c>
      <c r="V28" s="235"/>
      <c r="W28" s="235"/>
      <c r="X28" s="235"/>
      <c r="Y28" s="235"/>
    </row>
    <row r="29" spans="1:28" ht="23.25" x14ac:dyDescent="0.65">
      <c r="A29" s="3"/>
      <c r="B29" s="7" t="s">
        <v>31</v>
      </c>
      <c r="C29" s="7"/>
      <c r="D29" s="3"/>
      <c r="E29" s="82" t="s">
        <v>32</v>
      </c>
      <c r="F29" s="82"/>
      <c r="G29" s="82"/>
      <c r="H29" s="82"/>
      <c r="I29" s="7" t="s">
        <v>33</v>
      </c>
      <c r="J29" s="3"/>
      <c r="K29" s="3"/>
      <c r="L29" s="3"/>
      <c r="M29" s="3"/>
      <c r="N29" s="112">
        <v>30</v>
      </c>
      <c r="O29" s="112"/>
      <c r="P29" s="112"/>
      <c r="Q29" s="112"/>
      <c r="R29" s="112"/>
      <c r="S29" s="3"/>
      <c r="T29" s="3"/>
      <c r="U29" s="3"/>
      <c r="V29" s="3"/>
      <c r="W29" s="3"/>
      <c r="X29" s="3"/>
      <c r="Y29" s="3"/>
    </row>
    <row r="30" spans="1:28" ht="23.25" x14ac:dyDescent="0.65">
      <c r="A30" s="3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A30" s="241"/>
    </row>
    <row r="31" spans="1:28" ht="23.25" x14ac:dyDescent="0.65">
      <c r="A31" s="7"/>
      <c r="B31" s="3" t="s">
        <v>35</v>
      </c>
      <c r="C31" s="7"/>
      <c r="D31" s="79" t="s">
        <v>36</v>
      </c>
      <c r="E31" s="79"/>
      <c r="F31" s="79"/>
      <c r="G31" s="7"/>
      <c r="H31" s="7"/>
      <c r="I31" s="7"/>
      <c r="J31" s="7"/>
      <c r="K31" s="7"/>
      <c r="L31" s="3" t="s">
        <v>37</v>
      </c>
      <c r="M31" s="7"/>
      <c r="N31" s="7"/>
      <c r="O31" s="7"/>
      <c r="P31" s="79" t="s">
        <v>38</v>
      </c>
      <c r="Q31" s="79"/>
      <c r="R31" s="79" t="s">
        <v>39</v>
      </c>
      <c r="S31" s="79"/>
      <c r="T31" s="79"/>
      <c r="U31" s="79"/>
      <c r="V31" s="7"/>
      <c r="W31" s="7"/>
      <c r="X31" s="7"/>
      <c r="Y31" s="7"/>
    </row>
    <row r="32" spans="1:28" ht="23.25" x14ac:dyDescent="0.65">
      <c r="A32" s="3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36" ht="23.25" x14ac:dyDescent="0.25">
      <c r="A33" s="5"/>
      <c r="B33" s="80" t="s">
        <v>41</v>
      </c>
      <c r="C33" s="79"/>
      <c r="D33" s="79"/>
      <c r="E33" s="79"/>
      <c r="F33" s="79"/>
      <c r="G33" s="79"/>
      <c r="H33" s="7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36" ht="23.25" x14ac:dyDescent="0.65">
      <c r="A34" s="5"/>
      <c r="B34" s="80" t="s">
        <v>42</v>
      </c>
      <c r="C34" s="79"/>
      <c r="D34" s="79"/>
      <c r="E34" s="81" t="s">
        <v>43</v>
      </c>
      <c r="F34" s="79" t="s">
        <v>44</v>
      </c>
      <c r="G34" s="79" t="s">
        <v>45</v>
      </c>
      <c r="H34" s="79" t="s">
        <v>46</v>
      </c>
      <c r="I34" s="7"/>
      <c r="J34" s="7"/>
      <c r="K34" s="7" t="s">
        <v>47</v>
      </c>
      <c r="L34" s="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36" ht="23.25" x14ac:dyDescent="0.65">
      <c r="A35" s="3" t="s">
        <v>48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78"/>
      <c r="AD35" s="58" t="s">
        <v>90</v>
      </c>
    </row>
    <row r="36" spans="1:36" ht="23.25" x14ac:dyDescent="0.65">
      <c r="A36" s="3"/>
      <c r="B36" s="3" t="s">
        <v>49</v>
      </c>
      <c r="C36" s="3"/>
      <c r="D36" s="3"/>
      <c r="E36" s="3"/>
      <c r="F36" s="3"/>
      <c r="G36" s="82" t="s">
        <v>50</v>
      </c>
      <c r="H36" s="82"/>
      <c r="I36" s="82"/>
      <c r="J36" s="82"/>
      <c r="K36" s="82"/>
      <c r="L36" s="3"/>
      <c r="M36" s="3" t="s">
        <v>19</v>
      </c>
      <c r="N36" s="113">
        <v>1</v>
      </c>
      <c r="O36" s="113"/>
      <c r="P36" s="3" t="s">
        <v>51</v>
      </c>
      <c r="Q36" s="61"/>
      <c r="R36" s="3"/>
      <c r="S36" s="3" t="s">
        <v>52</v>
      </c>
      <c r="T36" s="3"/>
      <c r="U36" s="3"/>
      <c r="V36" s="113">
        <v>1</v>
      </c>
      <c r="W36" s="113"/>
      <c r="X36" s="3" t="s">
        <v>53</v>
      </c>
      <c r="Y36" s="3"/>
      <c r="Z36" s="223" t="s">
        <v>139</v>
      </c>
      <c r="AA36" s="223"/>
      <c r="AB36" s="103" t="s">
        <v>138</v>
      </c>
      <c r="AC36" s="103" t="s">
        <v>137</v>
      </c>
      <c r="AD36" s="55">
        <v>-8391</v>
      </c>
      <c r="AE36" s="59">
        <f>AD36/30</f>
        <v>-279.7</v>
      </c>
    </row>
    <row r="37" spans="1:36" ht="23.25" x14ac:dyDescent="0.65">
      <c r="A37" s="3"/>
      <c r="B37" s="3" t="s">
        <v>54</v>
      </c>
      <c r="C37" s="3"/>
      <c r="D37" s="3"/>
      <c r="E37" s="3"/>
      <c r="F37" s="3"/>
      <c r="G37" s="82" t="s">
        <v>55</v>
      </c>
      <c r="H37" s="82"/>
      <c r="I37" s="82"/>
      <c r="J37" s="82"/>
      <c r="K37" s="82"/>
      <c r="L37" s="3"/>
      <c r="M37" s="3" t="s">
        <v>19</v>
      </c>
      <c r="N37" s="113">
        <v>1</v>
      </c>
      <c r="O37" s="113"/>
      <c r="P37" s="3" t="s">
        <v>53</v>
      </c>
      <c r="Q37" s="3"/>
      <c r="R37" s="3"/>
      <c r="S37" s="3" t="s">
        <v>52</v>
      </c>
      <c r="T37" s="3"/>
      <c r="U37" s="3"/>
      <c r="V37" s="113">
        <v>1</v>
      </c>
      <c r="W37" s="113"/>
      <c r="X37" s="3" t="s">
        <v>53</v>
      </c>
      <c r="Y37" s="3"/>
      <c r="Z37" s="53" t="s">
        <v>127</v>
      </c>
      <c r="AA37" s="53" t="s">
        <v>90</v>
      </c>
      <c r="AB37" s="53" t="s">
        <v>136</v>
      </c>
      <c r="AC37" s="55">
        <v>147962</v>
      </c>
      <c r="AD37" s="55">
        <f>AC37+AD36</f>
        <v>139571</v>
      </c>
      <c r="AE37" s="59">
        <f>AD37/208</f>
        <v>671.01442307692309</v>
      </c>
    </row>
    <row r="38" spans="1:36" ht="23.25" x14ac:dyDescent="0.65">
      <c r="A38" s="3"/>
      <c r="B38" s="3" t="s">
        <v>58</v>
      </c>
      <c r="C38" s="3"/>
      <c r="D38" s="3"/>
      <c r="E38" s="3"/>
      <c r="F38" s="3"/>
      <c r="G38" s="82" t="s">
        <v>59</v>
      </c>
      <c r="H38" s="82"/>
      <c r="I38" s="82"/>
      <c r="J38" s="82"/>
      <c r="K38" s="82"/>
      <c r="L38" s="3"/>
      <c r="M38" s="3" t="s">
        <v>19</v>
      </c>
      <c r="N38" s="113">
        <v>124</v>
      </c>
      <c r="O38" s="113"/>
      <c r="P38" s="3" t="s">
        <v>53</v>
      </c>
      <c r="Q38" s="3"/>
      <c r="R38" s="3"/>
      <c r="S38" s="3" t="s">
        <v>52</v>
      </c>
      <c r="T38" s="3"/>
      <c r="U38" s="3"/>
      <c r="V38" s="113">
        <v>121</v>
      </c>
      <c r="W38" s="113"/>
      <c r="X38" s="3" t="s">
        <v>53</v>
      </c>
      <c r="Y38" s="3"/>
      <c r="Z38" s="54"/>
      <c r="AA38" s="53"/>
      <c r="AB38" s="54"/>
      <c r="AC38" s="55"/>
      <c r="AD38" s="103"/>
    </row>
    <row r="39" spans="1:36" ht="23.25" x14ac:dyDescent="0.65">
      <c r="A39" s="3"/>
      <c r="B39" s="3" t="s">
        <v>60</v>
      </c>
      <c r="C39" s="3"/>
      <c r="D39" s="3"/>
      <c r="E39" s="3"/>
      <c r="F39" s="3"/>
      <c r="G39" s="82" t="s">
        <v>61</v>
      </c>
      <c r="H39" s="82"/>
      <c r="I39" s="82"/>
      <c r="J39" s="82"/>
      <c r="K39" s="82"/>
      <c r="L39" s="3"/>
      <c r="M39" s="3" t="s">
        <v>19</v>
      </c>
      <c r="N39" s="113">
        <v>14</v>
      </c>
      <c r="O39" s="113"/>
      <c r="P39" s="3" t="s">
        <v>53</v>
      </c>
      <c r="Q39" s="3"/>
      <c r="R39" s="3"/>
      <c r="S39" s="3" t="s">
        <v>52</v>
      </c>
      <c r="T39" s="3"/>
      <c r="U39" s="3"/>
      <c r="V39" s="113">
        <v>12</v>
      </c>
      <c r="W39" s="113"/>
      <c r="X39" s="3" t="s">
        <v>53</v>
      </c>
      <c r="Y39" s="3"/>
      <c r="Z39" s="91"/>
      <c r="AA39" s="91"/>
      <c r="AB39" s="91"/>
      <c r="AC39" s="98">
        <f>SUM(AC37:AC38)</f>
        <v>147962</v>
      </c>
      <c r="AD39" s="92"/>
      <c r="AE39" s="92"/>
      <c r="AF39" s="93"/>
    </row>
    <row r="40" spans="1:36" ht="23.25" x14ac:dyDescent="0.65">
      <c r="A40" s="3"/>
      <c r="B40" s="3" t="s">
        <v>64</v>
      </c>
      <c r="C40" s="3"/>
      <c r="D40" s="3"/>
      <c r="E40" s="3"/>
      <c r="F40" s="3"/>
      <c r="G40" s="82" t="s">
        <v>65</v>
      </c>
      <c r="H40" s="82"/>
      <c r="I40" s="82"/>
      <c r="J40" s="82"/>
      <c r="K40" s="82"/>
      <c r="L40" s="3"/>
      <c r="M40" s="3" t="s">
        <v>19</v>
      </c>
      <c r="N40" s="113">
        <v>25</v>
      </c>
      <c r="O40" s="113"/>
      <c r="P40" s="3" t="s">
        <v>53</v>
      </c>
      <c r="Q40" s="3"/>
      <c r="R40" s="3"/>
      <c r="S40" s="3" t="s">
        <v>52</v>
      </c>
      <c r="T40" s="3"/>
      <c r="U40" s="3"/>
      <c r="V40" s="113">
        <v>19</v>
      </c>
      <c r="W40" s="113"/>
      <c r="X40" s="3" t="s">
        <v>53</v>
      </c>
      <c r="Y40" s="3"/>
      <c r="Z40" s="92"/>
      <c r="AA40" s="92"/>
      <c r="AB40" s="92"/>
      <c r="AC40" s="92"/>
      <c r="AD40" s="92"/>
      <c r="AE40" s="92"/>
      <c r="AF40" s="93"/>
    </row>
    <row r="41" spans="1:36" ht="23.25" x14ac:dyDescent="0.6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 t="s">
        <v>66</v>
      </c>
      <c r="M41" s="23"/>
      <c r="N41" s="116">
        <f>SUM(N36:N40)</f>
        <v>165</v>
      </c>
      <c r="O41" s="116"/>
      <c r="P41" s="24" t="s">
        <v>53</v>
      </c>
      <c r="Q41" s="23"/>
      <c r="R41" s="23"/>
      <c r="S41" s="116" t="s">
        <v>52</v>
      </c>
      <c r="T41" s="116"/>
      <c r="U41" s="116"/>
      <c r="V41" s="116">
        <f>SUM(V36:W40)</f>
        <v>154</v>
      </c>
      <c r="W41" s="116"/>
      <c r="X41" s="24" t="s">
        <v>53</v>
      </c>
      <c r="Y41" s="23"/>
      <c r="Z41" s="95"/>
      <c r="AA41" s="242"/>
      <c r="AB41" s="92"/>
      <c r="AC41" s="243"/>
      <c r="AD41" s="92"/>
      <c r="AE41" s="92"/>
      <c r="AF41" s="93"/>
    </row>
    <row r="42" spans="1:36" ht="23.25" x14ac:dyDescent="0.65">
      <c r="A42" s="3" t="s">
        <v>67</v>
      </c>
      <c r="B42" s="102"/>
      <c r="C42" s="102"/>
      <c r="D42" s="102"/>
      <c r="E42" s="102"/>
      <c r="F42" s="10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36" ht="9.9499999999999993" customHeight="1" x14ac:dyDescent="0.6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36" ht="21" x14ac:dyDescent="0.6">
      <c r="A44" s="122" t="s">
        <v>68</v>
      </c>
      <c r="B44" s="123"/>
      <c r="C44" s="123"/>
      <c r="D44" s="123"/>
      <c r="E44" s="124"/>
      <c r="F44" s="122" t="s">
        <v>69</v>
      </c>
      <c r="G44" s="123"/>
      <c r="H44" s="123"/>
      <c r="I44" s="124"/>
      <c r="J44" s="119" t="s">
        <v>70</v>
      </c>
      <c r="K44" s="119"/>
      <c r="L44" s="119"/>
      <c r="M44" s="119"/>
      <c r="N44" s="119"/>
      <c r="O44" s="119"/>
      <c r="P44" s="128" t="s">
        <v>71</v>
      </c>
      <c r="Q44" s="128"/>
      <c r="R44" s="128"/>
      <c r="S44" s="128"/>
      <c r="T44" s="128"/>
      <c r="U44" s="128" t="s">
        <v>72</v>
      </c>
      <c r="V44" s="128"/>
      <c r="W44" s="128"/>
      <c r="X44" s="128"/>
      <c r="Y44" s="128"/>
      <c r="AD44" s="57"/>
      <c r="AE44" s="57"/>
      <c r="AF44" s="56"/>
    </row>
    <row r="45" spans="1:36" x14ac:dyDescent="0.25">
      <c r="A45" s="125"/>
      <c r="B45" s="126"/>
      <c r="C45" s="126"/>
      <c r="D45" s="126"/>
      <c r="E45" s="127"/>
      <c r="F45" s="125"/>
      <c r="G45" s="126"/>
      <c r="H45" s="126"/>
      <c r="I45" s="127"/>
      <c r="J45" s="198" t="s">
        <v>73</v>
      </c>
      <c r="K45" s="198"/>
      <c r="L45" s="198"/>
      <c r="M45" s="198"/>
      <c r="N45" s="198"/>
      <c r="O45" s="198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AE45" s="57"/>
      <c r="AF45" s="56"/>
    </row>
    <row r="46" spans="1:36" ht="21" x14ac:dyDescent="0.6">
      <c r="A46" s="199" t="s">
        <v>74</v>
      </c>
      <c r="B46" s="199"/>
      <c r="C46" s="199"/>
      <c r="D46" s="199"/>
      <c r="E46" s="199"/>
      <c r="F46" s="199" t="s">
        <v>75</v>
      </c>
      <c r="G46" s="199"/>
      <c r="H46" s="199"/>
      <c r="I46" s="199"/>
      <c r="J46" s="119" t="s">
        <v>76</v>
      </c>
      <c r="K46" s="119"/>
      <c r="L46" s="119"/>
      <c r="M46" s="119" t="s">
        <v>77</v>
      </c>
      <c r="N46" s="119"/>
      <c r="O46" s="119"/>
      <c r="P46" s="201" t="s">
        <v>78</v>
      </c>
      <c r="Q46" s="199"/>
      <c r="R46" s="199"/>
      <c r="S46" s="199"/>
      <c r="T46" s="199"/>
      <c r="U46" s="199" t="s">
        <v>79</v>
      </c>
      <c r="V46" s="199"/>
      <c r="W46" s="199"/>
      <c r="X46" s="199"/>
      <c r="Y46" s="199"/>
      <c r="AE46" s="57"/>
      <c r="AF46" s="56"/>
    </row>
    <row r="47" spans="1:36" x14ac:dyDescent="0.25">
      <c r="A47" s="200"/>
      <c r="B47" s="200"/>
      <c r="C47" s="200"/>
      <c r="D47" s="200"/>
      <c r="E47" s="200"/>
      <c r="F47" s="200"/>
      <c r="G47" s="200"/>
      <c r="H47" s="200"/>
      <c r="I47" s="200"/>
      <c r="J47" s="202" t="s">
        <v>80</v>
      </c>
      <c r="K47" s="202"/>
      <c r="L47" s="202"/>
      <c r="M47" s="202" t="s">
        <v>81</v>
      </c>
      <c r="N47" s="202"/>
      <c r="O47" s="202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AE47" s="57"/>
      <c r="AF47" s="56"/>
    </row>
    <row r="48" spans="1:36" ht="20.100000000000001" customHeight="1" x14ac:dyDescent="0.25">
      <c r="A48" s="205" t="s">
        <v>127</v>
      </c>
      <c r="B48" s="205"/>
      <c r="C48" s="205" t="s">
        <v>90</v>
      </c>
      <c r="D48" s="205"/>
      <c r="E48" s="205"/>
      <c r="F48" s="205" t="s">
        <v>88</v>
      </c>
      <c r="G48" s="205" t="s">
        <v>83</v>
      </c>
      <c r="H48" s="205" t="s">
        <v>83</v>
      </c>
      <c r="I48" s="205" t="s">
        <v>83</v>
      </c>
      <c r="J48" s="206">
        <v>8</v>
      </c>
      <c r="K48" s="206"/>
      <c r="L48" s="206"/>
      <c r="M48" s="230">
        <v>671</v>
      </c>
      <c r="N48" s="230"/>
      <c r="O48" s="230"/>
      <c r="P48" s="208">
        <f t="shared" ref="P48" si="0">M48*J48</f>
        <v>5368</v>
      </c>
      <c r="Q48" s="208"/>
      <c r="R48" s="208"/>
      <c r="S48" s="208"/>
      <c r="T48" s="208"/>
      <c r="U48" s="203">
        <f>M48*($U$28)</f>
        <v>139568</v>
      </c>
      <c r="V48" s="203"/>
      <c r="W48" s="203"/>
      <c r="X48" s="203"/>
      <c r="Y48" s="203"/>
      <c r="AH48" s="26"/>
      <c r="AJ48" s="27"/>
    </row>
    <row r="49" spans="1:36" ht="20.100000000000001" customHeight="1" x14ac:dyDescent="0.25">
      <c r="A49" s="205" t="s">
        <v>127</v>
      </c>
      <c r="B49" s="205"/>
      <c r="C49" s="205" t="s">
        <v>90</v>
      </c>
      <c r="D49" s="205"/>
      <c r="E49" s="205"/>
      <c r="F49" s="205" t="s">
        <v>88</v>
      </c>
      <c r="G49" s="205" t="s">
        <v>83</v>
      </c>
      <c r="H49" s="205" t="s">
        <v>83</v>
      </c>
      <c r="I49" s="205" t="s">
        <v>83</v>
      </c>
      <c r="J49" s="206">
        <v>2</v>
      </c>
      <c r="K49" s="206"/>
      <c r="L49" s="206"/>
      <c r="M49" s="230">
        <v>280</v>
      </c>
      <c r="N49" s="230"/>
      <c r="O49" s="230"/>
      <c r="P49" s="208">
        <f>M49*J49</f>
        <v>560</v>
      </c>
      <c r="Q49" s="208"/>
      <c r="R49" s="208"/>
      <c r="S49" s="208"/>
      <c r="T49" s="208"/>
      <c r="U49" s="203">
        <f>M49*($N$29)</f>
        <v>8400</v>
      </c>
      <c r="V49" s="203"/>
      <c r="W49" s="203"/>
      <c r="X49" s="203"/>
      <c r="Y49" s="203"/>
      <c r="Z49" s="28"/>
      <c r="AC49" s="244"/>
      <c r="AF49" s="50"/>
      <c r="AH49" s="26"/>
      <c r="AJ49" s="27"/>
    </row>
    <row r="50" spans="1:36" ht="23.25" x14ac:dyDescent="0.25">
      <c r="A50" s="101"/>
      <c r="B50" s="101"/>
      <c r="C50" s="101"/>
      <c r="D50" s="101"/>
      <c r="E50" s="101"/>
      <c r="F50" s="101"/>
      <c r="G50" s="101"/>
      <c r="H50" s="101"/>
      <c r="I50" s="101"/>
      <c r="J50" s="30"/>
      <c r="K50" s="30"/>
      <c r="L50" s="30"/>
      <c r="M50" s="31"/>
      <c r="N50" s="31"/>
      <c r="O50" s="31"/>
      <c r="P50" s="32"/>
      <c r="Q50" s="32"/>
      <c r="R50" s="32"/>
      <c r="S50" s="32"/>
      <c r="T50" s="32"/>
      <c r="U50" s="221"/>
      <c r="V50" s="221"/>
      <c r="W50" s="221"/>
      <c r="X50" s="221"/>
      <c r="Y50" s="221"/>
      <c r="Z50" s="47"/>
      <c r="AA50" s="245"/>
      <c r="AE50" s="246"/>
      <c r="AF50"/>
      <c r="AG50"/>
    </row>
    <row r="51" spans="1:36" s="3" customFormat="1" ht="23.25" x14ac:dyDescent="0.65">
      <c r="A51" s="3" t="s">
        <v>95</v>
      </c>
      <c r="AA51" s="101"/>
      <c r="AB51" s="101"/>
      <c r="AC51" s="101"/>
      <c r="AD51" s="101"/>
      <c r="AE51" s="101"/>
    </row>
    <row r="52" spans="1:36" ht="21" x14ac:dyDescent="0.6">
      <c r="A52" s="122" t="s">
        <v>68</v>
      </c>
      <c r="B52" s="123"/>
      <c r="C52" s="123"/>
      <c r="D52" s="123"/>
      <c r="E52" s="124"/>
      <c r="F52" s="122" t="s">
        <v>69</v>
      </c>
      <c r="G52" s="123"/>
      <c r="H52" s="123"/>
      <c r="I52" s="124"/>
      <c r="J52" s="119" t="s">
        <v>96</v>
      </c>
      <c r="K52" s="119"/>
      <c r="L52" s="119"/>
      <c r="M52" s="119"/>
      <c r="N52" s="119"/>
      <c r="O52" s="119"/>
      <c r="P52" s="122" t="s">
        <v>66</v>
      </c>
      <c r="Q52" s="123"/>
      <c r="R52" s="123"/>
      <c r="S52" s="123"/>
      <c r="T52" s="124"/>
      <c r="U52" s="122" t="s">
        <v>97</v>
      </c>
      <c r="V52" s="123"/>
      <c r="W52" s="123"/>
      <c r="X52" s="123"/>
      <c r="Y52" s="124"/>
      <c r="AE52" s="246"/>
      <c r="AF52"/>
      <c r="AG52"/>
    </row>
    <row r="53" spans="1:36" x14ac:dyDescent="0.25">
      <c r="A53" s="125"/>
      <c r="B53" s="126"/>
      <c r="C53" s="126"/>
      <c r="D53" s="126"/>
      <c r="E53" s="127"/>
      <c r="F53" s="125"/>
      <c r="G53" s="126"/>
      <c r="H53" s="126"/>
      <c r="I53" s="127"/>
      <c r="J53" s="210" t="s">
        <v>98</v>
      </c>
      <c r="K53" s="210"/>
      <c r="L53" s="210"/>
      <c r="M53" s="210"/>
      <c r="N53" s="210"/>
      <c r="O53" s="210"/>
      <c r="P53" s="125"/>
      <c r="Q53" s="126"/>
      <c r="R53" s="126"/>
      <c r="S53" s="126"/>
      <c r="T53" s="127"/>
      <c r="U53" s="125"/>
      <c r="V53" s="126"/>
      <c r="W53" s="126"/>
      <c r="X53" s="126"/>
      <c r="Y53" s="127"/>
      <c r="AE53" s="246"/>
      <c r="AF53"/>
      <c r="AG53"/>
    </row>
    <row r="54" spans="1:36" ht="19.5" customHeight="1" x14ac:dyDescent="0.25">
      <c r="A54" s="199" t="s">
        <v>74</v>
      </c>
      <c r="B54" s="199"/>
      <c r="C54" s="199"/>
      <c r="D54" s="199"/>
      <c r="E54" s="199"/>
      <c r="F54" s="199" t="s">
        <v>75</v>
      </c>
      <c r="G54" s="199"/>
      <c r="H54" s="199"/>
      <c r="I54" s="199"/>
      <c r="J54" s="122" t="s">
        <v>99</v>
      </c>
      <c r="K54" s="123"/>
      <c r="L54" s="123"/>
      <c r="M54" s="122" t="s">
        <v>100</v>
      </c>
      <c r="N54" s="123"/>
      <c r="O54" s="123"/>
      <c r="P54" s="199" t="s">
        <v>101</v>
      </c>
      <c r="Q54" s="199"/>
      <c r="R54" s="199"/>
      <c r="S54" s="199"/>
      <c r="T54" s="199"/>
      <c r="U54" s="199" t="s">
        <v>102</v>
      </c>
      <c r="V54" s="199"/>
      <c r="W54" s="199"/>
      <c r="X54" s="199"/>
      <c r="Y54" s="199"/>
      <c r="Z54" s="74"/>
      <c r="AA54" s="101"/>
      <c r="AE54" s="246"/>
      <c r="AF54"/>
      <c r="AG54"/>
    </row>
    <row r="55" spans="1:36" x14ac:dyDescent="0.25">
      <c r="A55" s="200"/>
      <c r="B55" s="200"/>
      <c r="C55" s="200"/>
      <c r="D55" s="200"/>
      <c r="E55" s="200"/>
      <c r="F55" s="200"/>
      <c r="G55" s="200"/>
      <c r="H55" s="200"/>
      <c r="I55" s="200"/>
      <c r="J55" s="202" t="s">
        <v>103</v>
      </c>
      <c r="K55" s="202"/>
      <c r="L55" s="202"/>
      <c r="M55" s="202" t="s">
        <v>104</v>
      </c>
      <c r="N55" s="202"/>
      <c r="O55" s="202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72"/>
      <c r="AE55" s="246"/>
      <c r="AF55"/>
      <c r="AG55"/>
    </row>
    <row r="56" spans="1:36" ht="20.100000000000001" customHeight="1" x14ac:dyDescent="0.25">
      <c r="A56" s="205" t="str">
        <f>A48</f>
        <v>LADIES</v>
      </c>
      <c r="B56" s="205" t="s">
        <v>82</v>
      </c>
      <c r="C56" s="205" t="str">
        <f>C48</f>
        <v>PANT</v>
      </c>
      <c r="D56" s="205" t="s">
        <v>90</v>
      </c>
      <c r="E56" s="205" t="s">
        <v>90</v>
      </c>
      <c r="F56" s="205" t="str">
        <f>F48</f>
        <v xml:space="preserve">KNITTED </v>
      </c>
      <c r="G56" s="205"/>
      <c r="H56" s="205"/>
      <c r="I56" s="205"/>
      <c r="J56" s="215">
        <f t="shared" ref="J56:J57" si="1">M56*12</f>
        <v>5.9558967843094806</v>
      </c>
      <c r="K56" s="216"/>
      <c r="L56" s="217"/>
      <c r="M56" s="218">
        <v>0.49632473202579003</v>
      </c>
      <c r="N56" s="218"/>
      <c r="O56" s="218"/>
      <c r="P56" s="203">
        <f>U48</f>
        <v>139568</v>
      </c>
      <c r="Q56" s="203"/>
      <c r="R56" s="203"/>
      <c r="S56" s="203"/>
      <c r="T56" s="203"/>
      <c r="U56" s="211">
        <f t="shared" ref="U56:U57" si="2">P56*M56</f>
        <v>69271.050199375459</v>
      </c>
      <c r="V56" s="211"/>
      <c r="W56" s="211"/>
      <c r="X56" s="211"/>
      <c r="Y56" s="211"/>
      <c r="Z56" s="71"/>
      <c r="AE56" s="246"/>
      <c r="AF56"/>
      <c r="AG56"/>
    </row>
    <row r="57" spans="1:36" ht="20.100000000000001" customHeight="1" x14ac:dyDescent="0.25">
      <c r="A57" s="205" t="str">
        <f>A49</f>
        <v>LADIES</v>
      </c>
      <c r="B57" s="205" t="s">
        <v>82</v>
      </c>
      <c r="C57" s="205" t="str">
        <f>C49</f>
        <v>PANT</v>
      </c>
      <c r="D57" s="205" t="s">
        <v>90</v>
      </c>
      <c r="E57" s="205" t="s">
        <v>90</v>
      </c>
      <c r="F57" s="205" t="str">
        <f>F49</f>
        <v xml:space="preserve">KNITTED </v>
      </c>
      <c r="G57" s="205"/>
      <c r="H57" s="205"/>
      <c r="I57" s="205"/>
      <c r="J57" s="208">
        <f t="shared" si="1"/>
        <v>5.9558967843094806</v>
      </c>
      <c r="K57" s="208"/>
      <c r="L57" s="208"/>
      <c r="M57" s="218">
        <v>0.49632473202579003</v>
      </c>
      <c r="N57" s="218"/>
      <c r="O57" s="218"/>
      <c r="P57" s="203">
        <f>U49</f>
        <v>8400</v>
      </c>
      <c r="Q57" s="203"/>
      <c r="R57" s="203"/>
      <c r="S57" s="203"/>
      <c r="T57" s="203"/>
      <c r="U57" s="211">
        <f t="shared" si="2"/>
        <v>4169.1277490166358</v>
      </c>
      <c r="V57" s="211"/>
      <c r="W57" s="211"/>
      <c r="X57" s="211"/>
      <c r="Y57" s="211"/>
      <c r="Z57" s="71"/>
    </row>
    <row r="58" spans="1:36" ht="23.25" x14ac:dyDescent="0.65">
      <c r="A58" s="3" t="s">
        <v>106</v>
      </c>
      <c r="B58" s="102"/>
      <c r="C58" s="102"/>
      <c r="D58" s="102"/>
      <c r="E58" s="102"/>
      <c r="F58" s="10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36" ht="20.100000000000001" customHeight="1" x14ac:dyDescent="0.65">
      <c r="A59" s="36"/>
      <c r="B59" s="4" t="s">
        <v>107</v>
      </c>
      <c r="C59" s="102"/>
      <c r="D59" s="102"/>
      <c r="E59" s="102"/>
      <c r="F59" s="10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36" ht="20.100000000000001" customHeight="1" x14ac:dyDescent="0.65">
      <c r="A60" s="4" t="s">
        <v>108</v>
      </c>
      <c r="B60" s="102"/>
      <c r="C60" s="102"/>
      <c r="D60" s="102"/>
      <c r="E60" s="102"/>
      <c r="F60" s="10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36" ht="23.25" x14ac:dyDescent="0.65">
      <c r="A61" s="36"/>
      <c r="B61" s="3" t="s">
        <v>109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36" ht="23.25" x14ac:dyDescent="0.65">
      <c r="A62" s="4" t="s">
        <v>150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36" ht="23.25" x14ac:dyDescent="0.65">
      <c r="A63" s="3"/>
      <c r="B63" s="3" t="s">
        <v>110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36" ht="21.95" customHeight="1" x14ac:dyDescent="0.65">
      <c r="A64" s="37" t="s">
        <v>111</v>
      </c>
      <c r="B64" s="38"/>
      <c r="C64" s="38"/>
      <c r="D64" s="38"/>
      <c r="E64" s="38"/>
      <c r="F64" s="38"/>
      <c r="G64" s="37"/>
      <c r="H64" s="3"/>
      <c r="I64" s="3"/>
      <c r="J64" s="3"/>
      <c r="K64" s="3"/>
      <c r="L64" s="3"/>
      <c r="M64" s="3"/>
      <c r="N64" s="3"/>
      <c r="O64" s="3"/>
      <c r="P64" s="176" t="s">
        <v>112</v>
      </c>
      <c r="Q64" s="176"/>
      <c r="R64" s="176"/>
      <c r="S64" s="176"/>
      <c r="T64" s="176"/>
      <c r="U64" s="176"/>
      <c r="V64" s="176"/>
      <c r="W64" s="176"/>
      <c r="X64" s="176"/>
      <c r="Y64" s="176"/>
    </row>
    <row r="65" spans="1:25" ht="21.95" customHeight="1" x14ac:dyDescent="0.65">
      <c r="A65" s="176" t="s">
        <v>113</v>
      </c>
      <c r="B65" s="176"/>
      <c r="C65" s="176"/>
      <c r="D65" s="176"/>
      <c r="E65" s="176"/>
      <c r="F65" s="176"/>
      <c r="G65" s="176"/>
      <c r="H65" s="3"/>
      <c r="I65" s="3"/>
      <c r="J65" s="3"/>
      <c r="K65" s="3"/>
      <c r="L65" s="3"/>
      <c r="M65" s="3"/>
      <c r="N65" s="3"/>
      <c r="O65" s="3"/>
      <c r="P65" s="176" t="s">
        <v>114</v>
      </c>
      <c r="Q65" s="176"/>
      <c r="R65" s="176"/>
      <c r="S65" s="176"/>
      <c r="T65" s="176"/>
      <c r="U65" s="176"/>
      <c r="V65" s="176"/>
      <c r="W65" s="176"/>
      <c r="X65" s="176"/>
      <c r="Y65" s="176"/>
    </row>
    <row r="66" spans="1:25" ht="21.95" customHeight="1" x14ac:dyDescent="0.65">
      <c r="A66" s="176" t="s">
        <v>115</v>
      </c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</row>
    <row r="67" spans="1:25" ht="21.95" customHeight="1" x14ac:dyDescent="0.25">
      <c r="A67" s="177" t="s">
        <v>116</v>
      </c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</row>
    <row r="68" spans="1:25" ht="21" x14ac:dyDescent="0.6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</row>
    <row r="69" spans="1:25" ht="21" x14ac:dyDescent="0.6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spans="1:25" ht="21" x14ac:dyDescent="0.6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spans="1:25" ht="23.25" x14ac:dyDescent="0.65">
      <c r="A71" s="219" t="s">
        <v>148</v>
      </c>
      <c r="B71" s="219"/>
      <c r="C71" s="219"/>
      <c r="D71" s="219"/>
      <c r="E71" s="219"/>
      <c r="F71" s="21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25.5" x14ac:dyDescent="0.7">
      <c r="A72" s="100"/>
      <c r="B72" s="100"/>
      <c r="C72" s="100"/>
      <c r="D72" s="100"/>
      <c r="E72" s="100"/>
      <c r="F72" s="10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25.5" x14ac:dyDescent="0.7">
      <c r="A73" s="100"/>
      <c r="B73" s="100"/>
      <c r="C73" s="100"/>
      <c r="D73" s="100"/>
      <c r="E73" s="100"/>
      <c r="F73" s="100"/>
      <c r="G73" s="3"/>
      <c r="H73" s="3"/>
      <c r="I73" s="3"/>
      <c r="J73" s="3"/>
      <c r="K73" s="220" t="s">
        <v>131</v>
      </c>
      <c r="L73" s="220"/>
      <c r="M73" s="220"/>
      <c r="N73" s="220"/>
      <c r="O73" s="220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29.25" x14ac:dyDescent="0.8">
      <c r="A74" s="41"/>
      <c r="B74" s="41"/>
      <c r="C74" s="41"/>
      <c r="D74" s="41"/>
      <c r="E74" s="41"/>
      <c r="F74" s="41"/>
      <c r="G74" s="41"/>
      <c r="H74" s="41"/>
      <c r="I74" s="41"/>
      <c r="J74" s="175"/>
      <c r="K74" s="175"/>
      <c r="L74" s="175"/>
      <c r="M74" s="175"/>
      <c r="N74" s="175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</sheetData>
  <mergeCells count="123">
    <mergeCell ref="A71:F71"/>
    <mergeCell ref="K73:O73"/>
    <mergeCell ref="J74:N74"/>
    <mergeCell ref="AD9:AD10"/>
    <mergeCell ref="P64:Y64"/>
    <mergeCell ref="A65:G65"/>
    <mergeCell ref="P65:Y65"/>
    <mergeCell ref="A66:Y66"/>
    <mergeCell ref="A67:Y67"/>
    <mergeCell ref="A68:Y68"/>
    <mergeCell ref="U57:Y57"/>
    <mergeCell ref="A57:B57"/>
    <mergeCell ref="C57:E57"/>
    <mergeCell ref="F57:I57"/>
    <mergeCell ref="J57:L57"/>
    <mergeCell ref="M57:O57"/>
    <mergeCell ref="P57:T57"/>
    <mergeCell ref="U56:Y56"/>
    <mergeCell ref="A56:B56"/>
    <mergeCell ref="C56:E56"/>
    <mergeCell ref="F56:I56"/>
    <mergeCell ref="J56:L56"/>
    <mergeCell ref="M56:O56"/>
    <mergeCell ref="P56:T56"/>
    <mergeCell ref="A54:E55"/>
    <mergeCell ref="F54:I55"/>
    <mergeCell ref="J54:L54"/>
    <mergeCell ref="M54:O54"/>
    <mergeCell ref="P54:T55"/>
    <mergeCell ref="U54:Y55"/>
    <mergeCell ref="J55:L55"/>
    <mergeCell ref="M55:O55"/>
    <mergeCell ref="U50:Y50"/>
    <mergeCell ref="A52:E53"/>
    <mergeCell ref="F52:I53"/>
    <mergeCell ref="J52:O52"/>
    <mergeCell ref="P52:T53"/>
    <mergeCell ref="U52:Y53"/>
    <mergeCell ref="J53:O53"/>
    <mergeCell ref="A49:B49"/>
    <mergeCell ref="C49:E49"/>
    <mergeCell ref="F49:I49"/>
    <mergeCell ref="J49:L49"/>
    <mergeCell ref="M49:O49"/>
    <mergeCell ref="P49:T49"/>
    <mergeCell ref="U49:Y49"/>
    <mergeCell ref="U46:Y47"/>
    <mergeCell ref="J47:L47"/>
    <mergeCell ref="M47:O47"/>
    <mergeCell ref="A48:B48"/>
    <mergeCell ref="C48:E48"/>
    <mergeCell ref="F48:I48"/>
    <mergeCell ref="J48:L48"/>
    <mergeCell ref="M48:O48"/>
    <mergeCell ref="P48:T48"/>
    <mergeCell ref="U48:Y48"/>
    <mergeCell ref="J45:O45"/>
    <mergeCell ref="A46:E47"/>
    <mergeCell ref="F46:I47"/>
    <mergeCell ref="J46:L46"/>
    <mergeCell ref="M46:O46"/>
    <mergeCell ref="P46:T47"/>
    <mergeCell ref="N40:O40"/>
    <mergeCell ref="V40:W40"/>
    <mergeCell ref="N41:O41"/>
    <mergeCell ref="S41:U41"/>
    <mergeCell ref="V41:W41"/>
    <mergeCell ref="A44:E45"/>
    <mergeCell ref="F44:I45"/>
    <mergeCell ref="J44:O44"/>
    <mergeCell ref="P44:T45"/>
    <mergeCell ref="U44:Y45"/>
    <mergeCell ref="N37:O37"/>
    <mergeCell ref="V37:W37"/>
    <mergeCell ref="N38:O38"/>
    <mergeCell ref="V38:W38"/>
    <mergeCell ref="N39:O39"/>
    <mergeCell ref="V39:W39"/>
    <mergeCell ref="G27:I27"/>
    <mergeCell ref="U28:Y28"/>
    <mergeCell ref="N29:R29"/>
    <mergeCell ref="N36:O36"/>
    <mergeCell ref="V36:W36"/>
    <mergeCell ref="Z36:AA36"/>
    <mergeCell ref="I21:J21"/>
    <mergeCell ref="G22:I22"/>
    <mergeCell ref="G23:I23"/>
    <mergeCell ref="G24:I24"/>
    <mergeCell ref="G25:I25"/>
    <mergeCell ref="G26:I26"/>
    <mergeCell ref="I19:J19"/>
    <mergeCell ref="L19:M19"/>
    <mergeCell ref="O19:P19"/>
    <mergeCell ref="R19:S19"/>
    <mergeCell ref="V19:W19"/>
    <mergeCell ref="I20:J20"/>
    <mergeCell ref="O20:P20"/>
    <mergeCell ref="V20:W20"/>
    <mergeCell ref="I17:J17"/>
    <mergeCell ref="L17:M17"/>
    <mergeCell ref="O17:P17"/>
    <mergeCell ref="R17:S17"/>
    <mergeCell ref="V17:W17"/>
    <mergeCell ref="I18:J18"/>
    <mergeCell ref="L18:M18"/>
    <mergeCell ref="O18:P18"/>
    <mergeCell ref="R18:S18"/>
    <mergeCell ref="V18:W18"/>
    <mergeCell ref="A7:Y7"/>
    <mergeCell ref="A8:Y8"/>
    <mergeCell ref="P13:S13"/>
    <mergeCell ref="P14:S14"/>
    <mergeCell ref="I16:J16"/>
    <mergeCell ref="L16:M16"/>
    <mergeCell ref="O16:P16"/>
    <mergeCell ref="R16:S16"/>
    <mergeCell ref="V16:W16"/>
    <mergeCell ref="A1:Y1"/>
    <mergeCell ref="A2:Y2"/>
    <mergeCell ref="A3:H3"/>
    <mergeCell ref="A4:H4"/>
    <mergeCell ref="A5:H5"/>
    <mergeCell ref="A6:Y6"/>
  </mergeCells>
  <conditionalFormatting sqref="AE49:AG49 AG48 AE45:AF45">
    <cfRule type="duplicateValues" dxfId="1" priority="6"/>
  </conditionalFormatting>
  <conditionalFormatting sqref="AB15:AD19">
    <cfRule type="uniqueValues" dxfId="0" priority="7"/>
  </conditionalFormatting>
  <printOptions horizontalCentered="1"/>
  <pageMargins left="0.25" right="0.25" top="0.25" bottom="0.25" header="0.25" footer="0.25"/>
  <pageSetup paperSize="9" scale="75" orientation="portrait" r:id="rId1"/>
  <rowBreaks count="1" manualBreakCount="1">
    <brk id="41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JR-01</vt:lpstr>
      <vt:lpstr>JR-02</vt:lpstr>
      <vt:lpstr>JR-03</vt:lpstr>
      <vt:lpstr>JR-04</vt:lpstr>
      <vt:lpstr>JR-05</vt:lpstr>
      <vt:lpstr>JR-06</vt:lpstr>
      <vt:lpstr>JR-07</vt:lpstr>
      <vt:lpstr>JR-08</vt:lpstr>
      <vt:lpstr>JR-09</vt:lpstr>
      <vt:lpstr>'JR-01'!Print_Area</vt:lpstr>
      <vt:lpstr>'JR-02'!Print_Area</vt:lpstr>
      <vt:lpstr>'JR-03'!Print_Area</vt:lpstr>
      <vt:lpstr>'JR-04'!Print_Area</vt:lpstr>
      <vt:lpstr>'JR-05'!Print_Area</vt:lpstr>
      <vt:lpstr>'JR-06'!Print_Area</vt:lpstr>
      <vt:lpstr>'JR-07'!Print_Area</vt:lpstr>
      <vt:lpstr>'JR-08'!Print_Area</vt:lpstr>
      <vt:lpstr>'JR-09'!Print_Area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Mei</dc:creator>
  <cp:lastModifiedBy>User</cp:lastModifiedBy>
  <cp:lastPrinted>2026-09-17T07:02:27Z</cp:lastPrinted>
  <dcterms:created xsi:type="dcterms:W3CDTF">2026-05-23T05:12:44Z</dcterms:created>
  <dcterms:modified xsi:type="dcterms:W3CDTF">2026-10-20T02:29:28Z</dcterms:modified>
</cp:coreProperties>
</file>