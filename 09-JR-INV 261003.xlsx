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B:\2-INVOICE\1-JR APPAREL\2026\"/>
    </mc:Choice>
  </mc:AlternateContent>
  <xr:revisionPtr revIDLastSave="0" documentId="13_ncr:1_{6197696B-0150-4314-BF7C-33BF1E872B05}" xr6:coauthVersionLast="47" xr6:coauthVersionMax="47" xr10:uidLastSave="{00000000-0000-0000-0000-000000000000}"/>
  <bookViews>
    <workbookView xWindow="-110" yWindow="-110" windowWidth="19420" windowHeight="11500" tabRatio="835" firstSheet="8" activeTab="21" xr2:uid="{00000000-000D-0000-FFFF-FFFF00000000}"/>
  </bookViews>
  <sheets>
    <sheet name="360" sheetId="1" r:id="rId1"/>
    <sheet name="D001" sheetId="8" r:id="rId2"/>
    <sheet name="366" sheetId="12" r:id="rId3"/>
    <sheet name="D002" sheetId="13" r:id="rId4"/>
    <sheet name="370" sheetId="14" r:id="rId5"/>
    <sheet name="D003" sheetId="15" r:id="rId6"/>
    <sheet name="375" sheetId="16" r:id="rId7"/>
    <sheet name="D004" sheetId="17" r:id="rId8"/>
    <sheet name="377" sheetId="19" r:id="rId9"/>
    <sheet name="D005" sheetId="20" r:id="rId10"/>
    <sheet name="379" sheetId="44" r:id="rId11"/>
    <sheet name="D006" sheetId="45" r:id="rId12"/>
    <sheet name="387" sheetId="21" r:id="rId13"/>
    <sheet name="D007" sheetId="22" r:id="rId14"/>
    <sheet name="388" sheetId="23" r:id="rId15"/>
    <sheet name="D008" sheetId="24" r:id="rId16"/>
    <sheet name="389" sheetId="47" r:id="rId17"/>
    <sheet name="D009" sheetId="48" r:id="rId18"/>
    <sheet name="393" sheetId="49" r:id="rId19"/>
    <sheet name="D010" sheetId="50" r:id="rId20"/>
    <sheet name="D011" sheetId="26" r:id="rId21"/>
    <sheet name="ST-INV" sheetId="10" r:id="rId22"/>
    <sheet name="STA-DN" sheetId="11" r:id="rId23"/>
    <sheet name="OR-INV" sheetId="7" r:id="rId24"/>
    <sheet name="Check list 1" sheetId="33" r:id="rId25"/>
    <sheet name="证书" sheetId="4" state="hidden" r:id="rId26"/>
    <sheet name="Contract" sheetId="5" state="hidden" r:id="rId27"/>
  </sheets>
  <definedNames>
    <definedName name="_xlnm.Print_Area" localSheetId="0">'360'!$A$1:$R$50</definedName>
    <definedName name="_xlnm.Print_Area" localSheetId="2">'366'!$A$1:$R$52</definedName>
    <definedName name="_xlnm.Print_Area" localSheetId="4">'370'!$A$1:$R$51</definedName>
    <definedName name="_xlnm.Print_Area" localSheetId="6">'375'!$A$1:$R$51</definedName>
    <definedName name="_xlnm.Print_Area" localSheetId="8">'377'!$A$1:$R$53</definedName>
    <definedName name="_xlnm.Print_Area" localSheetId="10">'379'!$A$1:$R$52</definedName>
    <definedName name="_xlnm.Print_Area" localSheetId="12">'387'!$A$1:$R$52</definedName>
    <definedName name="_xlnm.Print_Area" localSheetId="14">'388'!$A$1:$R$51</definedName>
    <definedName name="_xlnm.Print_Area" localSheetId="16">'389'!$A$1:$R$51</definedName>
    <definedName name="_xlnm.Print_Area" localSheetId="18">'393'!$J$1:$R$52</definedName>
    <definedName name="_xlnm.Print_Area" localSheetId="24">'Check list 1'!$A$1:$E$40</definedName>
    <definedName name="_xlnm.Print_Area" localSheetId="26">Contract!$A$1:$G$133</definedName>
    <definedName name="_xlnm.Print_Area" localSheetId="1">'D001'!$A$1:$G$51</definedName>
    <definedName name="_xlnm.Print_Area" localSheetId="3">'D002'!$A$1:$G$51</definedName>
    <definedName name="_xlnm.Print_Area" localSheetId="5">'D003'!$A$1:$G$51</definedName>
    <definedName name="_xlnm.Print_Area" localSheetId="7">'D004'!$A$1:$G$51</definedName>
    <definedName name="_xlnm.Print_Area" localSheetId="9">'D005'!$A$1:$G$51</definedName>
    <definedName name="_xlnm.Print_Area" localSheetId="11">'D006'!$A$1:$G$51</definedName>
    <definedName name="_xlnm.Print_Area" localSheetId="13">'D007'!$A$1:$G$51</definedName>
    <definedName name="_xlnm.Print_Area" localSheetId="15">'D008'!$A$1:$G$51</definedName>
    <definedName name="_xlnm.Print_Area" localSheetId="17">'D009'!$A$1:$G$51</definedName>
    <definedName name="_xlnm.Print_Area" localSheetId="19">'D010'!$A$1:$G$51</definedName>
    <definedName name="_xlnm.Print_Area" localSheetId="20">'D011'!$A$1:$G$51</definedName>
    <definedName name="_xlnm.Print_Area" localSheetId="22">'STA-DN'!$A$1:$F$32</definedName>
    <definedName name="_xlnm.Print_Area" localSheetId="21">'ST-INV'!$A$1:$G$35</definedName>
    <definedName name="_xlnm.Print_Area" localSheetId="25">证书!$A$1:$H$141</definedName>
    <definedName name="_xlnm.Print_Titles" localSheetId="0">'360'!$22:$23</definedName>
    <definedName name="_xlnm.Print_Titles" localSheetId="2">'366'!$22:$23</definedName>
    <definedName name="_xlnm.Print_Titles" localSheetId="4">'370'!$22:$23</definedName>
    <definedName name="_xlnm.Print_Titles" localSheetId="6">'375'!$22:$23</definedName>
    <definedName name="_xlnm.Print_Titles" localSheetId="8">'377'!$22:$23</definedName>
    <definedName name="_xlnm.Print_Titles" localSheetId="10">'379'!$22:$23</definedName>
    <definedName name="_xlnm.Print_Titles" localSheetId="12">'387'!$22:$23</definedName>
    <definedName name="_xlnm.Print_Titles" localSheetId="14">'388'!$22:$23</definedName>
    <definedName name="_xlnm.Print_Titles" localSheetId="16">'389'!$22:$23</definedName>
    <definedName name="_xlnm.Print_Titles" localSheetId="18">'393'!$22:$23</definedName>
    <definedName name="_xlnm.Print_Titles" localSheetId="26">Contract!$17:$17</definedName>
    <definedName name="_xlnm.Print_Titles" localSheetId="25">证书!$14:$15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7" i="16" l="1"/>
  <c r="R27" i="16" s="1"/>
  <c r="E25" i="10"/>
  <c r="E24" i="10"/>
  <c r="E22" i="10"/>
  <c r="E21" i="10"/>
  <c r="E20" i="10"/>
  <c r="E19" i="10"/>
  <c r="E18" i="10"/>
  <c r="C14" i="50"/>
  <c r="G25" i="20" l="1"/>
  <c r="G27" i="17"/>
  <c r="K19" i="1"/>
  <c r="C11" i="7" l="1"/>
  <c r="D20" i="11"/>
  <c r="C24" i="11"/>
  <c r="C23" i="11"/>
  <c r="C22" i="11"/>
  <c r="B24" i="11"/>
  <c r="D17" i="11"/>
  <c r="D16" i="11"/>
  <c r="D15" i="11"/>
  <c r="D14" i="11"/>
  <c r="G25" i="48" l="1"/>
  <c r="G26" i="48"/>
  <c r="G24" i="48"/>
  <c r="G23" i="48"/>
  <c r="G22" i="48"/>
  <c r="G21" i="48"/>
  <c r="G20" i="48"/>
  <c r="G19" i="48"/>
  <c r="G18" i="48"/>
  <c r="G17" i="48"/>
  <c r="P27" i="47"/>
  <c r="R27" i="47" s="1"/>
  <c r="P26" i="47"/>
  <c r="R26" i="47" s="1"/>
  <c r="P25" i="47"/>
  <c r="R25" i="47" s="1"/>
  <c r="G21" i="24"/>
  <c r="G20" i="24"/>
  <c r="H19" i="24"/>
  <c r="G26" i="24"/>
  <c r="G25" i="24"/>
  <c r="G24" i="24"/>
  <c r="G23" i="24"/>
  <c r="G22" i="24"/>
  <c r="G19" i="24"/>
  <c r="G18" i="24"/>
  <c r="G17" i="24"/>
  <c r="G27" i="24" s="1"/>
  <c r="F21" i="11" s="1"/>
  <c r="P26" i="23"/>
  <c r="R26" i="23" s="1"/>
  <c r="P27" i="23"/>
  <c r="R27" i="23" s="1"/>
  <c r="G27" i="22"/>
  <c r="G26" i="22"/>
  <c r="G25" i="22"/>
  <c r="G24" i="22"/>
  <c r="G23" i="22"/>
  <c r="G22" i="22"/>
  <c r="G21" i="22"/>
  <c r="G20" i="22"/>
  <c r="G19" i="22"/>
  <c r="G18" i="22"/>
  <c r="G17" i="22"/>
  <c r="P27" i="21"/>
  <c r="R27" i="21" s="1"/>
  <c r="P26" i="21"/>
  <c r="R26" i="21" s="1"/>
  <c r="P25" i="21"/>
  <c r="R25" i="21" s="1"/>
  <c r="R29" i="21" s="1"/>
  <c r="R31" i="21" s="1"/>
  <c r="G26" i="45"/>
  <c r="G20" i="45"/>
  <c r="H19" i="45"/>
  <c r="P26" i="44"/>
  <c r="R26" i="44" s="1"/>
  <c r="P27" i="44"/>
  <c r="R27" i="44" s="1"/>
  <c r="G28" i="45"/>
  <c r="G27" i="45"/>
  <c r="G25" i="45"/>
  <c r="G24" i="45"/>
  <c r="G23" i="45"/>
  <c r="G22" i="45"/>
  <c r="G21" i="45"/>
  <c r="G19" i="45"/>
  <c r="G18" i="45"/>
  <c r="G17" i="45"/>
  <c r="G26" i="20"/>
  <c r="G24" i="20"/>
  <c r="G23" i="20"/>
  <c r="G22" i="20"/>
  <c r="G21" i="20"/>
  <c r="G20" i="20"/>
  <c r="G27" i="20"/>
  <c r="G19" i="20"/>
  <c r="G18" i="20"/>
  <c r="G17" i="20"/>
  <c r="G28" i="20" s="1"/>
  <c r="G29" i="45" l="1"/>
  <c r="F19" i="11" s="1"/>
  <c r="G27" i="48"/>
  <c r="F22" i="11" s="1"/>
  <c r="G28" i="22"/>
  <c r="F20" i="11" s="1"/>
  <c r="F18" i="11"/>
  <c r="H19" i="20"/>
  <c r="P26" i="19"/>
  <c r="R26" i="19" s="1"/>
  <c r="P27" i="19"/>
  <c r="R27" i="19" s="1"/>
  <c r="J20" i="19"/>
  <c r="G25" i="17"/>
  <c r="G24" i="17"/>
  <c r="G25" i="15"/>
  <c r="G24" i="15"/>
  <c r="G23" i="15"/>
  <c r="G22" i="15"/>
  <c r="G21" i="15"/>
  <c r="G20" i="15"/>
  <c r="G19" i="15"/>
  <c r="G18" i="15"/>
  <c r="G17" i="15"/>
  <c r="G23" i="13"/>
  <c r="G22" i="13"/>
  <c r="G21" i="13"/>
  <c r="G20" i="13"/>
  <c r="G23" i="8"/>
  <c r="G22" i="8"/>
  <c r="G21" i="8"/>
  <c r="G20" i="8"/>
  <c r="E27" i="10"/>
  <c r="D23" i="11" s="1"/>
  <c r="E26" i="10"/>
  <c r="D22" i="11" s="1"/>
  <c r="D27" i="10"/>
  <c r="D26" i="10"/>
  <c r="C27" i="10"/>
  <c r="C26" i="10"/>
  <c r="B27" i="10"/>
  <c r="B23" i="11" s="1"/>
  <c r="B26" i="10"/>
  <c r="B22" i="11" s="1"/>
  <c r="D21" i="11"/>
  <c r="G21" i="50"/>
  <c r="G20" i="50"/>
  <c r="G19" i="50"/>
  <c r="G18" i="50"/>
  <c r="A18" i="50"/>
  <c r="A19" i="50" s="1"/>
  <c r="A20" i="50" s="1"/>
  <c r="A21" i="50" s="1"/>
  <c r="G17" i="50"/>
  <c r="G22" i="50" s="1"/>
  <c r="F23" i="11" s="1"/>
  <c r="H16" i="50"/>
  <c r="C13" i="50"/>
  <c r="G12" i="50"/>
  <c r="C12" i="50"/>
  <c r="G11" i="50"/>
  <c r="C11" i="50"/>
  <c r="G10" i="50"/>
  <c r="C10" i="50"/>
  <c r="C9" i="50"/>
  <c r="S25" i="49"/>
  <c r="P25" i="49"/>
  <c r="R25" i="49" s="1"/>
  <c r="R27" i="49" s="1"/>
  <c r="R29" i="49" s="1"/>
  <c r="G27" i="10" s="1"/>
  <c r="J27" i="10" s="1"/>
  <c r="G25" i="49"/>
  <c r="P21" i="49"/>
  <c r="R20" i="49"/>
  <c r="N20" i="49"/>
  <c r="K20" i="49"/>
  <c r="J20" i="49"/>
  <c r="R19" i="49"/>
  <c r="O19" i="49"/>
  <c r="N19" i="49"/>
  <c r="K19" i="49"/>
  <c r="J19" i="49"/>
  <c r="R18" i="49"/>
  <c r="P18" i="49"/>
  <c r="L18" i="49"/>
  <c r="J18" i="49"/>
  <c r="L17" i="49"/>
  <c r="J17" i="49"/>
  <c r="J16" i="49"/>
  <c r="J15" i="49"/>
  <c r="J14" i="49"/>
  <c r="R13" i="49"/>
  <c r="G5" i="50" s="1"/>
  <c r="J13" i="49"/>
  <c r="J12" i="49"/>
  <c r="H16" i="48"/>
  <c r="C14" i="48"/>
  <c r="C13" i="48"/>
  <c r="G12" i="48"/>
  <c r="C12" i="48"/>
  <c r="G11" i="48"/>
  <c r="C11" i="48"/>
  <c r="G10" i="48"/>
  <c r="C10" i="48"/>
  <c r="C9" i="48"/>
  <c r="R29" i="47"/>
  <c r="R31" i="47" s="1"/>
  <c r="G25" i="47"/>
  <c r="H25" i="47" s="1"/>
  <c r="P21" i="47"/>
  <c r="R20" i="47"/>
  <c r="N20" i="47"/>
  <c r="K20" i="47"/>
  <c r="J20" i="47"/>
  <c r="R19" i="47"/>
  <c r="O19" i="47"/>
  <c r="N19" i="47"/>
  <c r="K19" i="47"/>
  <c r="J19" i="47"/>
  <c r="R18" i="47"/>
  <c r="P18" i="47"/>
  <c r="L18" i="47"/>
  <c r="J18" i="47"/>
  <c r="L17" i="47"/>
  <c r="J17" i="47"/>
  <c r="J16" i="47"/>
  <c r="J15" i="47"/>
  <c r="J14" i="47"/>
  <c r="R13" i="47"/>
  <c r="G5" i="48" s="1"/>
  <c r="J13" i="47"/>
  <c r="J12" i="47"/>
  <c r="G26" i="15" l="1"/>
  <c r="F16" i="11" s="1"/>
  <c r="I27" i="49"/>
  <c r="H25" i="49"/>
  <c r="I29" i="47"/>
  <c r="F29" i="47" s="1"/>
  <c r="I30" i="47"/>
  <c r="F30" i="47" s="1"/>
  <c r="I25" i="47"/>
  <c r="G25" i="13"/>
  <c r="G24" i="13"/>
  <c r="G19" i="13"/>
  <c r="G18" i="13"/>
  <c r="G17" i="13"/>
  <c r="G24" i="8"/>
  <c r="P28" i="16"/>
  <c r="R28" i="16" s="1"/>
  <c r="C17" i="33"/>
  <c r="C16" i="33"/>
  <c r="C15" i="33"/>
  <c r="C14" i="33"/>
  <c r="C13" i="33"/>
  <c r="C12" i="33"/>
  <c r="C11" i="33"/>
  <c r="C10" i="33"/>
  <c r="G26" i="13" l="1"/>
  <c r="F15" i="11" s="1"/>
  <c r="I25" i="49"/>
  <c r="I28" i="49"/>
  <c r="F27" i="49"/>
  <c r="I31" i="47"/>
  <c r="S31" i="47" s="1"/>
  <c r="D25" i="10"/>
  <c r="C25" i="10"/>
  <c r="B25" i="10"/>
  <c r="B21" i="11" s="1"/>
  <c r="G18" i="26"/>
  <c r="F28" i="49" l="1"/>
  <c r="I29" i="49"/>
  <c r="F31" i="47"/>
  <c r="G26" i="10"/>
  <c r="J26" i="10" s="1"/>
  <c r="D18" i="11"/>
  <c r="F29" i="49" l="1"/>
  <c r="S29" i="49"/>
  <c r="P27" i="14"/>
  <c r="R27" i="14" s="1"/>
  <c r="P26" i="14"/>
  <c r="R26" i="14" s="1"/>
  <c r="L17" i="23" l="1"/>
  <c r="G26" i="17"/>
  <c r="G5" i="22"/>
  <c r="G20" i="17"/>
  <c r="P27" i="12" l="1"/>
  <c r="R27" i="12" s="1"/>
  <c r="A3" i="11" l="1"/>
  <c r="C19" i="11" l="1"/>
  <c r="E23" i="10"/>
  <c r="D19" i="11" s="1"/>
  <c r="D23" i="10"/>
  <c r="C23" i="10"/>
  <c r="B23" i="10"/>
  <c r="B19" i="11" s="1"/>
  <c r="H16" i="45"/>
  <c r="C14" i="45"/>
  <c r="C13" i="45"/>
  <c r="G12" i="45"/>
  <c r="C12" i="45"/>
  <c r="G11" i="45"/>
  <c r="C11" i="45"/>
  <c r="G10" i="45"/>
  <c r="C10" i="45"/>
  <c r="C9" i="45"/>
  <c r="G5" i="45"/>
  <c r="P25" i="44"/>
  <c r="R25" i="44" s="1"/>
  <c r="R29" i="44" s="1"/>
  <c r="R31" i="44" s="1"/>
  <c r="G25" i="44"/>
  <c r="H25" i="44" s="1"/>
  <c r="P21" i="44"/>
  <c r="R20" i="44"/>
  <c r="N20" i="44"/>
  <c r="K20" i="44"/>
  <c r="J20" i="44"/>
  <c r="R19" i="44"/>
  <c r="N19" i="44"/>
  <c r="K19" i="44"/>
  <c r="J19" i="44"/>
  <c r="R18" i="44"/>
  <c r="P18" i="44"/>
  <c r="L18" i="44"/>
  <c r="J18" i="44"/>
  <c r="L17" i="44"/>
  <c r="J17" i="44"/>
  <c r="J16" i="44"/>
  <c r="J15" i="44"/>
  <c r="J14" i="44"/>
  <c r="R13" i="44"/>
  <c r="J13" i="44"/>
  <c r="J12" i="44"/>
  <c r="H19" i="11" l="1"/>
  <c r="I30" i="44"/>
  <c r="F30" i="44" s="1"/>
  <c r="I25" i="44"/>
  <c r="I29" i="44"/>
  <c r="F29" i="44" l="1"/>
  <c r="I31" i="44"/>
  <c r="S31" i="44" s="1"/>
  <c r="F31" i="44" l="1"/>
  <c r="G23" i="10"/>
  <c r="J23" i="10" s="1"/>
  <c r="G19" i="8"/>
  <c r="G22" i="17" l="1"/>
  <c r="H18" i="11" l="1"/>
  <c r="G28" i="17"/>
  <c r="G23" i="17"/>
  <c r="G21" i="17"/>
  <c r="G19" i="17"/>
  <c r="G18" i="17"/>
  <c r="G17" i="17"/>
  <c r="G29" i="17" l="1"/>
  <c r="F17" i="11" s="1"/>
  <c r="H17" i="11" s="1"/>
  <c r="P26" i="1" l="1"/>
  <c r="R26" i="1" s="1"/>
  <c r="P27" i="1"/>
  <c r="R27" i="1" s="1"/>
  <c r="H29" i="10" l="1"/>
  <c r="I29" i="10"/>
  <c r="D35" i="33"/>
  <c r="B31" i="33"/>
  <c r="G18" i="8"/>
  <c r="G25" i="8"/>
  <c r="J29" i="10" l="1"/>
  <c r="R13" i="23" l="1"/>
  <c r="L18" i="21"/>
  <c r="G17" i="26"/>
  <c r="G19" i="26" s="1"/>
  <c r="F24" i="11" s="1"/>
  <c r="P25" i="1" l="1"/>
  <c r="R25" i="1" s="1"/>
  <c r="R29" i="1" s="1"/>
  <c r="G17" i="8" l="1"/>
  <c r="G26" i="8" s="1"/>
  <c r="F14" i="11" s="1"/>
  <c r="P26" i="16" l="1"/>
  <c r="R26" i="16" s="1"/>
  <c r="H19" i="17" l="1"/>
  <c r="L17" i="16"/>
  <c r="H22" i="11" l="1"/>
  <c r="H21" i="11"/>
  <c r="R13" i="16"/>
  <c r="H19" i="8" l="1"/>
  <c r="J18" i="12" l="1"/>
  <c r="H14" i="11" l="1"/>
  <c r="A11" i="33" l="1"/>
  <c r="A12" i="33" s="1"/>
  <c r="A13" i="33" s="1"/>
  <c r="A14" i="33" s="1"/>
  <c r="A15" i="33" s="1"/>
  <c r="A16" i="33" s="1"/>
  <c r="A17" i="33" s="1"/>
  <c r="A18" i="33" s="1"/>
  <c r="A19" i="33" s="1"/>
  <c r="A20" i="33" s="1"/>
  <c r="P25" i="23"/>
  <c r="P25" i="19"/>
  <c r="P25" i="16"/>
  <c r="P25" i="14"/>
  <c r="R25" i="14" s="1"/>
  <c r="P26" i="12"/>
  <c r="R26" i="12" s="1"/>
  <c r="P25" i="12"/>
  <c r="R25" i="12" s="1"/>
  <c r="R29" i="12" l="1"/>
  <c r="R29" i="14"/>
  <c r="R18" i="23" l="1"/>
  <c r="R25" i="16" l="1"/>
  <c r="R30" i="16" s="1"/>
  <c r="N20" i="1"/>
  <c r="J20" i="14" l="1"/>
  <c r="K19" i="23" l="1"/>
  <c r="G12" i="24" l="1"/>
  <c r="G11" i="24"/>
  <c r="G10" i="24"/>
  <c r="L18" i="23"/>
  <c r="C14" i="24"/>
  <c r="C13" i="24"/>
  <c r="C12" i="24"/>
  <c r="C11" i="24"/>
  <c r="C10" i="24"/>
  <c r="C9" i="24"/>
  <c r="P21" i="23"/>
  <c r="R20" i="23"/>
  <c r="R19" i="23"/>
  <c r="N20" i="23"/>
  <c r="N19" i="23"/>
  <c r="K20" i="23"/>
  <c r="G5" i="24" l="1"/>
  <c r="C21" i="11" l="1"/>
  <c r="C20" i="11"/>
  <c r="C24" i="10"/>
  <c r="D24" i="10"/>
  <c r="B24" i="10"/>
  <c r="B20" i="11" s="1"/>
  <c r="G12" i="22"/>
  <c r="G11" i="22"/>
  <c r="G10" i="22"/>
  <c r="C14" i="22"/>
  <c r="C13" i="22"/>
  <c r="C12" i="22"/>
  <c r="C11" i="22"/>
  <c r="C10" i="22"/>
  <c r="C9" i="22"/>
  <c r="H16" i="22"/>
  <c r="H16" i="24"/>
  <c r="R25" i="23"/>
  <c r="R29" i="23" s="1"/>
  <c r="G25" i="23"/>
  <c r="H25" i="23" s="1"/>
  <c r="J20" i="23"/>
  <c r="J19" i="23"/>
  <c r="P18" i="23"/>
  <c r="J18" i="23"/>
  <c r="J17" i="23"/>
  <c r="J16" i="23"/>
  <c r="J15" i="23"/>
  <c r="J14" i="23"/>
  <c r="J13" i="23"/>
  <c r="J12" i="23"/>
  <c r="G25" i="21"/>
  <c r="H25" i="21" s="1"/>
  <c r="P21" i="21"/>
  <c r="R20" i="21"/>
  <c r="N20" i="21"/>
  <c r="K20" i="21"/>
  <c r="J20" i="21"/>
  <c r="R19" i="21"/>
  <c r="N19" i="21"/>
  <c r="K19" i="21"/>
  <c r="J19" i="21"/>
  <c r="R18" i="21"/>
  <c r="P18" i="21"/>
  <c r="J18" i="21"/>
  <c r="L17" i="21"/>
  <c r="J17" i="21"/>
  <c r="J16" i="21"/>
  <c r="J15" i="21"/>
  <c r="J14" i="21"/>
  <c r="R13" i="21"/>
  <c r="J13" i="21"/>
  <c r="J12" i="21"/>
  <c r="I29" i="21" l="1"/>
  <c r="F29" i="21" s="1"/>
  <c r="I29" i="23"/>
  <c r="F29" i="23" s="1"/>
  <c r="I30" i="23"/>
  <c r="F30" i="23" s="1"/>
  <c r="I25" i="23"/>
  <c r="R31" i="23"/>
  <c r="I30" i="21"/>
  <c r="F30" i="21" s="1"/>
  <c r="I25" i="21"/>
  <c r="D22" i="10"/>
  <c r="H20" i="11" l="1"/>
  <c r="I31" i="21"/>
  <c r="I31" i="23"/>
  <c r="C18" i="11"/>
  <c r="C17" i="11"/>
  <c r="B22" i="10"/>
  <c r="B18" i="11" s="1"/>
  <c r="C22" i="10"/>
  <c r="G24" i="10" l="1"/>
  <c r="J24" i="10" s="1"/>
  <c r="S31" i="21"/>
  <c r="G25" i="10"/>
  <c r="J25" i="10" s="1"/>
  <c r="S31" i="23"/>
  <c r="F31" i="21"/>
  <c r="F31" i="23"/>
  <c r="G25" i="19" l="1"/>
  <c r="G12" i="20"/>
  <c r="G11" i="20"/>
  <c r="G10" i="20"/>
  <c r="C14" i="20"/>
  <c r="C13" i="20"/>
  <c r="C12" i="20"/>
  <c r="C11" i="20"/>
  <c r="C10" i="20"/>
  <c r="C9" i="20"/>
  <c r="G5" i="20"/>
  <c r="H16" i="20"/>
  <c r="I29" i="19" l="1"/>
  <c r="F29" i="19" s="1"/>
  <c r="R25" i="19"/>
  <c r="R29" i="19" s="1"/>
  <c r="H25" i="19"/>
  <c r="P21" i="19"/>
  <c r="R20" i="19"/>
  <c r="N20" i="19"/>
  <c r="K20" i="19"/>
  <c r="R19" i="19"/>
  <c r="N19" i="19"/>
  <c r="K19" i="19"/>
  <c r="J19" i="19"/>
  <c r="R18" i="19"/>
  <c r="P18" i="19"/>
  <c r="L18" i="19"/>
  <c r="J18" i="19"/>
  <c r="L17" i="19"/>
  <c r="J17" i="19"/>
  <c r="J16" i="19"/>
  <c r="J15" i="19"/>
  <c r="J14" i="19"/>
  <c r="R13" i="19"/>
  <c r="J13" i="19"/>
  <c r="J12" i="19"/>
  <c r="R31" i="19" l="1"/>
  <c r="I30" i="19"/>
  <c r="F30" i="19" s="1"/>
  <c r="I25" i="19"/>
  <c r="I31" i="19" l="1"/>
  <c r="G22" i="10" s="1"/>
  <c r="J22" i="10" s="1"/>
  <c r="S31" i="19" l="1"/>
  <c r="F31" i="19"/>
  <c r="B21" i="10"/>
  <c r="B17" i="11" s="1"/>
  <c r="G12" i="8" l="1"/>
  <c r="J20" i="16"/>
  <c r="C16" i="11" l="1"/>
  <c r="D21" i="10"/>
  <c r="C21" i="10"/>
  <c r="H16" i="17"/>
  <c r="G12" i="17"/>
  <c r="G11" i="17"/>
  <c r="G10" i="17"/>
  <c r="C14" i="17"/>
  <c r="C13" i="17"/>
  <c r="C12" i="17"/>
  <c r="C11" i="17"/>
  <c r="C10" i="17"/>
  <c r="C9" i="17"/>
  <c r="G5" i="17"/>
  <c r="G25" i="16" l="1"/>
  <c r="H25" i="16" s="1"/>
  <c r="P21" i="16"/>
  <c r="R20" i="16"/>
  <c r="N20" i="16"/>
  <c r="K20" i="16"/>
  <c r="R19" i="16"/>
  <c r="N19" i="16"/>
  <c r="K19" i="16"/>
  <c r="J19" i="16"/>
  <c r="R18" i="16"/>
  <c r="P18" i="16"/>
  <c r="L18" i="16"/>
  <c r="J18" i="16"/>
  <c r="J17" i="16"/>
  <c r="J16" i="16"/>
  <c r="J15" i="16"/>
  <c r="J14" i="16"/>
  <c r="J13" i="16"/>
  <c r="J12" i="16"/>
  <c r="R32" i="16" l="1"/>
  <c r="I30" i="16"/>
  <c r="F30" i="16" s="1"/>
  <c r="I31" i="16"/>
  <c r="F31" i="16" s="1"/>
  <c r="I25" i="16"/>
  <c r="I32" i="16" l="1"/>
  <c r="G21" i="10" s="1"/>
  <c r="J21" i="10" s="1"/>
  <c r="S32" i="16" l="1"/>
  <c r="F32" i="16"/>
  <c r="C15" i="11"/>
  <c r="C14" i="11"/>
  <c r="J13" i="1" l="1"/>
  <c r="L17" i="1" l="1"/>
  <c r="D20" i="10"/>
  <c r="D19" i="10"/>
  <c r="D18" i="10"/>
  <c r="C20" i="10"/>
  <c r="C19" i="10"/>
  <c r="C18" i="10"/>
  <c r="G5" i="15" l="1"/>
  <c r="G5" i="13"/>
  <c r="P21" i="14" l="1"/>
  <c r="P21" i="12"/>
  <c r="P21" i="1"/>
  <c r="B20" i="10" l="1"/>
  <c r="B16" i="11" s="1"/>
  <c r="B19" i="10"/>
  <c r="B15" i="11" s="1"/>
  <c r="B18" i="10"/>
  <c r="H16" i="13"/>
  <c r="H16" i="15"/>
  <c r="B14" i="11" l="1"/>
  <c r="H16" i="8"/>
  <c r="G26" i="11" l="1"/>
  <c r="A19" i="10"/>
  <c r="A20" i="10" s="1"/>
  <c r="A21" i="10" s="1"/>
  <c r="A22" i="10" s="1"/>
  <c r="A23" i="10" s="1"/>
  <c r="A24" i="10" s="1"/>
  <c r="A25" i="10" s="1"/>
  <c r="A26" i="10" s="1"/>
  <c r="A27" i="10" s="1"/>
  <c r="C9" i="15"/>
  <c r="C10" i="15"/>
  <c r="C10" i="13"/>
  <c r="C9" i="13"/>
  <c r="C10" i="8"/>
  <c r="C9" i="8"/>
  <c r="C14" i="15" l="1"/>
  <c r="C13" i="15"/>
  <c r="C12" i="15"/>
  <c r="C11" i="15"/>
  <c r="G12" i="15"/>
  <c r="G11" i="15"/>
  <c r="G10" i="15"/>
  <c r="G25" i="14"/>
  <c r="H25" i="14" s="1"/>
  <c r="R20" i="14"/>
  <c r="N20" i="14"/>
  <c r="K20" i="14"/>
  <c r="R19" i="14"/>
  <c r="N19" i="14"/>
  <c r="K19" i="14"/>
  <c r="J19" i="14"/>
  <c r="R18" i="14"/>
  <c r="P18" i="14"/>
  <c r="L18" i="14"/>
  <c r="J18" i="14"/>
  <c r="L17" i="14"/>
  <c r="J17" i="14"/>
  <c r="J16" i="14"/>
  <c r="J15" i="14"/>
  <c r="J14" i="14"/>
  <c r="R13" i="14"/>
  <c r="J13" i="14"/>
  <c r="J12" i="14"/>
  <c r="C14" i="13"/>
  <c r="C13" i="13"/>
  <c r="C12" i="13"/>
  <c r="C11" i="13"/>
  <c r="G12" i="13"/>
  <c r="G11" i="13"/>
  <c r="G10" i="13"/>
  <c r="F26" i="11" l="1"/>
  <c r="H19" i="15"/>
  <c r="H19" i="13"/>
  <c r="R31" i="14"/>
  <c r="I29" i="14"/>
  <c r="I25" i="14"/>
  <c r="I30" i="14"/>
  <c r="F30" i="14" s="1"/>
  <c r="H16" i="11" l="1"/>
  <c r="C28" i="7"/>
  <c r="H15" i="11"/>
  <c r="I31" i="14"/>
  <c r="G20" i="10" s="1"/>
  <c r="J20" i="10" s="1"/>
  <c r="F29" i="14"/>
  <c r="G25" i="12"/>
  <c r="H25" i="12" s="1"/>
  <c r="R20" i="12"/>
  <c r="N20" i="12"/>
  <c r="K20" i="12"/>
  <c r="J20" i="12"/>
  <c r="R19" i="12"/>
  <c r="N19" i="12"/>
  <c r="K19" i="12"/>
  <c r="J19" i="12"/>
  <c r="R18" i="12"/>
  <c r="P18" i="12"/>
  <c r="L18" i="12"/>
  <c r="L17" i="12"/>
  <c r="J17" i="12"/>
  <c r="J16" i="12"/>
  <c r="J15" i="12"/>
  <c r="J14" i="12"/>
  <c r="R13" i="12"/>
  <c r="J13" i="12"/>
  <c r="J12" i="12"/>
  <c r="G11" i="8"/>
  <c r="G10" i="8"/>
  <c r="S31" i="14" l="1"/>
  <c r="F31" i="14"/>
  <c r="R31" i="12"/>
  <c r="I29" i="12"/>
  <c r="F29" i="12" s="1"/>
  <c r="I25" i="12"/>
  <c r="I30" i="12"/>
  <c r="F30" i="12" s="1"/>
  <c r="I31" i="12" l="1"/>
  <c r="G19" i="10" s="1"/>
  <c r="J19" i="10" s="1"/>
  <c r="S31" i="12" l="1"/>
  <c r="F31" i="12"/>
  <c r="J14" i="1"/>
  <c r="R13" i="1"/>
  <c r="A10" i="10"/>
  <c r="C7" i="7" s="1"/>
  <c r="C27" i="7" s="1"/>
  <c r="I27" i="7"/>
  <c r="C31" i="7"/>
  <c r="J12" i="1"/>
  <c r="R20" i="1"/>
  <c r="R19" i="1"/>
  <c r="R18" i="1"/>
  <c r="P18" i="1"/>
  <c r="N19" i="1"/>
  <c r="K20" i="1"/>
  <c r="J20" i="1"/>
  <c r="J19" i="1"/>
  <c r="L18" i="1"/>
  <c r="J18" i="1"/>
  <c r="J17" i="1"/>
  <c r="J16" i="1"/>
  <c r="J15" i="1"/>
  <c r="G25" i="1"/>
  <c r="I29" i="1" s="1"/>
  <c r="F29" i="1" s="1"/>
  <c r="A6" i="11" l="1"/>
  <c r="R31" i="1" l="1"/>
  <c r="C26" i="11" l="1"/>
  <c r="C11" i="8"/>
  <c r="C12" i="8" l="1"/>
  <c r="G5" i="8"/>
  <c r="C14" i="8"/>
  <c r="C13" i="8"/>
  <c r="H25" i="1" l="1"/>
  <c r="J8" i="4"/>
  <c r="I30" i="1" l="1"/>
  <c r="I25" i="1"/>
  <c r="G17" i="4"/>
  <c r="G18" i="4"/>
  <c r="G19" i="4"/>
  <c r="G20" i="4"/>
  <c r="G21" i="4"/>
  <c r="G22" i="4"/>
  <c r="G24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40" i="4"/>
  <c r="G41" i="4"/>
  <c r="G42" i="4"/>
  <c r="G43" i="4"/>
  <c r="G44" i="4"/>
  <c r="G45" i="4"/>
  <c r="G46" i="4"/>
  <c r="G47" i="4"/>
  <c r="G48" i="4"/>
  <c r="G50" i="4"/>
  <c r="G51" i="4"/>
  <c r="G53" i="4"/>
  <c r="G54" i="4"/>
  <c r="G56" i="4"/>
  <c r="G59" i="4"/>
  <c r="G61" i="4"/>
  <c r="G62" i="4"/>
  <c r="G63" i="4"/>
  <c r="G64" i="4"/>
  <c r="G65" i="4"/>
  <c r="G66" i="4"/>
  <c r="G67" i="4"/>
  <c r="G68" i="4"/>
  <c r="G70" i="4"/>
  <c r="G71" i="4"/>
  <c r="G72" i="4"/>
  <c r="G73" i="4"/>
  <c r="G74" i="4"/>
  <c r="G75" i="4"/>
  <c r="G77" i="4"/>
  <c r="G78" i="4"/>
  <c r="G79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6" i="4"/>
  <c r="H16" i="4"/>
  <c r="G80" i="4"/>
  <c r="G58" i="4"/>
  <c r="F30" i="1" l="1"/>
  <c r="I31" i="1"/>
  <c r="G25" i="4"/>
  <c r="G49" i="4"/>
  <c r="G81" i="4"/>
  <c r="G55" i="4"/>
  <c r="G69" i="4"/>
  <c r="G23" i="4"/>
  <c r="G52" i="4"/>
  <c r="G60" i="4"/>
  <c r="G39" i="4"/>
  <c r="G57" i="4"/>
  <c r="G76" i="4"/>
  <c r="C19" i="5"/>
  <c r="F19" i="5"/>
  <c r="G19" i="5"/>
  <c r="C20" i="5"/>
  <c r="F20" i="5"/>
  <c r="G20" i="5"/>
  <c r="C21" i="5"/>
  <c r="F21" i="5"/>
  <c r="G21" i="5"/>
  <c r="C22" i="5"/>
  <c r="F22" i="5"/>
  <c r="G22" i="5"/>
  <c r="C23" i="5"/>
  <c r="F23" i="5"/>
  <c r="G23" i="5"/>
  <c r="C24" i="5"/>
  <c r="F24" i="5"/>
  <c r="G24" i="5"/>
  <c r="C25" i="5"/>
  <c r="F25" i="5"/>
  <c r="G25" i="5"/>
  <c r="C26" i="5"/>
  <c r="F26" i="5"/>
  <c r="G26" i="5"/>
  <c r="C27" i="5"/>
  <c r="F27" i="5"/>
  <c r="G27" i="5"/>
  <c r="C28" i="5"/>
  <c r="F28" i="5"/>
  <c r="G28" i="5"/>
  <c r="C29" i="5"/>
  <c r="F29" i="5"/>
  <c r="G29" i="5"/>
  <c r="C30" i="5"/>
  <c r="F30" i="5"/>
  <c r="G30" i="5"/>
  <c r="C31" i="5"/>
  <c r="F31" i="5"/>
  <c r="G31" i="5"/>
  <c r="C32" i="5"/>
  <c r="F32" i="5"/>
  <c r="G32" i="5"/>
  <c r="C33" i="5"/>
  <c r="F33" i="5"/>
  <c r="G33" i="5"/>
  <c r="C34" i="5"/>
  <c r="F34" i="5"/>
  <c r="G34" i="5"/>
  <c r="C35" i="5"/>
  <c r="F35" i="5"/>
  <c r="G35" i="5"/>
  <c r="C36" i="5"/>
  <c r="F36" i="5"/>
  <c r="G36" i="5"/>
  <c r="C37" i="5"/>
  <c r="F37" i="5"/>
  <c r="G37" i="5"/>
  <c r="C38" i="5"/>
  <c r="F38" i="5"/>
  <c r="G38" i="5"/>
  <c r="C39" i="5"/>
  <c r="F39" i="5"/>
  <c r="G39" i="5"/>
  <c r="C40" i="5"/>
  <c r="F40" i="5"/>
  <c r="G40" i="5"/>
  <c r="C41" i="5"/>
  <c r="F41" i="5"/>
  <c r="G41" i="5"/>
  <c r="C42" i="5"/>
  <c r="F42" i="5"/>
  <c r="G42" i="5"/>
  <c r="C43" i="5"/>
  <c r="F43" i="5"/>
  <c r="G43" i="5"/>
  <c r="C44" i="5"/>
  <c r="F44" i="5"/>
  <c r="G44" i="5"/>
  <c r="C45" i="5"/>
  <c r="F45" i="5"/>
  <c r="G45" i="5"/>
  <c r="C46" i="5"/>
  <c r="F46" i="5"/>
  <c r="G46" i="5"/>
  <c r="C47" i="5"/>
  <c r="F47" i="5"/>
  <c r="G47" i="5"/>
  <c r="C48" i="5"/>
  <c r="F48" i="5"/>
  <c r="G48" i="5"/>
  <c r="C49" i="5"/>
  <c r="F49" i="5"/>
  <c r="G49" i="5"/>
  <c r="C50" i="5"/>
  <c r="F50" i="5"/>
  <c r="G50" i="5"/>
  <c r="C51" i="5"/>
  <c r="F51" i="5"/>
  <c r="G51" i="5"/>
  <c r="C52" i="5"/>
  <c r="F52" i="5"/>
  <c r="G52" i="5"/>
  <c r="C53" i="5"/>
  <c r="F53" i="5"/>
  <c r="G53" i="5"/>
  <c r="C54" i="5"/>
  <c r="F54" i="5"/>
  <c r="G54" i="5"/>
  <c r="C55" i="5"/>
  <c r="F55" i="5"/>
  <c r="G55" i="5"/>
  <c r="C56" i="5"/>
  <c r="F56" i="5"/>
  <c r="G56" i="5"/>
  <c r="C57" i="5"/>
  <c r="F57" i="5"/>
  <c r="G57" i="5"/>
  <c r="C58" i="5"/>
  <c r="F58" i="5"/>
  <c r="G58" i="5"/>
  <c r="C59" i="5"/>
  <c r="F59" i="5"/>
  <c r="G59" i="5"/>
  <c r="C60" i="5"/>
  <c r="F60" i="5"/>
  <c r="G60" i="5"/>
  <c r="C61" i="5"/>
  <c r="F61" i="5"/>
  <c r="G61" i="5"/>
  <c r="C62" i="5"/>
  <c r="F62" i="5"/>
  <c r="G62" i="5"/>
  <c r="C63" i="5"/>
  <c r="F63" i="5"/>
  <c r="G63" i="5"/>
  <c r="C64" i="5"/>
  <c r="F64" i="5"/>
  <c r="G64" i="5"/>
  <c r="C65" i="5"/>
  <c r="F65" i="5"/>
  <c r="G65" i="5"/>
  <c r="C66" i="5"/>
  <c r="F66" i="5"/>
  <c r="G66" i="5"/>
  <c r="C67" i="5"/>
  <c r="F67" i="5"/>
  <c r="G67" i="5"/>
  <c r="C68" i="5"/>
  <c r="F68" i="5"/>
  <c r="G68" i="5"/>
  <c r="C69" i="5"/>
  <c r="F69" i="5"/>
  <c r="G69" i="5"/>
  <c r="C70" i="5"/>
  <c r="F70" i="5"/>
  <c r="G70" i="5"/>
  <c r="C71" i="5"/>
  <c r="F71" i="5"/>
  <c r="G71" i="5"/>
  <c r="C72" i="5"/>
  <c r="F72" i="5"/>
  <c r="G72" i="5"/>
  <c r="C73" i="5"/>
  <c r="F73" i="5"/>
  <c r="G73" i="5"/>
  <c r="C74" i="5"/>
  <c r="F74" i="5"/>
  <c r="G74" i="5"/>
  <c r="C75" i="5"/>
  <c r="F75" i="5"/>
  <c r="G75" i="5"/>
  <c r="C76" i="5"/>
  <c r="F76" i="5"/>
  <c r="G76" i="5"/>
  <c r="C77" i="5"/>
  <c r="F77" i="5"/>
  <c r="G77" i="5"/>
  <c r="C78" i="5"/>
  <c r="F78" i="5"/>
  <c r="G78" i="5"/>
  <c r="C79" i="5"/>
  <c r="F79" i="5"/>
  <c r="G79" i="5"/>
  <c r="C80" i="5"/>
  <c r="F80" i="5"/>
  <c r="G80" i="5"/>
  <c r="C81" i="5"/>
  <c r="F81" i="5"/>
  <c r="G81" i="5"/>
  <c r="C82" i="5"/>
  <c r="F82" i="5"/>
  <c r="G82" i="5"/>
  <c r="C83" i="5"/>
  <c r="F83" i="5"/>
  <c r="G83" i="5"/>
  <c r="C84" i="5"/>
  <c r="F84" i="5"/>
  <c r="G84" i="5"/>
  <c r="C85" i="5"/>
  <c r="F85" i="5"/>
  <c r="G85" i="5"/>
  <c r="C86" i="5"/>
  <c r="F86" i="5"/>
  <c r="G86" i="5"/>
  <c r="C87" i="5"/>
  <c r="F87" i="5"/>
  <c r="G87" i="5"/>
  <c r="C88" i="5"/>
  <c r="F88" i="5"/>
  <c r="G88" i="5"/>
  <c r="C89" i="5"/>
  <c r="F89" i="5"/>
  <c r="G89" i="5"/>
  <c r="C90" i="5"/>
  <c r="F90" i="5"/>
  <c r="G90" i="5"/>
  <c r="C91" i="5"/>
  <c r="F91" i="5"/>
  <c r="G91" i="5"/>
  <c r="C92" i="5"/>
  <c r="F92" i="5"/>
  <c r="G92" i="5"/>
  <c r="C93" i="5"/>
  <c r="F93" i="5"/>
  <c r="G93" i="5"/>
  <c r="C94" i="5"/>
  <c r="F94" i="5"/>
  <c r="G94" i="5"/>
  <c r="C95" i="5"/>
  <c r="F95" i="5"/>
  <c r="G95" i="5"/>
  <c r="C96" i="5"/>
  <c r="F96" i="5"/>
  <c r="G96" i="5"/>
  <c r="C97" i="5"/>
  <c r="F97" i="5"/>
  <c r="G97" i="5"/>
  <c r="C98" i="5"/>
  <c r="F98" i="5"/>
  <c r="G98" i="5"/>
  <c r="C99" i="5"/>
  <c r="F99" i="5"/>
  <c r="G99" i="5"/>
  <c r="C100" i="5"/>
  <c r="F100" i="5"/>
  <c r="G100" i="5"/>
  <c r="C101" i="5"/>
  <c r="F101" i="5"/>
  <c r="G101" i="5"/>
  <c r="C102" i="5"/>
  <c r="F102" i="5"/>
  <c r="G102" i="5"/>
  <c r="C103" i="5"/>
  <c r="F103" i="5"/>
  <c r="G103" i="5"/>
  <c r="C104" i="5"/>
  <c r="F104" i="5"/>
  <c r="G104" i="5"/>
  <c r="C105" i="5"/>
  <c r="F105" i="5"/>
  <c r="G105" i="5"/>
  <c r="C106" i="5"/>
  <c r="F106" i="5"/>
  <c r="G106" i="5"/>
  <c r="C107" i="5"/>
  <c r="F107" i="5"/>
  <c r="G107" i="5"/>
  <c r="C108" i="5"/>
  <c r="F108" i="5"/>
  <c r="G108" i="5"/>
  <c r="C109" i="5"/>
  <c r="F109" i="5"/>
  <c r="G109" i="5"/>
  <c r="C110" i="5"/>
  <c r="F110" i="5"/>
  <c r="G110" i="5"/>
  <c r="C111" i="5"/>
  <c r="F111" i="5"/>
  <c r="G111" i="5"/>
  <c r="C112" i="5"/>
  <c r="F112" i="5"/>
  <c r="G112" i="5"/>
  <c r="C113" i="5"/>
  <c r="F113" i="5"/>
  <c r="G113" i="5"/>
  <c r="C114" i="5"/>
  <c r="F114" i="5"/>
  <c r="G114" i="5"/>
  <c r="C115" i="5"/>
  <c r="F115" i="5"/>
  <c r="G115" i="5"/>
  <c r="C116" i="5"/>
  <c r="F116" i="5"/>
  <c r="G116" i="5"/>
  <c r="C117" i="5"/>
  <c r="F117" i="5"/>
  <c r="G117" i="5"/>
  <c r="C118" i="5"/>
  <c r="F118" i="5"/>
  <c r="G118" i="5"/>
  <c r="H17" i="4"/>
  <c r="H18" i="4"/>
  <c r="F18" i="4" s="1"/>
  <c r="H19" i="4"/>
  <c r="F19" i="4" s="1"/>
  <c r="H20" i="4"/>
  <c r="F20" i="4" s="1"/>
  <c r="H21" i="4"/>
  <c r="F21" i="4" s="1"/>
  <c r="H22" i="4"/>
  <c r="F22" i="4" s="1"/>
  <c r="H23" i="4"/>
  <c r="H24" i="4"/>
  <c r="F24" i="4" s="1"/>
  <c r="H25" i="4"/>
  <c r="H26" i="4"/>
  <c r="F26" i="4" s="1"/>
  <c r="H27" i="4"/>
  <c r="F27" i="4" s="1"/>
  <c r="H28" i="4"/>
  <c r="F28" i="4" s="1"/>
  <c r="H29" i="4"/>
  <c r="F29" i="4" s="1"/>
  <c r="H30" i="4"/>
  <c r="F30" i="4" s="1"/>
  <c r="H31" i="4"/>
  <c r="F31" i="4" s="1"/>
  <c r="H32" i="4"/>
  <c r="F32" i="4" s="1"/>
  <c r="H33" i="4"/>
  <c r="F33" i="4" s="1"/>
  <c r="H34" i="4"/>
  <c r="F34" i="4" s="1"/>
  <c r="H35" i="4"/>
  <c r="F35" i="4" s="1"/>
  <c r="H36" i="4"/>
  <c r="F36" i="4" s="1"/>
  <c r="H37" i="4"/>
  <c r="F37" i="4" s="1"/>
  <c r="H38" i="4"/>
  <c r="F38" i="4" s="1"/>
  <c r="H39" i="4"/>
  <c r="H40" i="4"/>
  <c r="F40" i="4" s="1"/>
  <c r="H41" i="4"/>
  <c r="F41" i="4" s="1"/>
  <c r="H42" i="4"/>
  <c r="F42" i="4" s="1"/>
  <c r="H43" i="4"/>
  <c r="F43" i="4" s="1"/>
  <c r="H44" i="4"/>
  <c r="F44" i="4" s="1"/>
  <c r="H45" i="4"/>
  <c r="F45" i="4" s="1"/>
  <c r="H46" i="4"/>
  <c r="F46" i="4" s="1"/>
  <c r="H47" i="4"/>
  <c r="F47" i="4" s="1"/>
  <c r="H48" i="4"/>
  <c r="F48" i="4" s="1"/>
  <c r="H49" i="4"/>
  <c r="H50" i="4"/>
  <c r="F50" i="4" s="1"/>
  <c r="H51" i="4"/>
  <c r="F51" i="4" s="1"/>
  <c r="H52" i="4"/>
  <c r="H53" i="4"/>
  <c r="F53" i="4" s="1"/>
  <c r="H54" i="4"/>
  <c r="F54" i="4" s="1"/>
  <c r="H55" i="4"/>
  <c r="H56" i="4"/>
  <c r="F56" i="4" s="1"/>
  <c r="H57" i="4"/>
  <c r="H58" i="4"/>
  <c r="F58" i="4" s="1"/>
  <c r="H59" i="4"/>
  <c r="F59" i="4" s="1"/>
  <c r="H60" i="4"/>
  <c r="H61" i="4"/>
  <c r="F61" i="4" s="1"/>
  <c r="H62" i="4"/>
  <c r="F62" i="4" s="1"/>
  <c r="H63" i="4"/>
  <c r="F63" i="4" s="1"/>
  <c r="H64" i="4"/>
  <c r="F64" i="4" s="1"/>
  <c r="H65" i="4"/>
  <c r="F65" i="4" s="1"/>
  <c r="H66" i="4"/>
  <c r="F66" i="4" s="1"/>
  <c r="H67" i="4"/>
  <c r="F67" i="4" s="1"/>
  <c r="H68" i="4"/>
  <c r="F68" i="4" s="1"/>
  <c r="H69" i="4"/>
  <c r="H70" i="4"/>
  <c r="F70" i="4" s="1"/>
  <c r="H71" i="4"/>
  <c r="F71" i="4" s="1"/>
  <c r="H72" i="4"/>
  <c r="F72" i="4" s="1"/>
  <c r="H73" i="4"/>
  <c r="F73" i="4" s="1"/>
  <c r="H74" i="4"/>
  <c r="F74" i="4" s="1"/>
  <c r="H75" i="4"/>
  <c r="F75" i="4" s="1"/>
  <c r="H76" i="4"/>
  <c r="H77" i="4"/>
  <c r="F77" i="4" s="1"/>
  <c r="H78" i="4"/>
  <c r="F78" i="4" s="1"/>
  <c r="H79" i="4"/>
  <c r="F79" i="4" s="1"/>
  <c r="H80" i="4"/>
  <c r="F80" i="4" s="1"/>
  <c r="H81" i="4"/>
  <c r="H82" i="4"/>
  <c r="F82" i="4" s="1"/>
  <c r="H83" i="4"/>
  <c r="F83" i="4" s="1"/>
  <c r="H84" i="4"/>
  <c r="F84" i="4" s="1"/>
  <c r="H85" i="4"/>
  <c r="F85" i="4" s="1"/>
  <c r="H86" i="4"/>
  <c r="F86" i="4" s="1"/>
  <c r="H87" i="4"/>
  <c r="F87" i="4" s="1"/>
  <c r="H88" i="4"/>
  <c r="F88" i="4" s="1"/>
  <c r="H89" i="4"/>
  <c r="F89" i="4" s="1"/>
  <c r="H90" i="4"/>
  <c r="F90" i="4" s="1"/>
  <c r="H91" i="4"/>
  <c r="F91" i="4" s="1"/>
  <c r="H92" i="4"/>
  <c r="F92" i="4" s="1"/>
  <c r="H93" i="4"/>
  <c r="F93" i="4" s="1"/>
  <c r="H94" i="4"/>
  <c r="F94" i="4" s="1"/>
  <c r="H95" i="4"/>
  <c r="F95" i="4" s="1"/>
  <c r="H96" i="4"/>
  <c r="F96" i="4" s="1"/>
  <c r="H97" i="4"/>
  <c r="F97" i="4" s="1"/>
  <c r="H98" i="4"/>
  <c r="F98" i="4" s="1"/>
  <c r="H99" i="4"/>
  <c r="F99" i="4" s="1"/>
  <c r="H100" i="4"/>
  <c r="F100" i="4" s="1"/>
  <c r="H101" i="4"/>
  <c r="F101" i="4" s="1"/>
  <c r="H102" i="4"/>
  <c r="F102" i="4" s="1"/>
  <c r="H103" i="4"/>
  <c r="F103" i="4" s="1"/>
  <c r="H104" i="4"/>
  <c r="F104" i="4" s="1"/>
  <c r="H105" i="4"/>
  <c r="F105" i="4" s="1"/>
  <c r="H106" i="4"/>
  <c r="F106" i="4" s="1"/>
  <c r="H107" i="4"/>
  <c r="F107" i="4" s="1"/>
  <c r="H108" i="4"/>
  <c r="F108" i="4" s="1"/>
  <c r="H109" i="4"/>
  <c r="F109" i="4" s="1"/>
  <c r="H110" i="4"/>
  <c r="F110" i="4" s="1"/>
  <c r="H111" i="4"/>
  <c r="F111" i="4" s="1"/>
  <c r="H112" i="4"/>
  <c r="F112" i="4" s="1"/>
  <c r="H113" i="4"/>
  <c r="F113" i="4" s="1"/>
  <c r="H114" i="4"/>
  <c r="F114" i="4" s="1"/>
  <c r="H115" i="4"/>
  <c r="F115" i="4" s="1"/>
  <c r="H116" i="4"/>
  <c r="F116" i="4" s="1"/>
  <c r="S31" i="1" l="1"/>
  <c r="G18" i="10"/>
  <c r="F23" i="4"/>
  <c r="F31" i="1"/>
  <c r="F76" i="4"/>
  <c r="F69" i="4"/>
  <c r="F25" i="4"/>
  <c r="F81" i="4"/>
  <c r="F57" i="4"/>
  <c r="F55" i="4"/>
  <c r="F39" i="4"/>
  <c r="F49" i="4"/>
  <c r="F52" i="4"/>
  <c r="F60" i="4"/>
  <c r="E116" i="5"/>
  <c r="E112" i="5"/>
  <c r="E108" i="5"/>
  <c r="E104" i="5"/>
  <c r="E48" i="5"/>
  <c r="E44" i="5"/>
  <c r="E40" i="5"/>
  <c r="E36" i="5"/>
  <c r="E32" i="5"/>
  <c r="E28" i="5"/>
  <c r="E24" i="5"/>
  <c r="E20" i="5"/>
  <c r="E115" i="5"/>
  <c r="E111" i="5"/>
  <c r="E107" i="5"/>
  <c r="E103" i="5"/>
  <c r="E99" i="5"/>
  <c r="E95" i="5"/>
  <c r="E67" i="5"/>
  <c r="E63" i="5"/>
  <c r="E117" i="5"/>
  <c r="E113" i="5"/>
  <c r="E109" i="5"/>
  <c r="E105" i="5"/>
  <c r="E101" i="5"/>
  <c r="E97" i="5"/>
  <c r="E93" i="5"/>
  <c r="E89" i="5"/>
  <c r="E85" i="5"/>
  <c r="E81" i="5"/>
  <c r="E77" i="5"/>
  <c r="E73" i="5"/>
  <c r="E69" i="5"/>
  <c r="E65" i="5"/>
  <c r="E61" i="5"/>
  <c r="E57" i="5"/>
  <c r="E53" i="5"/>
  <c r="E49" i="5"/>
  <c r="E45" i="5"/>
  <c r="E41" i="5"/>
  <c r="E37" i="5"/>
  <c r="E33" i="5"/>
  <c r="E29" i="5"/>
  <c r="E25" i="5"/>
  <c r="E21" i="5"/>
  <c r="E91" i="5"/>
  <c r="E87" i="5"/>
  <c r="E83" i="5"/>
  <c r="E79" i="5"/>
  <c r="E75" i="5"/>
  <c r="E71" i="5"/>
  <c r="E59" i="5"/>
  <c r="E55" i="5"/>
  <c r="E51" i="5"/>
  <c r="E47" i="5"/>
  <c r="E43" i="5"/>
  <c r="E39" i="5"/>
  <c r="E35" i="5"/>
  <c r="E31" i="5"/>
  <c r="E27" i="5"/>
  <c r="E23" i="5"/>
  <c r="E19" i="5"/>
  <c r="E118" i="5"/>
  <c r="E114" i="5"/>
  <c r="E110" i="5"/>
  <c r="E106" i="5"/>
  <c r="E46" i="5"/>
  <c r="E42" i="5"/>
  <c r="E38" i="5"/>
  <c r="E34" i="5"/>
  <c r="E30" i="5"/>
  <c r="E26" i="5"/>
  <c r="E22" i="5"/>
  <c r="E102" i="5"/>
  <c r="E100" i="5"/>
  <c r="E98" i="5"/>
  <c r="E96" i="5"/>
  <c r="E94" i="5"/>
  <c r="E92" i="5"/>
  <c r="E90" i="5"/>
  <c r="E88" i="5"/>
  <c r="E86" i="5"/>
  <c r="E84" i="5"/>
  <c r="E82" i="5"/>
  <c r="E80" i="5"/>
  <c r="E78" i="5"/>
  <c r="E76" i="5"/>
  <c r="E74" i="5"/>
  <c r="E72" i="5"/>
  <c r="E70" i="5"/>
  <c r="E68" i="5"/>
  <c r="E66" i="5"/>
  <c r="E64" i="5"/>
  <c r="E62" i="5"/>
  <c r="E60" i="5"/>
  <c r="E58" i="5"/>
  <c r="E56" i="5"/>
  <c r="E54" i="5"/>
  <c r="E52" i="5"/>
  <c r="E50" i="5"/>
  <c r="G29" i="10" l="1"/>
  <c r="C8" i="7" s="1"/>
  <c r="J18" i="10"/>
  <c r="G18" i="5"/>
  <c r="G120" i="5" s="1"/>
  <c r="G122" i="5" s="1"/>
  <c r="F18" i="5"/>
  <c r="A19" i="5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7" i="4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E18" i="5" l="1"/>
  <c r="F16" i="4"/>
  <c r="H118" i="4"/>
  <c r="H120" i="4" s="1"/>
  <c r="F17" i="4"/>
  <c r="C18" i="5" l="1"/>
</calcChain>
</file>

<file path=xl/sharedStrings.xml><?xml version="1.0" encoding="utf-8"?>
<sst xmlns="http://schemas.openxmlformats.org/spreadsheetml/2006/main" count="2402" uniqueCount="367">
  <si>
    <t>ល.រ</t>
  </si>
  <si>
    <t>បរិយាយមុខទំនិញ</t>
  </si>
  <si>
    <t>បរិមាណ</t>
  </si>
  <si>
    <t>ថ្លៃឯកតា</t>
  </si>
  <si>
    <t>ថ្លៃទំនិញ</t>
  </si>
  <si>
    <t>No</t>
  </si>
  <si>
    <t>Description</t>
  </si>
  <si>
    <t>Unit Price</t>
  </si>
  <si>
    <t>Amount</t>
  </si>
  <si>
    <t>ហត្ថលេខា និង ឈ្មោះអ្នកទិញ</t>
  </si>
  <si>
    <t>​​​​​​​​​​​       ហត្ថលេខា និង ឈ្មោះអ្នកលក់</t>
  </si>
  <si>
    <t xml:space="preserve"> TAX  INVOICE</t>
  </si>
  <si>
    <t>Quatity</t>
  </si>
  <si>
    <t>ព្រះរាជាណាចក្រកម្ពុជា</t>
  </si>
  <si>
    <t>KINGDOM OF CAMBODIA</t>
  </si>
  <si>
    <t>ជាតិ​ សាសានា ព្រះមហាក្សត្រ</t>
  </si>
  <si>
    <t>NATION KING RELIGION</t>
  </si>
  <si>
    <t>ខ្ញុំបាទ / នាងខ្ញុំឈ្មោះ : សំ វណ្ណនី</t>
    <phoneticPr fontId="2" type="noConversion"/>
  </si>
  <si>
    <t>សញ្ជាតិ : ខ្មែរ</t>
    <phoneticPr fontId="2" type="noConversion"/>
  </si>
  <si>
    <t xml:space="preserve">I / Name: </t>
    <phoneticPr fontId="2" type="noConversion"/>
  </si>
  <si>
    <t xml:space="preserve">Nationality : </t>
    <phoneticPr fontId="2" type="noConversion"/>
  </si>
  <si>
    <t>អាយុ :</t>
  </si>
  <si>
    <t>35​ ឆ្នាំ</t>
    <phoneticPr fontId="2" type="noConversion"/>
  </si>
  <si>
    <t>កាន់អត្តសញ្ញាណប័ណ្ណ / លិខិតឆ្លងដែន លេខ : 010111826</t>
    <phoneticPr fontId="2" type="noConversion"/>
  </si>
  <si>
    <t xml:space="preserve">Age : </t>
    <phoneticPr fontId="2" type="noConversion"/>
  </si>
  <si>
    <t xml:space="preserve">Identification card/Passport number : </t>
    <phoneticPr fontId="2" type="noConversion"/>
  </si>
  <si>
    <t>ចេញដោយ: សាលារាជធានីភ្នំពេញ</t>
    <phoneticPr fontId="2" type="noConversion"/>
  </si>
  <si>
    <t>ជា : គណនេយ្យករ</t>
    <phoneticPr fontId="2" type="noConversion"/>
  </si>
  <si>
    <t>Issued by:</t>
  </si>
  <si>
    <t>Is………belong to</t>
  </si>
  <si>
    <t>របស់ក្រុមហ៊ុន : ROO HSING GARMENT CO., LTD</t>
    <phoneticPr fontId="2" type="noConversion"/>
  </si>
  <si>
    <t>លេខអត្តសញ្ញាណកម្មសារពើពន្ធ: L001-100051030</t>
    <phoneticPr fontId="2" type="noConversion"/>
  </si>
  <si>
    <t xml:space="preserve">Campany: </t>
    <phoneticPr fontId="2" type="noConversion"/>
  </si>
  <si>
    <t xml:space="preserve">VAT-TIN: </t>
    <phoneticPr fontId="2" type="noConversion"/>
  </si>
  <si>
    <t>អស័យដ្ឋាន : ផ្លូវថ្មី សង្កាត់ទួលសង្កែ ខណ្ឌឫស្សីកែវ រាជធានីភ្នំពេញ</t>
    <phoneticPr fontId="2" type="noConversion"/>
  </si>
  <si>
    <t xml:space="preserve">Address: No. </t>
    <phoneticPr fontId="2" type="noConversion"/>
  </si>
  <si>
    <t>បានទិញ  PURCHASED</t>
    <phoneticPr fontId="2" type="noConversion"/>
  </si>
  <si>
    <t>ល.រ No.</t>
    <phoneticPr fontId="2" type="noConversion"/>
  </si>
  <si>
    <t>វិក័យប័ត្រ Invoice No.</t>
    <phoneticPr fontId="2" type="noConversion"/>
  </si>
  <si>
    <t>ផលិតផលឬសេវា Produce/Service</t>
    <phoneticPr fontId="2" type="noConversion"/>
  </si>
  <si>
    <t>ឯកតា Unit Price</t>
    <phoneticPr fontId="2" type="noConversion"/>
  </si>
  <si>
    <t>បរិមាណ Quantity (Pcs)</t>
  </si>
  <si>
    <t>ថ្លៃសរុប Total Amount</t>
    <phoneticPr fontId="2" type="noConversion"/>
  </si>
  <si>
    <t>សេវាកែច្នៃ ម៉ូតខោខូវប៊យ</t>
  </si>
  <si>
    <t>SUB TOTAL</t>
  </si>
  <si>
    <t>TOTAL</t>
  </si>
  <si>
    <r>
      <t xml:space="preserve">ពីក្រុមហ៊ុន : </t>
    </r>
    <r>
      <rPr>
        <b/>
        <sz val="12"/>
        <color indexed="8"/>
        <rFont val="新細明體"/>
        <family val="1"/>
        <charset val="136"/>
      </rPr>
      <t xml:space="preserve">JIN LOUN AGRICULTURE Co., Ltd​ </t>
    </r>
    <r>
      <rPr>
        <sz val="11"/>
        <color theme="1"/>
        <rFont val="Calibri"/>
        <family val="2"/>
        <scheme val="minor"/>
      </rPr>
      <t>លេខអត្តសញ្ញាណកម្មសារពើពន្ធ : K008-103016015</t>
    </r>
  </si>
  <si>
    <t>អាស័យដ្ឋាន : #01EoE1   ភូមិ  ទួលគោក  ខណ្ឌ ឬស្សីកែវ  រាជធានីភ្នំពេញ</t>
  </si>
  <si>
    <t>ខ្ញុំបាទ / នាងខ្ញុំ សូមសន្យាថានឹងធ្វើការនាំចេញ ផលិតផល /​ សេវា ខាងលើនេះទៅបរទេស ។​ ប្រសិនបើក្រុមហ៊ុនរបស់ខ្ញុំបាទ/នាងខ្ញុំ</t>
    <phoneticPr fontId="2" type="noConversion"/>
  </si>
  <si>
    <t>មិនបាននាំចេញឬបង្វែទិសដៅប្រើប្រាស់ ផលិតផល /​ សេវា ខាងលើនេះ ផ្សេងវិញ ខ្ញុំបាទ / នាងខ្ញុំ សូមទទួលខុសត្រូវទាំងស្រុងក្នុងការ</t>
    <phoneticPr fontId="2" type="noConversion"/>
  </si>
  <si>
    <t>បង់អាករលើតំលៃបន្ថែមរួមទាំងទោសទណ្ឌទាំងអស់ទៅតាមច្បាប់ជាធរមាន។</t>
    <phoneticPr fontId="2" type="noConversion"/>
  </si>
  <si>
    <t xml:space="preserve">From Company: ​​​​​​​​​​​                                                                             VAT-TIN: </t>
    <phoneticPr fontId="2" type="noConversion"/>
  </si>
  <si>
    <t xml:space="preserve">Address of business : </t>
    <phoneticPr fontId="2" type="noConversion"/>
  </si>
  <si>
    <t>I promise that I will do the export of my above produce/service to foreign countries.</t>
    <phoneticPr fontId="2" type="noConversion"/>
  </si>
  <si>
    <t>If my company do not export or diversity the utilization of the above products/services,</t>
    <phoneticPr fontId="2" type="noConversion"/>
  </si>
  <si>
    <t>I am unconditionally responsible for paying VAT including receiving any penalty.</t>
    <phoneticPr fontId="2" type="noConversion"/>
  </si>
  <si>
    <t xml:space="preserve">Phnom Penh, Date:…… Month…… Year…… </t>
    <phoneticPr fontId="2" type="noConversion"/>
  </si>
  <si>
    <t>ហត្ថលេខា Signature</t>
    <phoneticPr fontId="2" type="noConversion"/>
  </si>
  <si>
    <t>RBHraCaNacRkkm&lt;úCa</t>
  </si>
  <si>
    <t>Cati sasna RBHmhakSRt</t>
  </si>
  <si>
    <t>hcc ddf</t>
  </si>
  <si>
    <t>kic©snüaCYlesvaesvaEkexa</t>
    <phoneticPr fontId="5" type="noConversion"/>
  </si>
  <si>
    <t>¬k ¦ PaKICUleFVI esvaEkexa ³</t>
    <phoneticPr fontId="5" type="noConversion"/>
  </si>
  <si>
    <r>
      <t xml:space="preserve">Rkumh‘un </t>
    </r>
    <r>
      <rPr>
        <b/>
        <sz val="12"/>
        <rFont val="Times New Roman"/>
        <family val="1"/>
      </rPr>
      <t>JIN LOUN AGRICULTURE Co., Ltd</t>
    </r>
  </si>
  <si>
    <t>VAT TIN : K008-103016015</t>
    <phoneticPr fontId="5" type="noConversion"/>
  </si>
  <si>
    <r>
      <t xml:space="preserve">Gas½ydæan ³ </t>
    </r>
    <r>
      <rPr>
        <sz val="10"/>
        <rFont val="Times New Roman"/>
        <family val="1"/>
      </rPr>
      <t>#០១E0E1,  ភូមិគោក សង្កាត់ទួលសង្កែ ​ខណ្ឌឫស្សីកែវ រាជធានីភ្នំពេញ</t>
    </r>
  </si>
  <si>
    <t xml:space="preserve">TUrs½BÞelx ³ </t>
    <phoneticPr fontId="5" type="noConversion"/>
  </si>
  <si>
    <t>tYnaTI ³ naykRkumh‘un</t>
  </si>
  <si>
    <t>¬x ¦ PaKITTYl esvaEkexa ³</t>
    <phoneticPr fontId="5" type="noConversion"/>
  </si>
  <si>
    <r>
      <t xml:space="preserve">Rkumh‘un </t>
    </r>
    <r>
      <rPr>
        <b/>
        <sz val="12"/>
        <rFont val="Times New Roman"/>
        <family val="1"/>
      </rPr>
      <t>ROO HSING GARMENT CO., LTD</t>
    </r>
  </si>
  <si>
    <t>VAT TIN : 100051030</t>
    <phoneticPr fontId="5" type="noConversion"/>
  </si>
  <si>
    <r>
      <t xml:space="preserve">Gas½ydæan ³ </t>
    </r>
    <r>
      <rPr>
        <sz val="10"/>
        <rFont val="Limon S1"/>
        <family val="2"/>
      </rPr>
      <t>ភូមិទួលសង្កែ សង្កាត់ទួលសង្កែ ខណ្ឌឫស្សីកែវ រាជធានី ភ្នំពេញ</t>
    </r>
  </si>
  <si>
    <t>TUrs½BÞelx ³ 023 430 151</t>
    <phoneticPr fontId="5" type="noConversion"/>
  </si>
  <si>
    <t>muxTMnijCYledr</t>
  </si>
  <si>
    <t>No.</t>
  </si>
  <si>
    <t>Style</t>
  </si>
  <si>
    <r>
      <t>P.O N</t>
    </r>
    <r>
      <rPr>
        <b/>
        <vertAlign val="superscript"/>
        <sz val="11"/>
        <rFont val="Times New Roman"/>
        <family val="1"/>
      </rPr>
      <t>o</t>
    </r>
  </si>
  <si>
    <t>AMOUNT($)</t>
  </si>
  <si>
    <t>សេវាកែខោ</t>
    <phoneticPr fontId="5" type="noConversion"/>
  </si>
  <si>
    <t xml:space="preserve">          SUB TOTAL</t>
  </si>
  <si>
    <t>lkçx½NÐCYledrsMelokbMBak;³</t>
  </si>
  <si>
    <r>
      <t xml:space="preserve">PaKI {x} </t>
    </r>
    <r>
      <rPr>
        <sz val="18"/>
        <rFont val="Limon S1"/>
        <family val="2"/>
      </rPr>
      <t xml:space="preserve">RtUveFIVesvaeGay </t>
    </r>
    <r>
      <rPr>
        <b/>
        <sz val="18"/>
        <rFont val="Limon S2"/>
        <family val="2"/>
      </rPr>
      <t xml:space="preserve">PaKI {k} </t>
    </r>
    <r>
      <rPr>
        <sz val="18"/>
        <rFont val="Limon S1"/>
        <family val="2"/>
      </rPr>
      <t xml:space="preserve">eGay)anrYcral;kñúgry³eBl 1Ex bnÞab;BI)anTTYlbBa¢arTij </t>
    </r>
    <r>
      <rPr>
        <sz val="10"/>
        <rFont val="Times New Roman"/>
        <family val="1"/>
      </rPr>
      <t xml:space="preserve">(Order) </t>
    </r>
    <r>
      <rPr>
        <sz val="18"/>
        <rFont val="Limon S1"/>
        <family val="2"/>
      </rPr>
      <t xml:space="preserve">eTAtam </t>
    </r>
    <r>
      <rPr>
        <sz val="10"/>
        <rFont val="Times New Roman"/>
        <family val="1"/>
      </rPr>
      <t xml:space="preserve">Style </t>
    </r>
    <r>
      <rPr>
        <sz val="18"/>
        <rFont val="Limon S1"/>
        <family val="2"/>
      </rPr>
      <t xml:space="preserve">RtUvb¤ </t>
    </r>
    <r>
      <rPr>
        <sz val="10"/>
        <rFont val="Times New Roman"/>
        <family val="1"/>
      </rPr>
      <t xml:space="preserve">P.O </t>
    </r>
    <r>
      <rPr>
        <sz val="18"/>
        <rFont val="Limon S1"/>
        <family val="2"/>
      </rPr>
      <t>nImYy².</t>
    </r>
  </si>
  <si>
    <t>karTUrTat;R)ak;eFIVeLIgbnÞab;BIpÁt;pÁg;esvarYcral;.</t>
  </si>
  <si>
    <t>PaKITTYlesvaEkexa</t>
    <phoneticPr fontId="5" type="noConversion"/>
  </si>
  <si>
    <t>PaKICYlesvaEkexa</t>
    <phoneticPr fontId="5" type="noConversion"/>
  </si>
  <si>
    <t>htßelxa nig Rta</t>
  </si>
  <si>
    <t>Mr. ZHANG,JIEZHAO</t>
  </si>
  <si>
    <r>
      <t xml:space="preserve">tMNageday ³ </t>
    </r>
    <r>
      <rPr>
        <sz val="12"/>
        <rFont val="Times New Roman"/>
        <family val="1"/>
      </rPr>
      <t>Mr. ZHANG, JIEZHAO</t>
    </r>
  </si>
  <si>
    <t>Mr. HSU MING SONG</t>
    <phoneticPr fontId="5" type="noConversion"/>
  </si>
  <si>
    <r>
      <t xml:space="preserve">tMNageday ³ </t>
    </r>
    <r>
      <rPr>
        <sz val="12"/>
        <rFont val="Times New Roman"/>
        <family val="1"/>
      </rPr>
      <t>Mr. HSU MING SONG</t>
    </r>
    <phoneticPr fontId="34" type="noConversion"/>
  </si>
  <si>
    <t>Unit Price/PCS</t>
    <phoneticPr fontId="5" type="noConversion"/>
  </si>
  <si>
    <t>Qty.(PCS)</t>
    <phoneticPr fontId="34" type="noConversion"/>
  </si>
  <si>
    <t>Qty.(PCS)</t>
    <phoneticPr fontId="5" type="noConversion"/>
  </si>
  <si>
    <t>ធ្វើនៅភ្នំពេញ ថ្ងៃទី​     31     ខែ   01      ឆ្នាំ​ 2019</t>
  </si>
  <si>
    <t>0001</t>
  </si>
  <si>
    <t>kic©snüaenHeFIVeLIg nig cuHehtßelxaenAéf¶TI  01-01-2019    eday ³</t>
  </si>
  <si>
    <t>វិក្កយបត្រអាករ</t>
  </si>
  <si>
    <t>ក្រុមហ៊ុន ហ្រ្តេតហ្វ៊ូល សឹលូសិន (ខេមបូឌា) ឯ.ក</t>
  </si>
  <si>
    <t>GRATEFUL SOLUTIONS (CAMBODIA) CO.,LTD.</t>
  </si>
  <si>
    <t>________________________</t>
  </si>
  <si>
    <t>_______________________________</t>
  </si>
  <si>
    <t>អាករ10%</t>
  </si>
  <si>
    <t>សរុប</t>
  </si>
  <si>
    <t>Sub. Total</t>
  </si>
  <si>
    <t>ឯកតា</t>
  </si>
  <si>
    <t>Unit</t>
  </si>
  <si>
    <t>ការបរិច្ឆេទវិក្កយបត្រ/Invoice Date:</t>
  </si>
  <si>
    <t>លេខវិក័យប័ត្រ: /Invoice No:</t>
  </si>
  <si>
    <t xml:space="preserve">  </t>
  </si>
  <si>
    <t>SHIPPER:</t>
  </si>
  <si>
    <t>CONSIGNEE :</t>
  </si>
  <si>
    <t>VOLUME:</t>
  </si>
  <si>
    <t>HBL:</t>
  </si>
  <si>
    <t>CTNR No:</t>
  </si>
  <si>
    <t>សម្គាល់ច្បាប់ដើមសំរាប់អ្នកទិញច្បាប់ចំលងសំរាប់អ្នកលក់</t>
  </si>
  <si>
    <r>
      <rPr>
        <b/>
        <sz val="10"/>
        <color theme="1"/>
        <rFont val="Arial"/>
        <family val="2"/>
      </rPr>
      <t xml:space="preserve">Note        </t>
    </r>
    <r>
      <rPr>
        <sz val="10"/>
        <color theme="1"/>
        <rFont val="Arial"/>
        <family val="2"/>
      </rPr>
      <t xml:space="preserve"> ÷ Original invoice for customer , copies invoice for seller</t>
    </r>
  </si>
  <si>
    <t>PKGS:</t>
  </si>
  <si>
    <t>OFFICIAL RECEIPT</t>
  </si>
  <si>
    <t>Received from</t>
  </si>
  <si>
    <t>:</t>
  </si>
  <si>
    <t>Date:</t>
  </si>
  <si>
    <t>Amount in word</t>
  </si>
  <si>
    <t xml:space="preserve">Received for </t>
  </si>
  <si>
    <t>Payment Method</t>
  </si>
  <si>
    <t>Received by:</t>
  </si>
  <si>
    <t>Authorized Signature</t>
  </si>
  <si>
    <t>អាស័យដ្ឋាន  : # 7E0 ផ្លូវបេតុង ក្រុម 7 ភូមិទួលថ្ងាន់ សង្កាត់ទួលសង្កែទី2 ខណ្ឌឬស្សីកែវ រាជធានីភ្នំពេញ</t>
  </si>
  <si>
    <t>លេខទូរស័ព្ទ:​098​ 484 ​414</t>
  </si>
  <si>
    <t>Note: Can make payment by cross cheque to:</t>
  </si>
  <si>
    <t>or Deposit Cash/Cheque payment to bank as below:</t>
  </si>
  <si>
    <t>KB BRASAC BANK PLC</t>
  </si>
  <si>
    <t>AC/NO: 033 754 230 001</t>
  </si>
  <si>
    <t xml:space="preserve">CUSTOMER </t>
  </si>
  <si>
    <t>DN NO</t>
  </si>
  <si>
    <t>ADDRESS</t>
  </si>
  <si>
    <t>DATE</t>
  </si>
  <si>
    <t>Shipper</t>
  </si>
  <si>
    <t>Consignee</t>
  </si>
  <si>
    <t>NO</t>
  </si>
  <si>
    <t>DESCRIPTION</t>
  </si>
  <si>
    <t>Q'TY</t>
  </si>
  <si>
    <t>U/M</t>
  </si>
  <si>
    <t>PRICE</t>
  </si>
  <si>
    <t>GRAND TOTAL:</t>
  </si>
  <si>
    <t>USD</t>
  </si>
  <si>
    <t>AUTHORIZED SIGNATURE</t>
  </si>
  <si>
    <t>Thank you for your supporting</t>
  </si>
  <si>
    <t>Account Statement</t>
  </si>
  <si>
    <t>No:</t>
  </si>
  <si>
    <t>Date</t>
  </si>
  <si>
    <t>Currency</t>
  </si>
  <si>
    <t xml:space="preserve"> </t>
  </si>
  <si>
    <t>BALANCE AS</t>
  </si>
  <si>
    <t>( VATTIN ): K008-902404873</t>
  </si>
  <si>
    <t>លេខអត្តសញ្ញាណកម្ម អតប ( VATTIN ) : K008-902404873</t>
  </si>
  <si>
    <t>INV Number</t>
  </si>
  <si>
    <t>SET</t>
  </si>
  <si>
    <t>GROSS WEIGHT:</t>
  </si>
  <si>
    <t>POL:</t>
  </si>
  <si>
    <t>POD:</t>
  </si>
  <si>
    <r>
      <t xml:space="preserve">A/NAME: </t>
    </r>
    <r>
      <rPr>
        <b/>
        <sz val="9"/>
        <color theme="1"/>
        <rFont val="Arial"/>
        <family val="2"/>
      </rPr>
      <t>GRATEFUL SOLUTIONS (CAMBODIA) CO.,LTD.</t>
    </r>
  </si>
  <si>
    <t>អារករលើតម្លៃបន្ថែម (VAT 10%)</t>
  </si>
  <si>
    <t>KHR</t>
  </si>
  <si>
    <t>សរុប SUB TOTAL</t>
  </si>
  <si>
    <t>សរុបរួម GRAND TOTAL</t>
  </si>
  <si>
    <t>REF #</t>
  </si>
  <si>
    <t>REF NO:</t>
  </si>
  <si>
    <t xml:space="preserve"> VAT ( 10%)</t>
  </si>
  <si>
    <t>វិក្កយបត្របង់ជំនួស</t>
  </si>
  <si>
    <t>អាករ 0%</t>
  </si>
  <si>
    <t xml:space="preserve"> VAT (  0%)</t>
  </si>
  <si>
    <t>អារករលើតម្លៃបន្ថែម (VAT  0%)</t>
  </si>
  <si>
    <t>DEBIT NOTE</t>
  </si>
  <si>
    <t>NO:</t>
  </si>
  <si>
    <t>DN NUMBER</t>
  </si>
  <si>
    <t>CURRENCY</t>
  </si>
  <si>
    <t>AMOUNT</t>
  </si>
  <si>
    <t>HANDLING FEE</t>
  </si>
  <si>
    <t>CUSTOM PROCESSING FEE</t>
  </si>
  <si>
    <t>FUEL SURCHARGE</t>
  </si>
  <si>
    <t>កំរៃសេវាបំពេញបែបបទនាំចូល / IMPORT PROCESSING  FEE</t>
  </si>
  <si>
    <t>HBL NO</t>
  </si>
  <si>
    <t>G.W</t>
  </si>
  <si>
    <t>លេខ អ ត ប (VATTIN)  : L001-902501613</t>
  </si>
  <si>
    <t>អាស័យដ្ឋាន/Address: KAOH KNOR VILLAGE PREAEK ROKA COMMUNE KANDAL</t>
  </si>
  <si>
    <t>STUENG DISTRICT, KANDAL STUENG, KANDAL,</t>
  </si>
  <si>
    <t>STUENG DISTRICT, KANDAL STUENG, KANDAL, CAMBODIA</t>
  </si>
  <si>
    <t>KAOH KNOR VILLAGE PREAEK ROKA COMMUNE KANDAL</t>
  </si>
  <si>
    <t>PHNOM PENH, CAMBODIA</t>
  </si>
  <si>
    <t>JR APPAREL CO.,LTD</t>
  </si>
  <si>
    <t>JR APPAREL CO., LTD.</t>
  </si>
  <si>
    <t>40H</t>
  </si>
  <si>
    <t>TRUCKING FEE</t>
  </si>
  <si>
    <t>DISBURSEMENT</t>
  </si>
  <si>
    <t>លេខវិក័យប័ត្រ: /DIS-No:</t>
  </si>
  <si>
    <t>ការបរិច្ឆេទវិក្កយបត្រ/DIS-Date:</t>
  </si>
  <si>
    <t>20G</t>
  </si>
  <si>
    <t xml:space="preserve">DISBURSEMENT </t>
  </si>
  <si>
    <t>NON</t>
  </si>
  <si>
    <t>កំរៃសេវាបំពេញបែបបទនាំចេញ / EXPORT PROCESSING  FEE</t>
  </si>
  <si>
    <t>DOCUMENT FEE</t>
  </si>
  <si>
    <t>SERVICE TAXATION</t>
  </si>
  <si>
    <t>PNH PORT</t>
  </si>
  <si>
    <t>SHIP</t>
  </si>
  <si>
    <t>CBM</t>
  </si>
  <si>
    <t>HBL FEE</t>
  </si>
  <si>
    <t>LCL</t>
  </si>
  <si>
    <t>TRUCK</t>
  </si>
  <si>
    <t xml:space="preserve">KAOH KNOR VILLAGE PREAEK ROKA </t>
  </si>
  <si>
    <t xml:space="preserve">COMMUNE KANDALSTUENG DISTRICT, </t>
  </si>
  <si>
    <t>KANDAL STUENG, KANDAL, CAMBODIA</t>
  </si>
  <si>
    <t>INV</t>
  </si>
  <si>
    <t>INCREASE TRUCKING FEE(65%)</t>
  </si>
  <si>
    <t>From: GRATEFUL SOLUTIONS (CAMBODIA) CO., LTD.</t>
  </si>
  <si>
    <t>To: JR APPAREL CO., LTD</t>
  </si>
  <si>
    <t>DECLARE NO</t>
  </si>
  <si>
    <t>REMARK</t>
  </si>
  <si>
    <t>ORIGINAL</t>
  </si>
  <si>
    <t>TOTAL:</t>
  </si>
  <si>
    <t>PREPARED BY:</t>
  </si>
  <si>
    <t xml:space="preserve">NAME: </t>
  </si>
  <si>
    <t>DATE:</t>
  </si>
  <si>
    <t>Subject: IMP &amp; EXP SHIPMENT-CHECKING LIST</t>
  </si>
  <si>
    <t xml:space="preserve">     </t>
  </si>
  <si>
    <t>1X40'HQ</t>
  </si>
  <si>
    <t>Lycheng</t>
  </si>
  <si>
    <t>TWELVE THOUSAND SEVEN HUNDRED NINETY DOLLARS AND EIGHTY NINE CENTS.</t>
  </si>
  <si>
    <t>SIX THOUSAND FIVE HUNDRED FORTY DOLLARS AND TWENTY FIVE CENTS.</t>
  </si>
  <si>
    <t>DOX NO</t>
  </si>
  <si>
    <t>RECEIVE BY :</t>
  </si>
  <si>
    <t>LOLO AT PORT</t>
  </si>
  <si>
    <t>MISSING INSURANCE</t>
  </si>
  <si>
    <t>Kendy</t>
  </si>
  <si>
    <t>WASTED</t>
  </si>
  <si>
    <t>GS26-347</t>
  </si>
  <si>
    <t>GS26-348</t>
  </si>
  <si>
    <t>LOLO EMPTY CONTAINER</t>
  </si>
  <si>
    <t>TIME</t>
  </si>
  <si>
    <t>GS26-349</t>
  </si>
  <si>
    <t>DIS397</t>
  </si>
  <si>
    <t>JR2608009</t>
  </si>
  <si>
    <t>GS26-352</t>
  </si>
  <si>
    <t>CHAPTERONE SPORTSWEAR</t>
  </si>
  <si>
    <t>DIS400</t>
  </si>
  <si>
    <t>DIS399</t>
  </si>
  <si>
    <t>DIS398</t>
  </si>
  <si>
    <t>USA</t>
  </si>
  <si>
    <t>CHARGE</t>
  </si>
  <si>
    <t>MONTH</t>
  </si>
  <si>
    <t xml:space="preserve">                     </t>
  </si>
  <si>
    <t>MIH AND MOC PAYROLL</t>
  </si>
  <si>
    <t>DIS364</t>
  </si>
  <si>
    <t>E 225809</t>
  </si>
  <si>
    <t>JUN&amp;JUL-STATEMENT</t>
  </si>
  <si>
    <t>CPF PAYMENT RECEIPT</t>
  </si>
  <si>
    <t>I 107653</t>
  </si>
  <si>
    <t>I 105712</t>
  </si>
  <si>
    <t>I 105711</t>
  </si>
  <si>
    <t>I 96707</t>
  </si>
  <si>
    <t>E 264562</t>
  </si>
  <si>
    <t>GS26-360</t>
  </si>
  <si>
    <t>DIS403</t>
  </si>
  <si>
    <t>JR2609001</t>
  </si>
  <si>
    <t>GS26-366</t>
  </si>
  <si>
    <t>DIS409</t>
  </si>
  <si>
    <t>E 272714</t>
  </si>
  <si>
    <t>JR2609002</t>
  </si>
  <si>
    <t>GS26-370</t>
  </si>
  <si>
    <t>DIS413</t>
  </si>
  <si>
    <t>E 275226</t>
  </si>
  <si>
    <t>JR2609003</t>
  </si>
  <si>
    <t>CXDU2223299</t>
  </si>
  <si>
    <t>1X45'HQ</t>
  </si>
  <si>
    <t>1,150 CTNS</t>
  </si>
  <si>
    <t>45H</t>
  </si>
  <si>
    <t>PETROLL ALLOWANCE FEE</t>
  </si>
  <si>
    <t>CSNU9538620</t>
  </si>
  <si>
    <t>982 CTNS</t>
  </si>
  <si>
    <t>TBA</t>
  </si>
  <si>
    <t>729 CTNS</t>
  </si>
  <si>
    <t xml:space="preserve">CSNU6351548 </t>
  </si>
  <si>
    <t>1X40'HC</t>
  </si>
  <si>
    <t>Date: 01-09-2026 ~ 30-09-2026</t>
  </si>
  <si>
    <t>SEP-2026</t>
  </si>
  <si>
    <t>MIH CHARGE AND PAYROLL FEE</t>
  </si>
  <si>
    <t>MIH FEE FOR SEP</t>
  </si>
  <si>
    <t>PAYROLL FEE FROM AUG TO SEP</t>
  </si>
  <si>
    <t>E 284067</t>
  </si>
  <si>
    <t>JR2609004</t>
  </si>
  <si>
    <t>GS26-377</t>
  </si>
  <si>
    <t>DIS420</t>
  </si>
  <si>
    <t>I 136252</t>
  </si>
  <si>
    <t>JR2609005</t>
  </si>
  <si>
    <t>GS26-379</t>
  </si>
  <si>
    <t>I 136243</t>
  </si>
  <si>
    <t>JR2609006</t>
  </si>
  <si>
    <t>DIS430</t>
  </si>
  <si>
    <t>E 291340</t>
  </si>
  <si>
    <t>JR2609007</t>
  </si>
  <si>
    <t>GS26-388</t>
  </si>
  <si>
    <t>DIS431</t>
  </si>
  <si>
    <t>I 138725</t>
  </si>
  <si>
    <t>JR2609008</t>
  </si>
  <si>
    <t>GS26-389</t>
  </si>
  <si>
    <t>DIS432</t>
  </si>
  <si>
    <t>I 138735</t>
  </si>
  <si>
    <t>GS26-393</t>
  </si>
  <si>
    <t>DIS436</t>
  </si>
  <si>
    <t>JR2609009</t>
  </si>
  <si>
    <t>JR2609010</t>
  </si>
  <si>
    <t>JR2609011</t>
  </si>
  <si>
    <t>APPLY CO FOR INV: JRA26051</t>
  </si>
  <si>
    <t>APPLY CO FOR INV: JRA26053</t>
  </si>
  <si>
    <t>APPLY CO FOR INV: JRA26054</t>
  </si>
  <si>
    <t>OT INSPECTION</t>
  </si>
  <si>
    <t>APPLY CO FOR INV: JRA26055</t>
  </si>
  <si>
    <t>OT AT PORT</t>
  </si>
  <si>
    <t>GATE FEE AT DRY PORT</t>
  </si>
  <si>
    <t>TEMU8045497</t>
  </si>
  <si>
    <t>977 CTNS</t>
  </si>
  <si>
    <t>SHANGHAI YONGYUE IMP. &amp;EXP. TRADING CO., LTD.</t>
  </si>
  <si>
    <t>CHINA</t>
  </si>
  <si>
    <t>SHV PORT</t>
  </si>
  <si>
    <t>SHSIN6090083</t>
  </si>
  <si>
    <t>797 ROLLS</t>
  </si>
  <si>
    <t>OOCU7012318</t>
  </si>
  <si>
    <t>THC FEE</t>
  </si>
  <si>
    <t>EXTRA TRUCKING FEE (TO PREK LEAP)</t>
  </si>
  <si>
    <t>PERMIT FEE</t>
  </si>
  <si>
    <t>RETURN EMPTY</t>
  </si>
  <si>
    <t>LOLO EMPTY DROP DOWN</t>
  </si>
  <si>
    <t>OVER WEIGHT</t>
  </si>
  <si>
    <t>TON</t>
  </si>
  <si>
    <t>TRUCKING TO SECOND PLACE</t>
  </si>
  <si>
    <t>SHSIN6090084</t>
  </si>
  <si>
    <t>688 ROLLS</t>
  </si>
  <si>
    <t>CSNU6862609</t>
  </si>
  <si>
    <t>FUEL SURCHARE</t>
  </si>
  <si>
    <t>TRUCKING DETENTION CHARGE</t>
  </si>
  <si>
    <t>NIGHT</t>
  </si>
  <si>
    <t>814 CTNS</t>
  </si>
  <si>
    <t>APPLY CO FOR INV: JRA26057</t>
  </si>
  <si>
    <t>306 ROLLS</t>
  </si>
  <si>
    <t>SHSIN6090113</t>
  </si>
  <si>
    <t>SHSIN6090031</t>
  </si>
  <si>
    <t xml:space="preserve">635 ROLLS
</t>
  </si>
  <si>
    <t>1X20'GP</t>
  </si>
  <si>
    <t xml:space="preserve"> ZCSU7954124</t>
  </si>
  <si>
    <t xml:space="preserve">195 CTNS
</t>
  </si>
  <si>
    <t>KHS2609038</t>
  </si>
  <si>
    <t>APPLY CO FOR INV: JRA26052</t>
  </si>
  <si>
    <t>GS26-375</t>
  </si>
  <si>
    <t>DIS418</t>
  </si>
  <si>
    <t>GS26-387</t>
  </si>
  <si>
    <t>DIS422</t>
  </si>
  <si>
    <t>CANADA</t>
  </si>
  <si>
    <t>EQMC FOR INV: JRA26052</t>
  </si>
  <si>
    <t>ឈ្មោះអតិថិជន /Customer: ជេអ អឹភែរឹល ឯ.ក</t>
  </si>
  <si>
    <t>COSU6464270110</t>
  </si>
  <si>
    <t>COSU6464276980</t>
  </si>
  <si>
    <t>COSU6464270310</t>
  </si>
  <si>
    <t>COSU6464808450</t>
  </si>
  <si>
    <t>INSPECTION AT DRYPORT</t>
  </si>
  <si>
    <t>SEKU1756681</t>
  </si>
  <si>
    <t>COSU6464270740</t>
  </si>
  <si>
    <t>STORAGE FEE</t>
  </si>
  <si>
    <t>CSNU6327198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</si>
</sst>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\$* #,##0.00_ ;_-\$* \-#,##0.00\ ;_-\$* &quot;-&quot;??_ ;_-@_ "/>
    <numFmt numFmtId="166" formatCode="_(* #,##0_);_(* \(#,##0\);_(* &quot;-&quot;??_);_(@_)"/>
    <numFmt numFmtId="167" formatCode="&quot;Exchange Rate 1USD = &quot;####"/>
    <numFmt numFmtId="168" formatCode="d\-mmm\-yyyy"/>
    <numFmt numFmtId="169" formatCode="[$-409]d\-mmm\-yyyy;@"/>
    <numFmt numFmtId="170" formatCode="[$-409]dd\-mmm\-yy;@"/>
    <numFmt numFmtId="171" formatCode="#,##0.00\ &quot;KGS&quot;"/>
    <numFmt numFmtId="172" formatCode="#,##0.00\ &quot;CBM&quot;"/>
    <numFmt numFmtId="173" formatCode="#,##0\ &quot;PKGS&quot;"/>
    <numFmt numFmtId="174" formatCode="_(* #,##0.000_);_(* \(#,##0.000\);_(* &quot;-&quot;??_);_(@_)"/>
    <numFmt numFmtId="175" formatCode="_(* #,##0.000_);_(* \(#,##0.000\);_(* &quot;-&quot;???_);_(@_)"/>
    <numFmt numFmtId="176" formatCode="[$-409]d\-mmm\-yy;@"/>
    <numFmt numFmtId="177" formatCode="#,##0\ &quot;SETS&quot;"/>
    <numFmt numFmtId="178" formatCode="0.000"/>
  </numFmts>
  <fonts count="8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Khmer OS Muol"/>
    </font>
    <font>
      <sz val="11"/>
      <color theme="1"/>
      <name val="Khmer OS Battambang"/>
    </font>
    <font>
      <sz val="16"/>
      <color theme="1"/>
      <name val="Khmer OS Muol"/>
    </font>
    <font>
      <sz val="11"/>
      <color theme="1"/>
      <name val="Calibri"/>
      <family val="2"/>
      <scheme val="minor"/>
    </font>
    <font>
      <sz val="13"/>
      <color theme="1"/>
      <name val="SimSun-ExtB"/>
      <family val="3"/>
      <charset val="134"/>
    </font>
    <font>
      <sz val="14"/>
      <color theme="1"/>
      <name val="SimSun-ExtB"/>
      <family val="3"/>
      <charset val="134"/>
    </font>
    <font>
      <sz val="12"/>
      <color theme="1"/>
      <name val="Calibri"/>
      <family val="2"/>
      <scheme val="minor"/>
    </font>
    <font>
      <sz val="14"/>
      <color theme="1"/>
      <name val="Khmer OS Bokor"/>
      <family val="2"/>
    </font>
    <font>
      <sz val="12"/>
      <color rgb="FFFF0000"/>
      <name val="Calibri"/>
      <family val="2"/>
      <scheme val="minor"/>
    </font>
    <font>
      <b/>
      <sz val="12"/>
      <color indexed="8"/>
      <name val="新細明體"/>
      <family val="1"/>
      <charset val="136"/>
    </font>
    <font>
      <sz val="20"/>
      <name val="Limon R1"/>
      <family val="2"/>
    </font>
    <font>
      <sz val="10"/>
      <name val="Wingdings 2"/>
      <family val="1"/>
      <charset val="2"/>
    </font>
    <font>
      <sz val="18"/>
      <color rgb="FFFF0000"/>
      <name val="Limon S1"/>
      <family val="2"/>
    </font>
    <font>
      <b/>
      <sz val="20"/>
      <name val="Limon S2"/>
      <family val="2"/>
    </font>
    <font>
      <b/>
      <sz val="18"/>
      <name val="Limon S2"/>
      <family val="2"/>
    </font>
    <font>
      <b/>
      <sz val="20"/>
      <name val="Limon S1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8"/>
      <name val="Limon S1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name val="Limon S1"/>
      <family val="2"/>
    </font>
    <font>
      <u/>
      <sz val="20"/>
      <name val="Limon S2"/>
      <family val="2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13"/>
      <color theme="1"/>
      <name val="SimSun-ExtB"/>
      <family val="3"/>
    </font>
    <font>
      <b/>
      <u/>
      <sz val="18"/>
      <name val="Limon S2"/>
      <family val="2"/>
    </font>
    <font>
      <sz val="18"/>
      <name val="Limon S2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SimSun-ExtB"/>
      <family val="3"/>
    </font>
    <font>
      <b/>
      <sz val="14"/>
      <name val="SimSun-ExtB"/>
      <family val="3"/>
    </font>
    <font>
      <sz val="9"/>
      <name val="Calibri"/>
      <family val="3"/>
      <charset val="136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Khmer MEF1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Khmer MEF1"/>
      <family val="2"/>
    </font>
    <font>
      <sz val="12"/>
      <color theme="1"/>
      <name val="Arial"/>
      <family val="2"/>
    </font>
    <font>
      <sz val="11"/>
      <color theme="1"/>
      <name val="Khmer OS Siemreap"/>
    </font>
    <font>
      <sz val="12"/>
      <color theme="1"/>
      <name val="Khmer OS Siemreap"/>
    </font>
    <font>
      <sz val="10"/>
      <color theme="1"/>
      <name val="Khmer OS Siemreap"/>
    </font>
    <font>
      <sz val="11"/>
      <color theme="1"/>
      <name val="Calibri"/>
      <family val="2"/>
    </font>
    <font>
      <b/>
      <u/>
      <sz val="20"/>
      <color theme="1"/>
      <name val="Calibri"/>
      <family val="2"/>
      <scheme val="minor"/>
    </font>
    <font>
      <sz val="14"/>
      <color theme="1"/>
      <name val="Lucida Console"/>
      <family val="3"/>
    </font>
    <font>
      <b/>
      <u/>
      <sz val="16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9"/>
      <color theme="1"/>
      <name val="Khmer OS Siemreap"/>
    </font>
    <font>
      <b/>
      <sz val="11"/>
      <color theme="1"/>
      <name val="Khmer OS Siemreap"/>
    </font>
    <font>
      <b/>
      <sz val="11"/>
      <name val="Khmer OS Siemreap"/>
    </font>
    <font>
      <sz val="15"/>
      <color theme="1"/>
      <name val="Khmer OS Muol Light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u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Khmer OS Muol Light"/>
    </font>
    <font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sz val="10"/>
      <color rgb="FF000000"/>
      <name val="Arial"/>
      <family val="2"/>
    </font>
    <font>
      <sz val="15"/>
      <color theme="1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8"/>
      <color rgb="FF000000"/>
      <name val="Segoe UI"/>
      <family val="2"/>
    </font>
    <font>
      <b/>
      <sz val="14"/>
      <color theme="4" tint="-0.249977111117893"/>
      <name val="Times New Roman"/>
      <family val="1"/>
    </font>
    <font>
      <sz val="11"/>
      <color theme="1"/>
      <name val="Times New Roman"/>
      <family val="1"/>
    </font>
    <font>
      <b/>
      <sz val="14"/>
      <color rgb="FFC00000"/>
      <name val="Times New Roman"/>
      <family val="1"/>
    </font>
    <font>
      <sz val="14"/>
      <color theme="1"/>
      <name val="Times New Roman"/>
      <family val="1"/>
    </font>
    <font>
      <sz val="12"/>
      <color theme="0"/>
      <name val="Times New Roman"/>
      <family val="1"/>
    </font>
    <font>
      <sz val="11"/>
      <color theme="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4" fontId="6" fillId="0" borderId="0" applyFont="0" applyFill="0" applyBorder="0" applyAlignment="0" applyProtection="0"/>
    <xf numFmtId="0" fontId="9" fillId="0" borderId="0">
      <alignment vertical="center"/>
    </xf>
    <xf numFmtId="44" fontId="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333">
    <xf numFmtId="0" fontId="0" fillId="0" borderId="0" xfId="0"/>
    <xf numFmtId="4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9" fillId="0" borderId="0" xfId="2">
      <alignment vertical="center"/>
    </xf>
    <xf numFmtId="0" fontId="9" fillId="0" borderId="1" xfId="2" applyBorder="1" applyAlignment="1">
      <alignment horizontal="center" vertical="center"/>
    </xf>
    <xf numFmtId="0" fontId="9" fillId="0" borderId="8" xfId="2" applyBorder="1">
      <alignment vertical="center"/>
    </xf>
    <xf numFmtId="0" fontId="9" fillId="0" borderId="7" xfId="2" applyBorder="1">
      <alignment vertical="center"/>
    </xf>
    <xf numFmtId="0" fontId="9" fillId="0" borderId="9" xfId="2" applyBorder="1">
      <alignment vertical="center"/>
    </xf>
    <xf numFmtId="0" fontId="9" fillId="0" borderId="3" xfId="2" applyBorder="1">
      <alignment vertical="center"/>
    </xf>
    <xf numFmtId="0" fontId="9" fillId="0" borderId="10" xfId="2" applyBorder="1">
      <alignment vertical="center"/>
    </xf>
    <xf numFmtId="0" fontId="9" fillId="0" borderId="11" xfId="2" applyBorder="1">
      <alignment vertical="center"/>
    </xf>
    <xf numFmtId="0" fontId="26" fillId="0" borderId="13" xfId="2" applyFont="1" applyBorder="1" applyAlignment="1">
      <alignment horizontal="center" vertical="center"/>
    </xf>
    <xf numFmtId="0" fontId="26" fillId="0" borderId="14" xfId="2" applyFont="1" applyBorder="1" applyAlignment="1">
      <alignment horizontal="center" vertical="center"/>
    </xf>
    <xf numFmtId="0" fontId="26" fillId="0" borderId="15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2" borderId="11" xfId="2" applyFont="1" applyFill="1" applyBorder="1" applyAlignment="1">
      <alignment horizontal="center" vertical="center"/>
    </xf>
    <xf numFmtId="0" fontId="22" fillId="0" borderId="4" xfId="2" applyFont="1" applyBorder="1" applyAlignment="1">
      <alignment horizontal="center" vertical="center"/>
    </xf>
    <xf numFmtId="0" fontId="22" fillId="2" borderId="1" xfId="2" applyFont="1" applyFill="1" applyBorder="1" applyAlignment="1">
      <alignment horizontal="center" vertical="center"/>
    </xf>
    <xf numFmtId="0" fontId="30" fillId="0" borderId="0" xfId="2" applyFont="1" applyAlignment="1">
      <alignment horizontal="left"/>
    </xf>
    <xf numFmtId="0" fontId="21" fillId="0" borderId="0" xfId="2" applyFont="1" applyAlignment="1">
      <alignment horizontal="center"/>
    </xf>
    <xf numFmtId="0" fontId="22" fillId="0" borderId="0" xfId="2" applyFont="1" applyAlignment="1">
      <alignment horizontal="left" vertical="center"/>
    </xf>
    <xf numFmtId="0" fontId="20" fillId="0" borderId="0" xfId="2" applyFont="1" applyAlignment="1">
      <alignment horizontal="center" vertical="center"/>
    </xf>
    <xf numFmtId="0" fontId="9" fillId="0" borderId="0" xfId="2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44" fontId="31" fillId="0" borderId="1" xfId="3" applyFont="1" applyBorder="1">
      <alignment vertical="center"/>
    </xf>
    <xf numFmtId="44" fontId="33" fillId="2" borderId="4" xfId="3" applyFont="1" applyFill="1" applyBorder="1" applyAlignment="1">
      <alignment horizontal="center" vertical="center"/>
    </xf>
    <xf numFmtId="44" fontId="31" fillId="0" borderId="11" xfId="3" applyFont="1" applyBorder="1">
      <alignment vertical="center"/>
    </xf>
    <xf numFmtId="0" fontId="11" fillId="0" borderId="2" xfId="2" quotePrefix="1" applyFont="1" applyBorder="1">
      <alignment vertical="center"/>
    </xf>
    <xf numFmtId="0" fontId="9" fillId="0" borderId="6" xfId="2" applyBorder="1">
      <alignment vertical="center"/>
    </xf>
    <xf numFmtId="0" fontId="9" fillId="0" borderId="2" xfId="2" applyBorder="1">
      <alignment vertical="center"/>
    </xf>
    <xf numFmtId="166" fontId="8" fillId="0" borderId="1" xfId="4" applyNumberFormat="1" applyFont="1" applyBorder="1" applyAlignment="1">
      <alignment horizontal="center" vertical="center"/>
    </xf>
    <xf numFmtId="0" fontId="0" fillId="2" borderId="0" xfId="0" applyFill="1"/>
    <xf numFmtId="0" fontId="36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0" fontId="4" fillId="2" borderId="0" xfId="0" applyFont="1" applyFill="1" applyAlignment="1">
      <alignment vertical="top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top"/>
    </xf>
    <xf numFmtId="0" fontId="4" fillId="2" borderId="0" xfId="0" applyFont="1" applyFill="1"/>
    <xf numFmtId="0" fontId="0" fillId="2" borderId="0" xfId="0" applyFill="1" applyAlignment="1">
      <alignment horizontal="left" vertical="top"/>
    </xf>
    <xf numFmtId="0" fontId="4" fillId="2" borderId="0" xfId="0" applyFont="1" applyFill="1" applyAlignment="1">
      <alignment horizontal="center" vertical="top"/>
    </xf>
    <xf numFmtId="44" fontId="32" fillId="2" borderId="0" xfId="0" applyNumberFormat="1" applyFont="1" applyFill="1"/>
    <xf numFmtId="0" fontId="4" fillId="2" borderId="18" xfId="0" applyFont="1" applyFill="1" applyBorder="1" applyAlignment="1">
      <alignment horizontal="left" vertical="top"/>
    </xf>
    <xf numFmtId="0" fontId="37" fillId="2" borderId="0" xfId="0" applyFont="1" applyFill="1" applyAlignment="1">
      <alignment vertical="top"/>
    </xf>
    <xf numFmtId="0" fontId="37" fillId="2" borderId="0" xfId="0" applyFont="1" applyFill="1"/>
    <xf numFmtId="0" fontId="38" fillId="2" borderId="0" xfId="0" applyFont="1" applyFill="1" applyAlignment="1">
      <alignment vertical="center"/>
    </xf>
    <xf numFmtId="168" fontId="37" fillId="2" borderId="0" xfId="0" applyNumberFormat="1" applyFont="1" applyFill="1" applyAlignment="1">
      <alignment horizontal="left" vertical="top"/>
    </xf>
    <xf numFmtId="43" fontId="39" fillId="2" borderId="0" xfId="4" applyFont="1" applyFill="1" applyBorder="1" applyAlignment="1">
      <alignment vertical="center"/>
    </xf>
    <xf numFmtId="43" fontId="40" fillId="2" borderId="18" xfId="4" applyFont="1" applyFill="1" applyBorder="1" applyAlignment="1">
      <alignment vertical="center"/>
    </xf>
    <xf numFmtId="43" fontId="39" fillId="2" borderId="18" xfId="4" applyFont="1" applyFill="1" applyBorder="1" applyAlignment="1">
      <alignment vertical="center"/>
    </xf>
    <xf numFmtId="43" fontId="39" fillId="2" borderId="18" xfId="4" applyFont="1" applyFill="1" applyBorder="1" applyAlignment="1">
      <alignment horizontal="center" vertical="center"/>
    </xf>
    <xf numFmtId="39" fontId="39" fillId="2" borderId="0" xfId="4" applyNumberFormat="1" applyFont="1" applyFill="1" applyBorder="1" applyAlignment="1">
      <alignment horizontal="center" vertical="center"/>
    </xf>
    <xf numFmtId="39" fontId="39" fillId="2" borderId="18" xfId="4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1" fillId="2" borderId="0" xfId="0" applyFont="1" applyFill="1"/>
    <xf numFmtId="0" fontId="41" fillId="2" borderId="0" xfId="0" applyFont="1" applyFill="1" applyAlignment="1">
      <alignment horizontal="center" vertical="top"/>
    </xf>
    <xf numFmtId="0" fontId="42" fillId="2" borderId="0" xfId="0" applyFont="1" applyFill="1"/>
    <xf numFmtId="0" fontId="39" fillId="2" borderId="0" xfId="0" applyFont="1" applyFill="1" applyAlignment="1">
      <alignment vertical="center"/>
    </xf>
    <xf numFmtId="0" fontId="44" fillId="2" borderId="0" xfId="0" applyFont="1" applyFill="1"/>
    <xf numFmtId="0" fontId="43" fillId="2" borderId="0" xfId="0" applyFont="1" applyFill="1" applyAlignment="1">
      <alignment horizontal="left" vertical="top"/>
    </xf>
    <xf numFmtId="0" fontId="44" fillId="2" borderId="0" xfId="0" applyFont="1" applyFill="1" applyAlignment="1">
      <alignment vertical="top"/>
    </xf>
    <xf numFmtId="0" fontId="43" fillId="2" borderId="0" xfId="0" applyFont="1" applyFill="1"/>
    <xf numFmtId="0" fontId="44" fillId="2" borderId="0" xfId="0" applyFont="1" applyFill="1" applyAlignment="1">
      <alignment horizontal="left"/>
    </xf>
    <xf numFmtId="0" fontId="44" fillId="2" borderId="0" xfId="0" applyFont="1" applyFill="1" applyAlignment="1">
      <alignment horizontal="center"/>
    </xf>
    <xf numFmtId="0" fontId="45" fillId="2" borderId="0" xfId="0" applyFont="1" applyFill="1" applyAlignment="1">
      <alignment horizontal="left" vertical="top"/>
    </xf>
    <xf numFmtId="0" fontId="44" fillId="2" borderId="0" xfId="0" applyFont="1" applyFill="1" applyAlignment="1">
      <alignment horizontal="center" vertical="top"/>
    </xf>
    <xf numFmtId="0" fontId="38" fillId="2" borderId="0" xfId="0" applyFont="1" applyFill="1"/>
    <xf numFmtId="0" fontId="0" fillId="2" borderId="5" xfId="0" applyFill="1" applyBorder="1"/>
    <xf numFmtId="0" fontId="0" fillId="2" borderId="5" xfId="0" applyFill="1" applyBorder="1" applyAlignment="1">
      <alignment horizontal="right"/>
    </xf>
    <xf numFmtId="0" fontId="0" fillId="2" borderId="16" xfId="0" applyFill="1" applyBorder="1"/>
    <xf numFmtId="0" fontId="46" fillId="2" borderId="5" xfId="0" applyFont="1" applyFill="1" applyBorder="1"/>
    <xf numFmtId="0" fontId="31" fillId="2" borderId="5" xfId="0" applyFont="1" applyFill="1" applyBorder="1"/>
    <xf numFmtId="0" fontId="38" fillId="2" borderId="0" xfId="0" applyFont="1" applyFill="1" applyAlignment="1">
      <alignment horizontal="center" vertical="center"/>
    </xf>
    <xf numFmtId="0" fontId="54" fillId="2" borderId="0" xfId="0" applyFont="1" applyFill="1"/>
    <xf numFmtId="0" fontId="50" fillId="2" borderId="0" xfId="0" applyFont="1" applyFill="1"/>
    <xf numFmtId="0" fontId="51" fillId="2" borderId="0" xfId="0" applyFont="1" applyFill="1"/>
    <xf numFmtId="43" fontId="0" fillId="0" borderId="0" xfId="0" applyNumberFormat="1"/>
    <xf numFmtId="0" fontId="52" fillId="2" borderId="19" xfId="0" applyFont="1" applyFill="1" applyBorder="1" applyAlignment="1">
      <alignment horizontal="center" vertical="center"/>
    </xf>
    <xf numFmtId="0" fontId="52" fillId="2" borderId="19" xfId="0" applyFont="1" applyFill="1" applyBorder="1" applyAlignment="1">
      <alignment horizontal="center" vertical="center" wrapText="1"/>
    </xf>
    <xf numFmtId="0" fontId="39" fillId="2" borderId="0" xfId="0" applyFont="1" applyFill="1" applyAlignment="1">
      <alignment horizontal="right" vertical="center"/>
    </xf>
    <xf numFmtId="171" fontId="39" fillId="2" borderId="0" xfId="0" applyNumberFormat="1" applyFont="1" applyFill="1" applyAlignment="1">
      <alignment horizontal="center" vertical="center"/>
    </xf>
    <xf numFmtId="0" fontId="39" fillId="2" borderId="0" xfId="0" applyFont="1" applyFill="1"/>
    <xf numFmtId="0" fontId="40" fillId="2" borderId="12" xfId="0" applyFont="1" applyFill="1" applyBorder="1" applyAlignment="1">
      <alignment horizontal="center" vertical="center"/>
    </xf>
    <xf numFmtId="0" fontId="56" fillId="2" borderId="0" xfId="0" applyFont="1" applyFill="1"/>
    <xf numFmtId="0" fontId="57" fillId="2" borderId="0" xfId="0" applyFont="1" applyFill="1"/>
    <xf numFmtId="43" fontId="60" fillId="2" borderId="19" xfId="4" applyFont="1" applyFill="1" applyBorder="1" applyAlignment="1">
      <alignment vertical="center"/>
    </xf>
    <xf numFmtId="43" fontId="60" fillId="2" borderId="0" xfId="4" applyFont="1" applyFill="1" applyBorder="1" applyAlignment="1">
      <alignment vertical="center"/>
    </xf>
    <xf numFmtId="0" fontId="0" fillId="2" borderId="12" xfId="0" applyFill="1" applyBorder="1"/>
    <xf numFmtId="43" fontId="61" fillId="2" borderId="12" xfId="4" applyFont="1" applyFill="1" applyBorder="1" applyAlignment="1">
      <alignment vertical="center"/>
    </xf>
    <xf numFmtId="43" fontId="60" fillId="2" borderId="19" xfId="0" applyNumberFormat="1" applyFont="1" applyFill="1" applyBorder="1" applyAlignment="1">
      <alignment horizontal="right" vertical="center"/>
    </xf>
    <xf numFmtId="43" fontId="60" fillId="2" borderId="0" xfId="0" applyNumberFormat="1" applyFont="1" applyFill="1" applyAlignment="1">
      <alignment horizontal="right" vertical="center"/>
    </xf>
    <xf numFmtId="43" fontId="60" fillId="2" borderId="12" xfId="0" applyNumberFormat="1" applyFont="1" applyFill="1" applyBorder="1" applyAlignment="1">
      <alignment horizontal="right" vertical="center"/>
    </xf>
    <xf numFmtId="43" fontId="62" fillId="2" borderId="19" xfId="4" applyFont="1" applyFill="1" applyBorder="1" applyAlignment="1">
      <alignment horizontal="right" vertical="center"/>
    </xf>
    <xf numFmtId="43" fontId="62" fillId="2" borderId="0" xfId="4" applyFont="1" applyFill="1" applyBorder="1" applyAlignment="1">
      <alignment horizontal="right" vertical="center"/>
    </xf>
    <xf numFmtId="43" fontId="59" fillId="2" borderId="12" xfId="4" applyFont="1" applyFill="1" applyBorder="1" applyAlignment="1">
      <alignment horizontal="right" vertical="center"/>
    </xf>
    <xf numFmtId="173" fontId="38" fillId="2" borderId="0" xfId="0" applyNumberFormat="1" applyFont="1" applyFill="1" applyAlignment="1">
      <alignment vertical="center"/>
    </xf>
    <xf numFmtId="0" fontId="58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/>
    </xf>
    <xf numFmtId="168" fontId="38" fillId="2" borderId="0" xfId="0" applyNumberFormat="1" applyFont="1" applyFill="1" applyAlignment="1">
      <alignment horizontal="left" vertical="top"/>
    </xf>
    <xf numFmtId="0" fontId="38" fillId="2" borderId="0" xfId="0" applyFont="1" applyFill="1" applyAlignment="1">
      <alignment horizontal="center" vertical="top"/>
    </xf>
    <xf numFmtId="168" fontId="38" fillId="2" borderId="0" xfId="0" applyNumberFormat="1" applyFont="1" applyFill="1" applyAlignment="1">
      <alignment horizontal="center" vertical="top"/>
    </xf>
    <xf numFmtId="0" fontId="38" fillId="2" borderId="0" xfId="0" applyFont="1" applyFill="1" applyAlignment="1">
      <alignment horizontal="right"/>
    </xf>
    <xf numFmtId="169" fontId="38" fillId="2" borderId="0" xfId="0" applyNumberFormat="1" applyFont="1" applyFill="1" applyAlignment="1">
      <alignment horizontal="left"/>
    </xf>
    <xf numFmtId="172" fontId="38" fillId="2" borderId="0" xfId="0" applyNumberFormat="1" applyFont="1" applyFill="1" applyAlignment="1">
      <alignment horizontal="left"/>
    </xf>
    <xf numFmtId="170" fontId="38" fillId="2" borderId="0" xfId="0" applyNumberFormat="1" applyFont="1" applyFill="1" applyAlignment="1">
      <alignment horizontal="left"/>
    </xf>
    <xf numFmtId="173" fontId="38" fillId="2" borderId="0" xfId="0" applyNumberFormat="1" applyFont="1" applyFill="1" applyAlignment="1">
      <alignment horizontal="left"/>
    </xf>
    <xf numFmtId="0" fontId="64" fillId="0" borderId="2" xfId="0" applyFont="1" applyBorder="1" applyAlignment="1">
      <alignment horizontal="center"/>
    </xf>
    <xf numFmtId="0" fontId="64" fillId="0" borderId="1" xfId="0" applyFont="1" applyBorder="1" applyAlignment="1">
      <alignment horizontal="center"/>
    </xf>
    <xf numFmtId="0" fontId="64" fillId="0" borderId="16" xfId="0" applyFont="1" applyBorder="1"/>
    <xf numFmtId="0" fontId="64" fillId="0" borderId="16" xfId="0" applyFont="1" applyBorder="1" applyAlignment="1">
      <alignment horizontal="center"/>
    </xf>
    <xf numFmtId="43" fontId="64" fillId="0" borderId="16" xfId="4" applyFont="1" applyFill="1" applyBorder="1" applyAlignment="1"/>
    <xf numFmtId="0" fontId="38" fillId="0" borderId="0" xfId="0" applyFont="1"/>
    <xf numFmtId="0" fontId="65" fillId="2" borderId="0" xfId="0" applyFont="1" applyFill="1"/>
    <xf numFmtId="0" fontId="55" fillId="2" borderId="0" xfId="0" applyFont="1" applyFill="1" applyAlignment="1">
      <alignment horizontal="left" vertical="center"/>
    </xf>
    <xf numFmtId="0" fontId="38" fillId="0" borderId="0" xfId="0" applyFont="1" applyAlignment="1">
      <alignment vertical="center"/>
    </xf>
    <xf numFmtId="43" fontId="39" fillId="2" borderId="1" xfId="4" applyFont="1" applyFill="1" applyBorder="1" applyAlignment="1">
      <alignment vertical="center"/>
    </xf>
    <xf numFmtId="43" fontId="39" fillId="2" borderId="1" xfId="4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/>
    </xf>
    <xf numFmtId="167" fontId="38" fillId="2" borderId="0" xfId="0" applyNumberFormat="1" applyFont="1" applyFill="1" applyAlignment="1">
      <alignment horizontal="center" vertical="center"/>
    </xf>
    <xf numFmtId="171" fontId="38" fillId="2" borderId="0" xfId="0" applyNumberFormat="1" applyFont="1" applyFill="1" applyAlignment="1">
      <alignment horizontal="center" vertical="center"/>
    </xf>
    <xf numFmtId="0" fontId="52" fillId="2" borderId="0" xfId="0" applyFont="1" applyFill="1" applyAlignment="1">
      <alignment horizontal="left" vertical="top"/>
    </xf>
    <xf numFmtId="168" fontId="38" fillId="2" borderId="0" xfId="0" applyNumberFormat="1" applyFont="1" applyFill="1" applyAlignment="1">
      <alignment horizontal="center" vertical="center"/>
    </xf>
    <xf numFmtId="0" fontId="66" fillId="2" borderId="0" xfId="0" applyFont="1" applyFill="1" applyAlignment="1">
      <alignment horizontal="left" vertical="top"/>
    </xf>
    <xf numFmtId="0" fontId="64" fillId="2" borderId="0" xfId="0" applyFont="1" applyFill="1"/>
    <xf numFmtId="0" fontId="67" fillId="2" borderId="0" xfId="0" applyFont="1" applyFill="1"/>
    <xf numFmtId="0" fontId="68" fillId="2" borderId="0" xfId="0" applyFont="1" applyFill="1"/>
    <xf numFmtId="0" fontId="38" fillId="2" borderId="0" xfId="0" applyFont="1" applyFill="1" applyAlignment="1">
      <alignment horizontal="center"/>
    </xf>
    <xf numFmtId="0" fontId="38" fillId="2" borderId="21" xfId="0" applyFont="1" applyFill="1" applyBorder="1" applyAlignment="1">
      <alignment horizontal="center"/>
    </xf>
    <xf numFmtId="0" fontId="38" fillId="2" borderId="17" xfId="0" applyFont="1" applyFill="1" applyBorder="1" applyAlignment="1">
      <alignment horizontal="center"/>
    </xf>
    <xf numFmtId="0" fontId="38" fillId="2" borderId="22" xfId="0" applyFont="1" applyFill="1" applyBorder="1" applyAlignment="1">
      <alignment horizontal="center"/>
    </xf>
    <xf numFmtId="0" fontId="38" fillId="2" borderId="7" xfId="0" applyFont="1" applyFill="1" applyBorder="1" applyAlignment="1">
      <alignment horizontal="center"/>
    </xf>
    <xf numFmtId="0" fontId="38" fillId="2" borderId="20" xfId="0" applyFont="1" applyFill="1" applyBorder="1" applyAlignment="1">
      <alignment horizontal="center"/>
    </xf>
    <xf numFmtId="0" fontId="64" fillId="2" borderId="20" xfId="0" quotePrefix="1" applyFont="1" applyFill="1" applyBorder="1" applyAlignment="1">
      <alignment horizontal="left"/>
    </xf>
    <xf numFmtId="43" fontId="64" fillId="2" borderId="20" xfId="4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 shrinkToFit="1"/>
    </xf>
    <xf numFmtId="0" fontId="38" fillId="2" borderId="1" xfId="0" applyFont="1" applyFill="1" applyBorder="1" applyAlignment="1">
      <alignment horizontal="center" vertical="center" shrinkToFit="1"/>
    </xf>
    <xf numFmtId="0" fontId="64" fillId="2" borderId="20" xfId="0" applyFont="1" applyFill="1" applyBorder="1" applyAlignment="1">
      <alignment horizontal="left" shrinkToFit="1"/>
    </xf>
    <xf numFmtId="169" fontId="38" fillId="2" borderId="0" xfId="0" applyNumberFormat="1" applyFont="1" applyFill="1" applyAlignment="1">
      <alignment horizontal="center" shrinkToFit="1"/>
    </xf>
    <xf numFmtId="0" fontId="38" fillId="2" borderId="0" xfId="0" applyFont="1" applyFill="1" applyAlignment="1">
      <alignment horizontal="center" shrinkToFit="1"/>
    </xf>
    <xf numFmtId="43" fontId="38" fillId="2" borderId="0" xfId="0" applyNumberFormat="1" applyFont="1" applyFill="1" applyAlignment="1">
      <alignment horizontal="center" shrinkToFit="1"/>
    </xf>
    <xf numFmtId="0" fontId="38" fillId="2" borderId="0" xfId="4" applyNumberFormat="1" applyFont="1" applyFill="1" applyBorder="1" applyAlignment="1">
      <alignment horizontal="center" vertical="top"/>
    </xf>
    <xf numFmtId="0" fontId="39" fillId="2" borderId="0" xfId="4" applyNumberFormat="1" applyFont="1" applyFill="1" applyBorder="1" applyAlignment="1">
      <alignment horizontal="center" vertical="center"/>
    </xf>
    <xf numFmtId="0" fontId="39" fillId="2" borderId="1" xfId="0" applyFont="1" applyFill="1" applyBorder="1"/>
    <xf numFmtId="0" fontId="39" fillId="2" borderId="1" xfId="0" applyFont="1" applyFill="1" applyBorder="1" applyAlignment="1">
      <alignment horizontal="center" vertical="center"/>
    </xf>
    <xf numFmtId="43" fontId="39" fillId="2" borderId="1" xfId="4" applyFont="1" applyFill="1" applyBorder="1" applyAlignment="1"/>
    <xf numFmtId="43" fontId="45" fillId="2" borderId="0" xfId="4" applyFont="1" applyFill="1" applyBorder="1" applyAlignment="1">
      <alignment horizontal="left" vertical="center" shrinkToFit="1"/>
    </xf>
    <xf numFmtId="0" fontId="38" fillId="2" borderId="0" xfId="0" applyFont="1" applyFill="1" applyAlignment="1">
      <alignment horizontal="left" vertical="center"/>
    </xf>
    <xf numFmtId="0" fontId="69" fillId="2" borderId="0" xfId="0" applyFont="1" applyFill="1" applyAlignment="1">
      <alignment horizontal="center"/>
    </xf>
    <xf numFmtId="0" fontId="39" fillId="2" borderId="1" xfId="4" applyNumberFormat="1" applyFont="1" applyFill="1" applyBorder="1" applyAlignment="1">
      <alignment horizontal="center" vertical="center"/>
    </xf>
    <xf numFmtId="171" fontId="38" fillId="2" borderId="0" xfId="0" applyNumberFormat="1" applyFont="1" applyFill="1" applyAlignment="1">
      <alignment horizontal="left"/>
    </xf>
    <xf numFmtId="174" fontId="38" fillId="2" borderId="8" xfId="4" applyNumberFormat="1" applyFont="1" applyFill="1" applyBorder="1" applyAlignment="1">
      <alignment horizontal="center" shrinkToFit="1"/>
    </xf>
    <xf numFmtId="0" fontId="70" fillId="3" borderId="0" xfId="0" applyFont="1" applyFill="1"/>
    <xf numFmtId="0" fontId="38" fillId="2" borderId="0" xfId="0" applyFont="1" applyFill="1" applyAlignment="1">
      <alignment shrinkToFit="1"/>
    </xf>
    <xf numFmtId="175" fontId="38" fillId="2" borderId="0" xfId="0" applyNumberFormat="1" applyFont="1" applyFill="1"/>
    <xf numFmtId="0" fontId="38" fillId="2" borderId="0" xfId="0" applyFont="1" applyFill="1" applyAlignment="1">
      <alignment vertical="center" shrinkToFit="1"/>
    </xf>
    <xf numFmtId="0" fontId="62" fillId="0" borderId="0" xfId="0" applyFont="1" applyAlignment="1">
      <alignment horizontal="center" vertical="center"/>
    </xf>
    <xf numFmtId="43" fontId="38" fillId="2" borderId="0" xfId="0" applyNumberFormat="1" applyFont="1" applyFill="1"/>
    <xf numFmtId="0" fontId="39" fillId="2" borderId="0" xfId="0" applyFont="1" applyFill="1" applyAlignment="1">
      <alignment horizontal="left" vertical="center"/>
    </xf>
    <xf numFmtId="176" fontId="74" fillId="0" borderId="1" xfId="0" quotePrefix="1" applyNumberFormat="1" applyFont="1" applyBorder="1" applyAlignment="1">
      <alignment horizontal="center"/>
    </xf>
    <xf numFmtId="0" fontId="64" fillId="0" borderId="5" xfId="0" applyFont="1" applyBorder="1"/>
    <xf numFmtId="0" fontId="64" fillId="0" borderId="5" xfId="0" applyFont="1" applyBorder="1" applyAlignment="1">
      <alignment horizontal="center"/>
    </xf>
    <xf numFmtId="43" fontId="64" fillId="0" borderId="5" xfId="4" applyFont="1" applyFill="1" applyBorder="1" applyAlignment="1"/>
    <xf numFmtId="174" fontId="64" fillId="2" borderId="0" xfId="4" applyNumberFormat="1" applyFont="1" applyFill="1" applyBorder="1" applyAlignment="1">
      <alignment horizontal="center"/>
    </xf>
    <xf numFmtId="43" fontId="0" fillId="2" borderId="0" xfId="0" applyNumberFormat="1" applyFill="1"/>
    <xf numFmtId="0" fontId="64" fillId="2" borderId="0" xfId="0" applyFont="1" applyFill="1" applyAlignment="1">
      <alignment horizontal="left"/>
    </xf>
    <xf numFmtId="0" fontId="62" fillId="0" borderId="0" xfId="0" applyFont="1" applyAlignment="1">
      <alignment vertical="center"/>
    </xf>
    <xf numFmtId="173" fontId="62" fillId="2" borderId="0" xfId="0" applyNumberFormat="1" applyFont="1" applyFill="1" applyAlignment="1">
      <alignment horizontal="left" vertical="center"/>
    </xf>
    <xf numFmtId="171" fontId="76" fillId="2" borderId="0" xfId="0" applyNumberFormat="1" applyFont="1" applyFill="1" applyAlignment="1">
      <alignment horizontal="center" vertical="center"/>
    </xf>
    <xf numFmtId="0" fontId="76" fillId="2" borderId="0" xfId="4" applyNumberFormat="1" applyFont="1" applyFill="1" applyBorder="1" applyAlignment="1">
      <alignment horizontal="center" vertical="center"/>
    </xf>
    <xf numFmtId="2" fontId="38" fillId="2" borderId="0" xfId="0" applyNumberFormat="1" applyFont="1" applyFill="1" applyAlignment="1">
      <alignment vertical="center"/>
    </xf>
    <xf numFmtId="173" fontId="38" fillId="2" borderId="0" xfId="0" applyNumberFormat="1" applyFont="1" applyFill="1" applyAlignment="1">
      <alignment horizontal="left" vertical="center"/>
    </xf>
    <xf numFmtId="43" fontId="39" fillId="2" borderId="0" xfId="4" applyFont="1" applyFill="1" applyBorder="1" applyAlignment="1"/>
    <xf numFmtId="43" fontId="39" fillId="2" borderId="0" xfId="4" applyFont="1" applyFill="1" applyBorder="1" applyAlignment="1">
      <alignment horizontal="center" vertical="center"/>
    </xf>
    <xf numFmtId="0" fontId="62" fillId="2" borderId="0" xfId="0" applyFont="1" applyFill="1" applyAlignment="1">
      <alignment horizontal="center" vertical="top"/>
    </xf>
    <xf numFmtId="0" fontId="62" fillId="2" borderId="0" xfId="0" applyFont="1" applyFill="1" applyAlignment="1">
      <alignment vertical="center"/>
    </xf>
    <xf numFmtId="0" fontId="64" fillId="0" borderId="20" xfId="0" quotePrefix="1" applyFont="1" applyBorder="1" applyAlignment="1">
      <alignment horizontal="left"/>
    </xf>
    <xf numFmtId="15" fontId="74" fillId="2" borderId="5" xfId="0" applyNumberFormat="1" applyFont="1" applyFill="1" applyBorder="1"/>
    <xf numFmtId="0" fontId="74" fillId="2" borderId="5" xfId="0" quotePrefix="1" applyFont="1" applyFill="1" applyBorder="1"/>
    <xf numFmtId="2" fontId="38" fillId="2" borderId="0" xfId="0" applyNumberFormat="1" applyFont="1" applyFill="1" applyAlignment="1">
      <alignment horizontal="left" vertical="center"/>
    </xf>
    <xf numFmtId="0" fontId="64" fillId="2" borderId="0" xfId="0" applyFont="1" applyFill="1" applyAlignment="1">
      <alignment horizontal="center"/>
    </xf>
    <xf numFmtId="43" fontId="64" fillId="2" borderId="0" xfId="4" applyFont="1" applyFill="1" applyBorder="1" applyAlignment="1"/>
    <xf numFmtId="173" fontId="38" fillId="2" borderId="0" xfId="0" applyNumberFormat="1" applyFont="1" applyFill="1" applyAlignment="1">
      <alignment horizontal="left" vertical="top" wrapText="1"/>
    </xf>
    <xf numFmtId="0" fontId="0" fillId="0" borderId="16" xfId="0" applyBorder="1"/>
    <xf numFmtId="43" fontId="38" fillId="0" borderId="0" xfId="0" applyNumberFormat="1" applyFont="1" applyAlignment="1">
      <alignment vertical="center"/>
    </xf>
    <xf numFmtId="0" fontId="39" fillId="0" borderId="1" xfId="0" applyFont="1" applyBorder="1"/>
    <xf numFmtId="0" fontId="79" fillId="2" borderId="0" xfId="0" applyFont="1" applyFill="1"/>
    <xf numFmtId="0" fontId="79" fillId="2" borderId="12" xfId="0" applyFont="1" applyFill="1" applyBorder="1"/>
    <xf numFmtId="0" fontId="81" fillId="2" borderId="0" xfId="0" applyFont="1" applyFill="1"/>
    <xf numFmtId="0" fontId="82" fillId="2" borderId="16" xfId="0" applyFont="1" applyFill="1" applyBorder="1" applyAlignment="1">
      <alignment horizontal="left"/>
    </xf>
    <xf numFmtId="176" fontId="83" fillId="2" borderId="16" xfId="0" applyNumberFormat="1" applyFont="1" applyFill="1" applyBorder="1" applyAlignment="1">
      <alignment horizontal="center"/>
    </xf>
    <xf numFmtId="0" fontId="84" fillId="2" borderId="1" xfId="0" applyFont="1" applyFill="1" applyBorder="1" applyAlignment="1">
      <alignment horizontal="center" vertical="center"/>
    </xf>
    <xf numFmtId="0" fontId="84" fillId="2" borderId="2" xfId="0" applyFont="1" applyFill="1" applyBorder="1" applyAlignment="1">
      <alignment horizontal="center" vertical="center"/>
    </xf>
    <xf numFmtId="0" fontId="79" fillId="2" borderId="1" xfId="0" applyFont="1" applyFill="1" applyBorder="1" applyAlignment="1">
      <alignment horizontal="center" vertical="center"/>
    </xf>
    <xf numFmtId="0" fontId="84" fillId="2" borderId="2" xfId="0" quotePrefix="1" applyFont="1" applyFill="1" applyBorder="1" applyAlignment="1">
      <alignment horizontal="center" vertical="center"/>
    </xf>
    <xf numFmtId="176" fontId="84" fillId="2" borderId="2" xfId="0" applyNumberFormat="1" applyFont="1" applyFill="1" applyBorder="1" applyAlignment="1">
      <alignment horizontal="center" vertical="center"/>
    </xf>
    <xf numFmtId="0" fontId="79" fillId="2" borderId="0" xfId="0" applyFont="1" applyFill="1" applyAlignment="1">
      <alignment horizontal="left"/>
    </xf>
    <xf numFmtId="0" fontId="85" fillId="5" borderId="1" xfId="0" applyFont="1" applyFill="1" applyBorder="1" applyAlignment="1">
      <alignment horizontal="center" vertical="center"/>
    </xf>
    <xf numFmtId="0" fontId="85" fillId="5" borderId="2" xfId="0" applyFont="1" applyFill="1" applyBorder="1" applyAlignment="1">
      <alignment horizontal="center" vertical="center"/>
    </xf>
    <xf numFmtId="43" fontId="38" fillId="2" borderId="0" xfId="4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176" fontId="0" fillId="2" borderId="0" xfId="0" applyNumberFormat="1" applyFill="1"/>
    <xf numFmtId="176" fontId="84" fillId="2" borderId="0" xfId="0" applyNumberFormat="1" applyFont="1" applyFill="1" applyAlignment="1">
      <alignment horizontal="center" vertical="center"/>
    </xf>
    <xf numFmtId="2" fontId="38" fillId="2" borderId="0" xfId="0" applyNumberFormat="1" applyFont="1" applyFill="1" applyAlignment="1">
      <alignment horizontal="center" shrinkToFit="1"/>
    </xf>
    <xf numFmtId="178" fontId="38" fillId="2" borderId="8" xfId="4" applyNumberFormat="1" applyFont="1" applyFill="1" applyBorder="1" applyAlignment="1">
      <alignment shrinkToFit="1"/>
    </xf>
    <xf numFmtId="0" fontId="39" fillId="0" borderId="1" xfId="0" applyFont="1" applyBorder="1" applyAlignment="1">
      <alignment horizontal="center" vertical="center"/>
    </xf>
    <xf numFmtId="0" fontId="39" fillId="0" borderId="1" xfId="4" applyNumberFormat="1" applyFont="1" applyFill="1" applyBorder="1" applyAlignment="1">
      <alignment horizontal="center" vertical="center"/>
    </xf>
    <xf numFmtId="43" fontId="39" fillId="0" borderId="1" xfId="4" applyFont="1" applyFill="1" applyBorder="1" applyAlignment="1">
      <alignment vertical="center"/>
    </xf>
    <xf numFmtId="43" fontId="39" fillId="0" borderId="1" xfId="4" applyFont="1" applyFill="1" applyBorder="1" applyAlignment="1">
      <alignment horizontal="center" vertical="center"/>
    </xf>
    <xf numFmtId="43" fontId="39" fillId="0" borderId="1" xfId="4" applyFont="1" applyFill="1" applyBorder="1" applyAlignment="1"/>
    <xf numFmtId="169" fontId="38" fillId="2" borderId="0" xfId="0" applyNumberFormat="1" applyFont="1" applyFill="1" applyAlignment="1">
      <alignment shrinkToFit="1"/>
    </xf>
    <xf numFmtId="0" fontId="38" fillId="2" borderId="8" xfId="0" applyFont="1" applyFill="1" applyBorder="1"/>
    <xf numFmtId="0" fontId="38" fillId="2" borderId="23" xfId="0" applyFont="1" applyFill="1" applyBorder="1" applyAlignment="1">
      <alignment horizontal="center"/>
    </xf>
    <xf numFmtId="174" fontId="64" fillId="2" borderId="24" xfId="4" applyNumberFormat="1" applyFont="1" applyFill="1" applyBorder="1" applyAlignment="1">
      <alignment horizontal="center"/>
    </xf>
    <xf numFmtId="15" fontId="79" fillId="2" borderId="0" xfId="0" applyNumberFormat="1" applyFont="1" applyFill="1" applyAlignment="1">
      <alignment horizontal="left"/>
    </xf>
    <xf numFmtId="0" fontId="79" fillId="2" borderId="2" xfId="0" applyFont="1" applyFill="1" applyBorder="1" applyAlignment="1">
      <alignment horizontal="center" vertical="center"/>
    </xf>
    <xf numFmtId="176" fontId="87" fillId="4" borderId="4" xfId="0" quotePrefix="1" applyNumberFormat="1" applyFont="1" applyFill="1" applyBorder="1" applyAlignment="1">
      <alignment horizontal="center"/>
    </xf>
    <xf numFmtId="0" fontId="88" fillId="6" borderId="1" xfId="0" applyFont="1" applyFill="1" applyBorder="1"/>
    <xf numFmtId="177" fontId="88" fillId="6" borderId="1" xfId="0" applyNumberFormat="1" applyFont="1" applyFill="1" applyBorder="1" applyAlignment="1">
      <alignment horizontal="center"/>
    </xf>
    <xf numFmtId="178" fontId="38" fillId="2" borderId="0" xfId="0" applyNumberFormat="1" applyFont="1" applyFill="1"/>
    <xf numFmtId="0" fontId="62" fillId="0" borderId="0" xfId="0" applyFont="1" applyAlignment="1">
      <alignment horizontal="left" vertical="center"/>
    </xf>
    <xf numFmtId="169" fontId="38" fillId="2" borderId="0" xfId="0" applyNumberFormat="1" applyFont="1" applyFill="1" applyAlignment="1">
      <alignment horizontal="center"/>
    </xf>
    <xf numFmtId="174" fontId="38" fillId="2" borderId="8" xfId="4" applyNumberFormat="1" applyFont="1" applyFill="1" applyBorder="1" applyAlignment="1">
      <alignment shrinkToFit="1"/>
    </xf>
    <xf numFmtId="0" fontId="79" fillId="2" borderId="2" xfId="0" applyFont="1" applyFill="1" applyBorder="1" applyAlignment="1">
      <alignment horizontal="center" vertical="center" shrinkToFit="1"/>
    </xf>
    <xf numFmtId="0" fontId="38" fillId="0" borderId="0" xfId="0" applyFont="1" applyAlignment="1">
      <alignment horizontal="left" vertical="center"/>
    </xf>
    <xf numFmtId="178" fontId="38" fillId="2" borderId="8" xfId="0" applyNumberFormat="1" applyFont="1" applyFill="1" applyBorder="1"/>
    <xf numFmtId="0" fontId="64" fillId="2" borderId="0" xfId="0" applyFont="1" applyFill="1" applyAlignment="1">
      <alignment horizontal="left" shrinkToFit="1"/>
    </xf>
    <xf numFmtId="0" fontId="64" fillId="0" borderId="0" xfId="0" quotePrefix="1" applyFont="1" applyAlignment="1">
      <alignment horizontal="left"/>
    </xf>
    <xf numFmtId="0" fontId="64" fillId="2" borderId="0" xfId="0" quotePrefix="1" applyFont="1" applyFill="1" applyAlignment="1">
      <alignment horizontal="left"/>
    </xf>
    <xf numFmtId="176" fontId="74" fillId="0" borderId="1" xfId="0" quotePrefix="1" applyNumberFormat="1" applyFont="1" applyBorder="1" applyAlignment="1">
      <alignment horizontal="left" vertical="center"/>
    </xf>
    <xf numFmtId="0" fontId="38" fillId="0" borderId="0" xfId="0" quotePrefix="1" applyFont="1" applyAlignment="1">
      <alignment vertical="center"/>
    </xf>
    <xf numFmtId="171" fontId="62" fillId="2" borderId="0" xfId="0" applyNumberFormat="1" applyFont="1" applyFill="1" applyAlignment="1">
      <alignment horizontal="center" vertical="center"/>
    </xf>
    <xf numFmtId="43" fontId="39" fillId="0" borderId="0" xfId="0" applyNumberFormat="1" applyFont="1" applyAlignment="1">
      <alignment vertical="center"/>
    </xf>
    <xf numFmtId="2" fontId="38" fillId="2" borderId="0" xfId="4" applyNumberFormat="1" applyFont="1" applyFill="1" applyAlignment="1">
      <alignment horizontal="center" vertical="center"/>
    </xf>
    <xf numFmtId="0" fontId="62" fillId="2" borderId="0" xfId="0" applyFont="1" applyFill="1"/>
    <xf numFmtId="0" fontId="62" fillId="2" borderId="0" xfId="0" applyFont="1" applyFill="1" applyAlignment="1">
      <alignment horizontal="left"/>
    </xf>
    <xf numFmtId="169" fontId="62" fillId="2" borderId="0" xfId="0" applyNumberFormat="1" applyFont="1" applyFill="1" applyAlignment="1">
      <alignment horizontal="left"/>
    </xf>
    <xf numFmtId="0" fontId="39" fillId="2" borderId="9" xfId="0" applyFont="1" applyFill="1" applyBorder="1"/>
    <xf numFmtId="43" fontId="39" fillId="2" borderId="9" xfId="4" applyFont="1" applyFill="1" applyBorder="1" applyAlignment="1"/>
    <xf numFmtId="43" fontId="39" fillId="2" borderId="9" xfId="4" applyFont="1" applyFill="1" applyBorder="1" applyAlignment="1">
      <alignment horizontal="center" vertical="center"/>
    </xf>
    <xf numFmtId="2" fontId="38" fillId="2" borderId="0" xfId="4" applyNumberFormat="1" applyFont="1" applyFill="1" applyAlignment="1">
      <alignment horizontal="left" vertical="center"/>
    </xf>
    <xf numFmtId="2" fontId="39" fillId="2" borderId="1" xfId="4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left" vertical="center"/>
    </xf>
    <xf numFmtId="0" fontId="69" fillId="2" borderId="0" xfId="0" applyFont="1" applyFill="1" applyAlignment="1">
      <alignment horizontal="center"/>
    </xf>
    <xf numFmtId="0" fontId="72" fillId="0" borderId="0" xfId="0" applyFont="1" applyAlignment="1">
      <alignment horizontal="center"/>
    </xf>
    <xf numFmtId="0" fontId="54" fillId="2" borderId="0" xfId="0" applyFont="1" applyFill="1" applyAlignment="1">
      <alignment horizontal="center"/>
    </xf>
    <xf numFmtId="0" fontId="71" fillId="2" borderId="0" xfId="0" applyFont="1" applyFill="1" applyAlignment="1">
      <alignment horizontal="center"/>
    </xf>
    <xf numFmtId="0" fontId="51" fillId="2" borderId="0" xfId="0" applyFont="1" applyFill="1" applyAlignment="1">
      <alignment horizontal="center" vertical="center"/>
    </xf>
    <xf numFmtId="167" fontId="9" fillId="2" borderId="18" xfId="0" applyNumberFormat="1" applyFont="1" applyFill="1" applyBorder="1" applyAlignment="1">
      <alignment horizontal="center" vertical="center"/>
    </xf>
    <xf numFmtId="0" fontId="52" fillId="2" borderId="19" xfId="0" applyFont="1" applyFill="1" applyBorder="1" applyAlignment="1">
      <alignment horizontal="center" vertical="center"/>
    </xf>
    <xf numFmtId="0" fontId="55" fillId="2" borderId="12" xfId="0" applyFont="1" applyFill="1" applyBorder="1" applyAlignment="1">
      <alignment horizontal="center" vertical="center"/>
    </xf>
    <xf numFmtId="43" fontId="39" fillId="2" borderId="18" xfId="4" applyFont="1" applyFill="1" applyBorder="1" applyAlignment="1">
      <alignment vertical="center"/>
    </xf>
    <xf numFmtId="0" fontId="44" fillId="2" borderId="0" xfId="0" applyFont="1" applyFill="1" applyAlignment="1">
      <alignment horizontal="right" vertical="top"/>
    </xf>
    <xf numFmtId="0" fontId="39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top"/>
    </xf>
    <xf numFmtId="0" fontId="58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top"/>
    </xf>
    <xf numFmtId="0" fontId="53" fillId="2" borderId="0" xfId="0" applyFont="1" applyFill="1" applyAlignment="1">
      <alignment horizontal="right" vertical="center"/>
    </xf>
    <xf numFmtId="0" fontId="53" fillId="2" borderId="12" xfId="0" applyFont="1" applyFill="1" applyBorder="1" applyAlignment="1">
      <alignment horizontal="right" vertical="center"/>
    </xf>
    <xf numFmtId="166" fontId="60" fillId="2" borderId="19" xfId="0" applyNumberFormat="1" applyFont="1" applyFill="1" applyBorder="1" applyAlignment="1">
      <alignment horizontal="center" vertical="center"/>
    </xf>
    <xf numFmtId="166" fontId="60" fillId="2" borderId="0" xfId="0" applyNumberFormat="1" applyFont="1" applyFill="1" applyAlignment="1">
      <alignment horizontal="center" vertical="center"/>
    </xf>
    <xf numFmtId="166" fontId="61" fillId="2" borderId="12" xfId="0" applyNumberFormat="1" applyFont="1" applyFill="1" applyBorder="1" applyAlignment="1">
      <alignment horizontal="center" vertical="center"/>
    </xf>
    <xf numFmtId="0" fontId="52" fillId="2" borderId="0" xfId="0" applyFont="1" applyFill="1" applyAlignment="1">
      <alignment horizontal="left" vertical="top"/>
    </xf>
    <xf numFmtId="0" fontId="66" fillId="2" borderId="0" xfId="0" applyFont="1" applyFill="1" applyAlignment="1">
      <alignment horizontal="left" vertical="top"/>
    </xf>
    <xf numFmtId="0" fontId="53" fillId="2" borderId="19" xfId="0" applyFont="1" applyFill="1" applyBorder="1" applyAlignment="1">
      <alignment horizontal="right" vertical="center"/>
    </xf>
    <xf numFmtId="0" fontId="55" fillId="2" borderId="0" xfId="0" applyFont="1" applyFill="1" applyAlignment="1">
      <alignment horizontal="left" vertical="center"/>
    </xf>
    <xf numFmtId="0" fontId="43" fillId="2" borderId="0" xfId="0" applyFont="1" applyFill="1" applyAlignment="1">
      <alignment horizontal="left" vertical="center"/>
    </xf>
    <xf numFmtId="43" fontId="45" fillId="2" borderId="0" xfId="4" applyFont="1" applyFill="1" applyBorder="1" applyAlignment="1">
      <alignment horizontal="left" vertical="center" shrinkToFit="1"/>
    </xf>
    <xf numFmtId="0" fontId="38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65" fillId="2" borderId="0" xfId="0" applyFont="1" applyFill="1" applyAlignment="1">
      <alignment horizontal="center"/>
    </xf>
    <xf numFmtId="0" fontId="63" fillId="2" borderId="0" xfId="0" applyFont="1" applyFill="1" applyAlignment="1">
      <alignment horizontal="center"/>
    </xf>
    <xf numFmtId="0" fontId="64" fillId="0" borderId="2" xfId="0" applyFont="1" applyBorder="1" applyAlignment="1">
      <alignment horizontal="center"/>
    </xf>
    <xf numFmtId="0" fontId="64" fillId="0" borderId="6" xfId="0" applyFont="1" applyBorder="1" applyAlignment="1">
      <alignment horizontal="center"/>
    </xf>
    <xf numFmtId="0" fontId="62" fillId="0" borderId="2" xfId="0" applyFont="1" applyBorder="1" applyAlignment="1">
      <alignment horizontal="center" vertical="center"/>
    </xf>
    <xf numFmtId="0" fontId="62" fillId="0" borderId="6" xfId="0" applyFont="1" applyBorder="1" applyAlignment="1">
      <alignment horizontal="center" vertical="center"/>
    </xf>
    <xf numFmtId="0" fontId="62" fillId="2" borderId="2" xfId="0" applyFont="1" applyFill="1" applyBorder="1" applyAlignment="1">
      <alignment horizontal="center" vertical="center"/>
    </xf>
    <xf numFmtId="0" fontId="62" fillId="2" borderId="6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/>
    </xf>
    <xf numFmtId="0" fontId="38" fillId="2" borderId="6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/>
    </xf>
    <xf numFmtId="0" fontId="38" fillId="2" borderId="6" xfId="0" applyFont="1" applyFill="1" applyBorder="1" applyAlignment="1">
      <alignment horizontal="center"/>
    </xf>
    <xf numFmtId="0" fontId="38" fillId="2" borderId="0" xfId="0" applyFont="1" applyFill="1" applyAlignment="1">
      <alignment horizontal="center"/>
    </xf>
    <xf numFmtId="0" fontId="55" fillId="0" borderId="0" xfId="0" applyFont="1" applyAlignment="1">
      <alignment horizontal="center"/>
    </xf>
    <xf numFmtId="0" fontId="49" fillId="2" borderId="0" xfId="0" applyFont="1" applyFill="1" applyAlignment="1">
      <alignment horizontal="center"/>
    </xf>
    <xf numFmtId="44" fontId="2" fillId="2" borderId="16" xfId="1" applyFont="1" applyFill="1" applyBorder="1" applyAlignment="1">
      <alignment horizontal="left"/>
    </xf>
    <xf numFmtId="0" fontId="31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48" fillId="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horizontal="center"/>
    </xf>
    <xf numFmtId="0" fontId="47" fillId="2" borderId="0" xfId="0" applyFont="1" applyFill="1" applyAlignment="1">
      <alignment horizontal="center"/>
    </xf>
    <xf numFmtId="44" fontId="2" fillId="2" borderId="16" xfId="1" applyFont="1" applyFill="1" applyBorder="1" applyAlignment="1">
      <alignment horizontal="center"/>
    </xf>
    <xf numFmtId="0" fontId="75" fillId="2" borderId="5" xfId="0" applyFont="1" applyFill="1" applyBorder="1" applyAlignment="1">
      <alignment horizontal="left" wrapText="1"/>
    </xf>
    <xf numFmtId="0" fontId="78" fillId="2" borderId="0" xfId="0" applyFont="1" applyFill="1" applyAlignment="1">
      <alignment horizontal="left" vertical="center"/>
    </xf>
    <xf numFmtId="0" fontId="78" fillId="2" borderId="12" xfId="0" applyFont="1" applyFill="1" applyBorder="1" applyAlignment="1">
      <alignment horizontal="left" vertical="center"/>
    </xf>
    <xf numFmtId="0" fontId="80" fillId="2" borderId="0" xfId="0" applyFont="1" applyFill="1" applyAlignment="1">
      <alignment horizontal="left" vertical="center"/>
    </xf>
    <xf numFmtId="0" fontId="86" fillId="4" borderId="7" xfId="0" applyFont="1" applyFill="1" applyBorder="1" applyAlignment="1">
      <alignment horizontal="left"/>
    </xf>
    <xf numFmtId="0" fontId="86" fillId="4" borderId="0" xfId="0" applyFont="1" applyFill="1" applyAlignment="1">
      <alignment horizontal="left"/>
    </xf>
    <xf numFmtId="0" fontId="79" fillId="2" borderId="4" xfId="0" applyFont="1" applyFill="1" applyBorder="1" applyAlignment="1">
      <alignment horizontal="center" vertical="center" wrapText="1" shrinkToFit="1"/>
    </xf>
    <xf numFmtId="0" fontId="79" fillId="2" borderId="9" xfId="0" applyFont="1" applyFill="1" applyBorder="1" applyAlignment="1">
      <alignment horizontal="center" vertical="center" wrapText="1" shrinkToFit="1"/>
    </xf>
    <xf numFmtId="0" fontId="79" fillId="2" borderId="11" xfId="0" applyFont="1" applyFill="1" applyBorder="1" applyAlignment="1">
      <alignment horizontal="center" vertical="center" wrapText="1" shrinkToFit="1"/>
    </xf>
    <xf numFmtId="0" fontId="79" fillId="2" borderId="4" xfId="0" applyFont="1" applyFill="1" applyBorder="1" applyAlignment="1">
      <alignment horizontal="center" vertical="center"/>
    </xf>
    <xf numFmtId="0" fontId="79" fillId="2" borderId="9" xfId="0" applyFont="1" applyFill="1" applyBorder="1" applyAlignment="1">
      <alignment horizontal="center" vertical="center"/>
    </xf>
    <xf numFmtId="0" fontId="79" fillId="2" borderId="11" xfId="0" applyFont="1" applyFill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9" fillId="0" borderId="1" xfId="2" applyBorder="1" applyAlignment="1">
      <alignment horizontal="center" vertical="center"/>
    </xf>
    <xf numFmtId="0" fontId="16" fillId="0" borderId="0" xfId="2" applyFont="1" applyAlignment="1">
      <alignment horizontal="center"/>
    </xf>
    <xf numFmtId="0" fontId="17" fillId="0" borderId="0" xfId="2" applyFont="1" applyAlignment="1">
      <alignment horizontal="center"/>
    </xf>
    <xf numFmtId="0" fontId="18" fillId="0" borderId="0" xfId="2" applyFont="1" applyAlignment="1">
      <alignment horizontal="left"/>
    </xf>
    <xf numFmtId="0" fontId="13" fillId="0" borderId="0" xfId="2" applyFont="1" applyAlignment="1">
      <alignment horizontal="center"/>
    </xf>
    <xf numFmtId="0" fontId="13" fillId="0" borderId="0" xfId="2" applyFont="1" applyAlignment="1">
      <alignment horizontal="center" vertical="center"/>
    </xf>
    <xf numFmtId="0" fontId="14" fillId="0" borderId="0" xfId="2" applyFont="1" applyAlignment="1">
      <alignment horizontal="center"/>
    </xf>
    <xf numFmtId="0" fontId="15" fillId="0" borderId="0" xfId="2" applyFont="1" applyAlignment="1">
      <alignment horizontal="left"/>
    </xf>
    <xf numFmtId="0" fontId="20" fillId="0" borderId="0" xfId="2" applyFont="1" applyAlignment="1">
      <alignment horizontal="center" vertical="center"/>
    </xf>
    <xf numFmtId="0" fontId="21" fillId="0" borderId="0" xfId="2" applyFont="1" applyAlignment="1">
      <alignment horizontal="left"/>
    </xf>
    <xf numFmtId="0" fontId="30" fillId="0" borderId="0" xfId="2" applyFont="1" applyAlignment="1">
      <alignment horizontal="left"/>
    </xf>
    <xf numFmtId="0" fontId="25" fillId="0" borderId="12" xfId="2" applyFont="1" applyBorder="1" applyAlignment="1">
      <alignment horizontal="left"/>
    </xf>
    <xf numFmtId="0" fontId="20" fillId="0" borderId="2" xfId="2" applyFont="1" applyBorder="1" applyAlignment="1">
      <alignment horizontal="center" vertical="center"/>
    </xf>
    <xf numFmtId="0" fontId="20" fillId="0" borderId="16" xfId="2" applyFont="1" applyBorder="1" applyAlignment="1">
      <alignment horizontal="center" vertical="center"/>
    </xf>
    <xf numFmtId="0" fontId="20" fillId="0" borderId="6" xfId="2" applyFont="1" applyBorder="1" applyAlignment="1">
      <alignment horizontal="center" vertical="center"/>
    </xf>
    <xf numFmtId="49" fontId="28" fillId="0" borderId="2" xfId="2" applyNumberFormat="1" applyFont="1" applyBorder="1" applyAlignment="1">
      <alignment horizontal="center" vertical="center"/>
    </xf>
    <xf numFmtId="49" fontId="28" fillId="0" borderId="16" xfId="2" applyNumberFormat="1" applyFont="1" applyBorder="1" applyAlignment="1">
      <alignment horizontal="center" vertical="center"/>
    </xf>
    <xf numFmtId="49" fontId="28" fillId="0" borderId="6" xfId="2" applyNumberFormat="1" applyFont="1" applyBorder="1" applyAlignment="1">
      <alignment horizontal="center" vertical="center"/>
    </xf>
    <xf numFmtId="0" fontId="29" fillId="0" borderId="17" xfId="2" applyFont="1" applyBorder="1" applyAlignment="1">
      <alignment horizontal="left"/>
    </xf>
    <xf numFmtId="0" fontId="17" fillId="0" borderId="0" xfId="2" applyFont="1" applyAlignment="1">
      <alignment horizontal="left"/>
    </xf>
    <xf numFmtId="0" fontId="21" fillId="0" borderId="0" xfId="2" applyFont="1" applyAlignment="1">
      <alignment horizontal="center"/>
    </xf>
    <xf numFmtId="0" fontId="26" fillId="0" borderId="0" xfId="2" applyFont="1" applyAlignment="1">
      <alignment horizontal="center" vertical="center"/>
    </xf>
  </cellXfs>
  <cellStyles count="9">
    <cellStyle name="Comma" xfId="4" builtinId="3"/>
    <cellStyle name="Currency" xfId="1" builtinId="4"/>
    <cellStyle name="Currency 2" xfId="3" xr:uid="{00000000-0005-0000-0000-000002000000}"/>
    <cellStyle name="Currency 2 2" xfId="8" xr:uid="{00000000-0005-0000-0000-000003000000}"/>
    <cellStyle name="Currency 2 3" xfId="6" xr:uid="{00000000-0005-0000-0000-000004000000}"/>
    <cellStyle name="Normal" xfId="0" builtinId="0"/>
    <cellStyle name="Normal 2" xfId="2" xr:uid="{00000000-0005-0000-0000-000006000000}"/>
    <cellStyle name="Normal 2 2" xfId="7" xr:uid="{00000000-0005-0000-0000-000007000000}"/>
    <cellStyle name="Normal 2 3" xfId="5" xr:uid="{00000000-0005-0000-0000-000008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CCFF"/>
      <color rgb="FF3399FF"/>
      <color rgb="FFC5D9F1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0" y="2438400"/>
          <a:ext cx="65532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0" y="18478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82955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782955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9629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820025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820025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0</xdr:row>
      <xdr:rowOff>16566</xdr:rowOff>
    </xdr:from>
    <xdr:to>
      <xdr:col>2</xdr:col>
      <xdr:colOff>91109</xdr:colOff>
      <xdr:row>5</xdr:row>
      <xdr:rowOff>38143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805" y="16566"/>
          <a:ext cx="1283804" cy="12888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88900</xdr:colOff>
          <xdr:row>11</xdr:row>
          <xdr:rowOff>69850</xdr:rowOff>
        </xdr:from>
        <xdr:to>
          <xdr:col>3</xdr:col>
          <xdr:colOff>304800</xdr:colOff>
          <xdr:row>13</xdr:row>
          <xdr:rowOff>76200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17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BANK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222250</xdr:colOff>
          <xdr:row>11</xdr:row>
          <xdr:rowOff>107950</xdr:rowOff>
        </xdr:from>
        <xdr:to>
          <xdr:col>4</xdr:col>
          <xdr:colOff>571500</xdr:colOff>
          <xdr:row>13</xdr:row>
          <xdr:rowOff>50800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17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CASH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173935</xdr:colOff>
      <xdr:row>0</xdr:row>
      <xdr:rowOff>8283</xdr:rowOff>
    </xdr:from>
    <xdr:to>
      <xdr:col>2</xdr:col>
      <xdr:colOff>256761</xdr:colOff>
      <xdr:row>4</xdr:row>
      <xdr:rowOff>296932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935" y="8283"/>
          <a:ext cx="1167848" cy="115004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88900</xdr:colOff>
          <xdr:row>31</xdr:row>
          <xdr:rowOff>69850</xdr:rowOff>
        </xdr:from>
        <xdr:to>
          <xdr:col>3</xdr:col>
          <xdr:colOff>304800</xdr:colOff>
          <xdr:row>33</xdr:row>
          <xdr:rowOff>76200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17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BANK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222250</xdr:colOff>
          <xdr:row>31</xdr:row>
          <xdr:rowOff>107950</xdr:rowOff>
        </xdr:from>
        <xdr:to>
          <xdr:col>4</xdr:col>
          <xdr:colOff>571500</xdr:colOff>
          <xdr:row>33</xdr:row>
          <xdr:rowOff>50800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17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CASH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55"/>
  <sheetViews>
    <sheetView view="pageBreakPreview" zoomScale="63" zoomScaleNormal="100" zoomScaleSheetLayoutView="100" workbookViewId="0">
      <selection activeCell="P19" sqref="P19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0.81640625" style="32" customWidth="1"/>
    <col min="4" max="4" width="8.7265625" style="32" customWidth="1"/>
    <col min="5" max="5" width="7.453125" style="32" customWidth="1"/>
    <col min="6" max="6" width="9.1796875" style="32" customWidth="1"/>
    <col min="7" max="8" width="13.453125" style="32" customWidth="1"/>
    <col min="9" max="9" width="15.453125" style="32" customWidth="1"/>
    <col min="10" max="10" width="6.81640625" style="32" customWidth="1"/>
    <col min="11" max="11" width="13" style="32" customWidth="1"/>
    <col min="12" max="12" width="37.453125" style="32" customWidth="1"/>
    <col min="13" max="13" width="8.7265625" style="32" customWidth="1"/>
    <col min="14" max="14" width="7.453125" style="32" customWidth="1"/>
    <col min="15" max="15" width="9.1796875" style="32"/>
    <col min="16" max="16" width="10.7265625" style="32" customWidth="1"/>
    <col min="17" max="17" width="10.453125" style="32" customWidth="1"/>
    <col min="18" max="18" width="15.453125" style="32" customWidth="1"/>
    <col min="19" max="19" width="11.453125" style="32" customWidth="1"/>
    <col min="20" max="16384" width="9.1796875" style="32"/>
  </cols>
  <sheetData>
    <row r="2" spans="1:19" ht="34.5" customHeight="1">
      <c r="A2" s="255" t="s">
        <v>97</v>
      </c>
      <c r="B2" s="255"/>
      <c r="C2" s="255"/>
      <c r="D2" s="255"/>
      <c r="E2" s="255"/>
      <c r="F2" s="255"/>
      <c r="G2" s="255"/>
      <c r="H2" s="255"/>
      <c r="I2" s="255"/>
      <c r="J2" s="255" t="s">
        <v>97</v>
      </c>
      <c r="K2" s="255"/>
      <c r="L2" s="255"/>
      <c r="M2" s="255"/>
      <c r="N2" s="255"/>
      <c r="O2" s="255"/>
      <c r="P2" s="255"/>
      <c r="Q2" s="255"/>
      <c r="R2" s="255"/>
    </row>
    <row r="3" spans="1:19" s="33" customFormat="1" ht="27.75" customHeight="1">
      <c r="A3" s="257" t="s">
        <v>98</v>
      </c>
      <c r="B3" s="257"/>
      <c r="C3" s="257"/>
      <c r="D3" s="257"/>
      <c r="E3" s="257"/>
      <c r="F3" s="257"/>
      <c r="G3" s="257"/>
      <c r="H3" s="257"/>
      <c r="I3" s="257"/>
      <c r="J3" s="257" t="s">
        <v>98</v>
      </c>
      <c r="K3" s="257"/>
      <c r="L3" s="257"/>
      <c r="M3" s="257"/>
      <c r="N3" s="257"/>
      <c r="O3" s="257"/>
      <c r="P3" s="257"/>
      <c r="Q3" s="257"/>
      <c r="R3" s="257"/>
    </row>
    <row r="4" spans="1:19" ht="19.5" customHeight="1">
      <c r="A4" s="59"/>
      <c r="B4" s="59"/>
      <c r="C4" s="258" t="s">
        <v>154</v>
      </c>
      <c r="D4" s="258"/>
      <c r="E4" s="258"/>
      <c r="F4" s="258"/>
      <c r="G4" s="258"/>
      <c r="H4" s="59"/>
      <c r="I4" s="59"/>
      <c r="J4" s="59"/>
      <c r="K4" s="59"/>
      <c r="L4" s="258" t="s">
        <v>154</v>
      </c>
      <c r="M4" s="258"/>
      <c r="N4" s="258"/>
      <c r="O4" s="258"/>
      <c r="P4" s="258"/>
      <c r="Q4" s="59"/>
      <c r="R4" s="59"/>
    </row>
    <row r="5" spans="1:19" s="34" customFormat="1" ht="25" customHeight="1">
      <c r="A5" s="259" t="s">
        <v>126</v>
      </c>
      <c r="B5" s="259"/>
      <c r="C5" s="259"/>
      <c r="D5" s="259"/>
      <c r="E5" s="259"/>
      <c r="F5" s="259"/>
      <c r="G5" s="259"/>
      <c r="H5" s="259"/>
      <c r="I5" s="259"/>
      <c r="J5" s="259" t="s">
        <v>126</v>
      </c>
      <c r="K5" s="259"/>
      <c r="L5" s="259"/>
      <c r="M5" s="259"/>
      <c r="N5" s="259"/>
      <c r="O5" s="259"/>
      <c r="P5" s="259"/>
      <c r="Q5" s="259"/>
      <c r="R5" s="259"/>
    </row>
    <row r="6" spans="1:19" s="34" customFormat="1" ht="22" customHeight="1">
      <c r="A6" s="259" t="s">
        <v>127</v>
      </c>
      <c r="B6" s="259"/>
      <c r="C6" s="259"/>
      <c r="D6" s="259"/>
      <c r="E6" s="259"/>
      <c r="F6" s="259"/>
      <c r="G6" s="259"/>
      <c r="H6" s="259"/>
      <c r="I6" s="259"/>
      <c r="J6" s="259" t="s">
        <v>127</v>
      </c>
      <c r="K6" s="259"/>
      <c r="L6" s="259"/>
      <c r="M6" s="259"/>
      <c r="N6" s="259"/>
      <c r="O6" s="259"/>
      <c r="P6" s="259"/>
      <c r="Q6" s="259"/>
      <c r="R6" s="259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72" t="s">
        <v>96</v>
      </c>
      <c r="B9" s="272"/>
      <c r="C9" s="272"/>
      <c r="D9" s="272"/>
      <c r="E9" s="272"/>
      <c r="F9" s="272"/>
      <c r="G9" s="272"/>
      <c r="H9" s="272"/>
      <c r="I9" s="272"/>
      <c r="J9" s="255" t="s">
        <v>168</v>
      </c>
      <c r="K9" s="255"/>
      <c r="L9" s="255"/>
      <c r="M9" s="255"/>
      <c r="N9" s="255"/>
      <c r="O9" s="255"/>
      <c r="P9" s="255"/>
      <c r="Q9" s="255"/>
      <c r="R9" s="255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6" t="s">
        <v>357</v>
      </c>
      <c r="B12" s="266"/>
      <c r="C12" s="266"/>
      <c r="D12" s="266"/>
      <c r="F12" s="253" t="s">
        <v>107</v>
      </c>
      <c r="G12" s="253"/>
      <c r="H12" s="253"/>
      <c r="I12" s="101" t="s">
        <v>260</v>
      </c>
      <c r="J12" s="124" t="str">
        <f t="shared" ref="J12:J20" si="0">A12</f>
        <v>ឈ្មោះអតិថិជន /Customer: ជេអ អឹភែរឹល ឯ.ក</v>
      </c>
      <c r="K12" s="38"/>
      <c r="O12" s="253" t="s">
        <v>194</v>
      </c>
      <c r="P12" s="253"/>
      <c r="Q12" s="253"/>
      <c r="R12" s="101" t="s">
        <v>261</v>
      </c>
      <c r="S12" s="230" t="s">
        <v>259</v>
      </c>
    </row>
    <row r="13" spans="1:19" ht="20.149999999999999" customHeight="1">
      <c r="A13" s="268" t="s">
        <v>189</v>
      </c>
      <c r="B13" s="268"/>
      <c r="C13" s="268"/>
      <c r="D13" s="268"/>
      <c r="E13" s="253" t="s">
        <v>106</v>
      </c>
      <c r="F13" s="253"/>
      <c r="G13" s="253"/>
      <c r="H13" s="253"/>
      <c r="I13" s="102">
        <v>46268</v>
      </c>
      <c r="J13" s="115" t="str">
        <f>A13</f>
        <v>JR APPAREL CO.,LTD</v>
      </c>
      <c r="K13" s="35"/>
      <c r="N13" s="253" t="s">
        <v>195</v>
      </c>
      <c r="O13" s="253"/>
      <c r="P13" s="253"/>
      <c r="Q13" s="253"/>
      <c r="R13" s="123">
        <f>I13</f>
        <v>46268</v>
      </c>
    </row>
    <row r="14" spans="1:19" ht="25" customHeight="1">
      <c r="A14" s="269" t="s">
        <v>184</v>
      </c>
      <c r="B14" s="269"/>
      <c r="C14" s="269"/>
      <c r="D14" s="269"/>
      <c r="E14" s="269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43" t="s">
        <v>186</v>
      </c>
      <c r="B15" s="243"/>
      <c r="C15" s="243"/>
      <c r="D15" s="243"/>
      <c r="E15" s="243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5" t="s">
        <v>183</v>
      </c>
      <c r="B16" s="265"/>
      <c r="C16" s="265"/>
      <c r="D16" s="265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190</v>
      </c>
      <c r="H17" s="120"/>
      <c r="I17" s="120"/>
      <c r="J17" s="46" t="str">
        <f t="shared" si="0"/>
        <v>SHIPPER:</v>
      </c>
      <c r="L17" s="46" t="str">
        <f>C17</f>
        <v>JR APPAREL CO., LTD.</v>
      </c>
      <c r="Q17" s="120"/>
      <c r="R17" s="120"/>
    </row>
    <row r="18" spans="1:19" s="46" customFormat="1" ht="19.5" customHeight="1">
      <c r="A18" s="46" t="s">
        <v>110</v>
      </c>
      <c r="C18" s="113" t="s">
        <v>242</v>
      </c>
      <c r="G18" s="254" t="s">
        <v>157</v>
      </c>
      <c r="H18" s="254"/>
      <c r="I18" s="169">
        <v>16864.8</v>
      </c>
      <c r="J18" s="46" t="str">
        <f t="shared" si="0"/>
        <v>CONSIGNEE :</v>
      </c>
      <c r="L18" s="46" t="str">
        <f>C18</f>
        <v>CHAPTERONE SPORTSWEAR</v>
      </c>
      <c r="P18" s="254" t="str">
        <f>G18</f>
        <v>GROSS WEIGHT:</v>
      </c>
      <c r="Q18" s="254"/>
      <c r="R18" s="81">
        <f>I18</f>
        <v>16864.8</v>
      </c>
    </row>
    <row r="19" spans="1:19" s="46" customFormat="1" ht="19.5" customHeight="1">
      <c r="A19" s="46" t="s">
        <v>112</v>
      </c>
      <c r="B19" s="167" t="s">
        <v>359</v>
      </c>
      <c r="D19" s="58" t="s">
        <v>111</v>
      </c>
      <c r="E19" s="180" t="s">
        <v>272</v>
      </c>
      <c r="H19" s="80" t="s">
        <v>158</v>
      </c>
      <c r="I19" s="121" t="s">
        <v>202</v>
      </c>
      <c r="J19" s="46" t="str">
        <f t="shared" si="0"/>
        <v>HBL:</v>
      </c>
      <c r="K19" s="271" t="str">
        <f>B19</f>
        <v>COSU6464276980</v>
      </c>
      <c r="L19" s="271"/>
      <c r="M19" s="58" t="s">
        <v>111</v>
      </c>
      <c r="N19" s="180" t="str">
        <f>E19</f>
        <v>1X45'HQ</v>
      </c>
      <c r="Q19" s="80" t="s">
        <v>158</v>
      </c>
      <c r="R19" s="121" t="str">
        <f>I19</f>
        <v>PNH PORT</v>
      </c>
    </row>
    <row r="20" spans="1:19" s="46" customFormat="1" ht="19.5" customHeight="1">
      <c r="A20" s="58" t="s">
        <v>116</v>
      </c>
      <c r="B20" s="168" t="s">
        <v>273</v>
      </c>
      <c r="C20" s="96"/>
      <c r="D20" s="58" t="s">
        <v>113</v>
      </c>
      <c r="E20" s="225" t="s">
        <v>271</v>
      </c>
      <c r="H20" s="80" t="s">
        <v>159</v>
      </c>
      <c r="I20" s="73" t="s">
        <v>246</v>
      </c>
      <c r="J20" s="58" t="str">
        <f t="shared" si="0"/>
        <v>PKGS:</v>
      </c>
      <c r="K20" s="172" t="str">
        <f>B20</f>
        <v>1,150 CTNS</v>
      </c>
      <c r="L20" s="96"/>
      <c r="M20" s="58" t="s">
        <v>113</v>
      </c>
      <c r="N20" s="148" t="str">
        <f>E20</f>
        <v>CXDU2223299</v>
      </c>
      <c r="Q20" s="80" t="s">
        <v>159</v>
      </c>
      <c r="R20" s="73" t="str">
        <f>I20</f>
        <v>USA</v>
      </c>
    </row>
    <row r="21" spans="1:19" ht="15" customHeight="1" thickBot="1">
      <c r="A21" s="44"/>
      <c r="B21" s="35"/>
      <c r="G21" s="249">
        <v>4047</v>
      </c>
      <c r="H21" s="249"/>
      <c r="I21" s="249"/>
      <c r="J21" s="44"/>
      <c r="K21" s="35"/>
      <c r="P21" s="249">
        <f>G21</f>
        <v>4047</v>
      </c>
      <c r="Q21" s="249"/>
      <c r="R21" s="249"/>
    </row>
    <row r="22" spans="1:19" s="36" customFormat="1" ht="30" customHeight="1">
      <c r="A22" s="78" t="s">
        <v>0</v>
      </c>
      <c r="B22" s="250" t="s">
        <v>1</v>
      </c>
      <c r="C22" s="250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0" t="s">
        <v>1</v>
      </c>
      <c r="L22" s="250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51" t="s">
        <v>6</v>
      </c>
      <c r="C23" s="251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51" t="s">
        <v>6</v>
      </c>
      <c r="L23" s="251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199</v>
      </c>
      <c r="C25" s="270"/>
      <c r="D25" s="52">
        <v>1</v>
      </c>
      <c r="E25" s="143" t="s">
        <v>274</v>
      </c>
      <c r="F25" s="48">
        <v>242</v>
      </c>
      <c r="G25" s="48">
        <f>ROUND(F25*D25,2)</f>
        <v>242</v>
      </c>
      <c r="H25" s="48">
        <f>G25*10%</f>
        <v>24.200000000000003</v>
      </c>
      <c r="I25" s="48">
        <f>H25+G25</f>
        <v>266.2</v>
      </c>
      <c r="J25" s="143">
        <v>1</v>
      </c>
      <c r="K25" s="243" t="s">
        <v>230</v>
      </c>
      <c r="L25" s="243"/>
      <c r="M25" s="52">
        <v>1</v>
      </c>
      <c r="N25" s="143" t="s">
        <v>274</v>
      </c>
      <c r="O25" s="48">
        <v>77</v>
      </c>
      <c r="P25" s="48">
        <f>O25*M25</f>
        <v>77</v>
      </c>
      <c r="Q25" s="48">
        <v>0</v>
      </c>
      <c r="R25" s="48">
        <f>Q25+P25</f>
        <v>77</v>
      </c>
    </row>
    <row r="26" spans="1:19" ht="25" customHeight="1">
      <c r="A26" s="142"/>
      <c r="B26" s="147"/>
      <c r="C26" s="147"/>
      <c r="D26" s="52"/>
      <c r="E26" s="143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274</v>
      </c>
      <c r="O26" s="48">
        <v>21.25</v>
      </c>
      <c r="P26" s="48">
        <f t="shared" ref="P26:P27" si="1">O26*M26</f>
        <v>21.25</v>
      </c>
      <c r="Q26" s="48">
        <v>0</v>
      </c>
      <c r="R26" s="48">
        <f t="shared" ref="R26:R27" si="2">Q26+P26</f>
        <v>21.25</v>
      </c>
    </row>
    <row r="27" spans="1:19" ht="25" customHeight="1">
      <c r="A27" s="142"/>
      <c r="B27" s="147"/>
      <c r="C27" s="147"/>
      <c r="D27" s="52"/>
      <c r="E27" s="143"/>
      <c r="F27" s="48"/>
      <c r="G27" s="48"/>
      <c r="H27" s="48"/>
      <c r="I27" s="48"/>
      <c r="J27" s="143">
        <v>3</v>
      </c>
      <c r="K27" s="159" t="s">
        <v>205</v>
      </c>
      <c r="L27" s="159"/>
      <c r="M27" s="52">
        <v>1</v>
      </c>
      <c r="N27" s="143" t="s">
        <v>274</v>
      </c>
      <c r="O27" s="48">
        <v>539</v>
      </c>
      <c r="P27" s="48">
        <f t="shared" si="1"/>
        <v>539</v>
      </c>
      <c r="Q27" s="48">
        <v>0</v>
      </c>
      <c r="R27" s="48">
        <f t="shared" si="2"/>
        <v>539</v>
      </c>
    </row>
    <row r="28" spans="1:19" ht="9" customHeight="1" thickBot="1">
      <c r="A28" s="49"/>
      <c r="B28" s="252"/>
      <c r="C28" s="252"/>
      <c r="D28" s="53"/>
      <c r="E28" s="51"/>
      <c r="F28" s="50"/>
      <c r="G28" s="50"/>
      <c r="H28" s="50"/>
      <c r="I28" s="50"/>
      <c r="J28" s="49"/>
      <c r="K28" s="252"/>
      <c r="L28" s="252"/>
      <c r="M28" s="53"/>
      <c r="N28" s="51"/>
      <c r="O28" s="50"/>
      <c r="P28" s="50"/>
      <c r="Q28" s="50"/>
      <c r="R28" s="50"/>
    </row>
    <row r="29" spans="1:19" s="36" customFormat="1" ht="25" customHeight="1">
      <c r="C29" s="267" t="s">
        <v>163</v>
      </c>
      <c r="D29" s="267"/>
      <c r="E29" s="90" t="s">
        <v>162</v>
      </c>
      <c r="F29" s="262">
        <f>$I$29*G21</f>
        <v>979374</v>
      </c>
      <c r="G29" s="262"/>
      <c r="H29" s="93" t="s">
        <v>144</v>
      </c>
      <c r="I29" s="86">
        <f>SUM(G25:G28)</f>
        <v>242</v>
      </c>
      <c r="L29" s="267" t="s">
        <v>163</v>
      </c>
      <c r="M29" s="267"/>
      <c r="N29" s="267"/>
      <c r="O29" s="267"/>
      <c r="P29" s="267"/>
      <c r="Q29" s="93" t="s">
        <v>144</v>
      </c>
      <c r="R29" s="86">
        <f>SUM(R24:R28)</f>
        <v>637.25</v>
      </c>
    </row>
    <row r="30" spans="1:19" s="36" customFormat="1" ht="25" customHeight="1">
      <c r="C30" s="260" t="s">
        <v>161</v>
      </c>
      <c r="D30" s="260"/>
      <c r="E30" s="91" t="s">
        <v>162</v>
      </c>
      <c r="F30" s="263">
        <f>$I$30*$G$21</f>
        <v>97937.4</v>
      </c>
      <c r="G30" s="263"/>
      <c r="H30" s="94" t="s">
        <v>144</v>
      </c>
      <c r="I30" s="87">
        <f>ROUND(SUM(H25:H28),2)</f>
        <v>24.2</v>
      </c>
      <c r="L30" s="260" t="s">
        <v>171</v>
      </c>
      <c r="M30" s="260"/>
      <c r="N30" s="260"/>
      <c r="O30" s="260"/>
      <c r="P30" s="260"/>
      <c r="Q30" s="94" t="s">
        <v>144</v>
      </c>
      <c r="R30" s="87">
        <v>0</v>
      </c>
    </row>
    <row r="31" spans="1:19" ht="25" customHeight="1" thickBot="1">
      <c r="A31" s="88"/>
      <c r="B31" s="88"/>
      <c r="C31" s="261" t="s">
        <v>164</v>
      </c>
      <c r="D31" s="261"/>
      <c r="E31" s="92" t="s">
        <v>162</v>
      </c>
      <c r="F31" s="264">
        <f>I31*$G$21</f>
        <v>1077311.3999999999</v>
      </c>
      <c r="G31" s="264"/>
      <c r="H31" s="95" t="s">
        <v>144</v>
      </c>
      <c r="I31" s="89">
        <f>$I$29+$I$30</f>
        <v>266.2</v>
      </c>
      <c r="J31" s="88"/>
      <c r="K31" s="88"/>
      <c r="L31" s="261" t="s">
        <v>164</v>
      </c>
      <c r="M31" s="261"/>
      <c r="N31" s="261"/>
      <c r="O31" s="261"/>
      <c r="P31" s="261"/>
      <c r="Q31" s="95" t="s">
        <v>144</v>
      </c>
      <c r="R31" s="89">
        <f>SUM(R29:R30)</f>
        <v>637.25</v>
      </c>
      <c r="S31" s="165">
        <f>SUM(I31+R31)</f>
        <v>903.45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8" s="67" customFormat="1" ht="14">
      <c r="A33" s="84" t="s">
        <v>128</v>
      </c>
      <c r="J33" s="84" t="s">
        <v>128</v>
      </c>
    </row>
    <row r="34" spans="1:18" s="67" customFormat="1" ht="14">
      <c r="A34" s="85" t="s">
        <v>98</v>
      </c>
      <c r="J34" s="85" t="s">
        <v>98</v>
      </c>
    </row>
    <row r="35" spans="1:18" s="67" customFormat="1" ht="14">
      <c r="A35" s="84" t="s">
        <v>129</v>
      </c>
      <c r="J35" s="84" t="s">
        <v>129</v>
      </c>
    </row>
    <row r="36" spans="1:18" s="67" customFormat="1" ht="14">
      <c r="A36" s="84" t="s">
        <v>130</v>
      </c>
      <c r="J36" s="84" t="s">
        <v>130</v>
      </c>
    </row>
    <row r="37" spans="1:18" s="67" customFormat="1" ht="14">
      <c r="A37" s="84" t="s">
        <v>160</v>
      </c>
      <c r="J37" s="84" t="s">
        <v>160</v>
      </c>
    </row>
    <row r="38" spans="1:18" s="67" customFormat="1" ht="14">
      <c r="A38" s="84" t="s">
        <v>131</v>
      </c>
      <c r="J38" s="84" t="s">
        <v>131</v>
      </c>
    </row>
    <row r="39" spans="1:18" s="67" customFormat="1" ht="14">
      <c r="A39" s="84"/>
      <c r="J39" s="84"/>
    </row>
    <row r="40" spans="1:18">
      <c r="A40" s="84"/>
      <c r="J40" s="84"/>
    </row>
    <row r="41" spans="1:18">
      <c r="A41" s="84"/>
      <c r="J41" s="84"/>
    </row>
    <row r="42" spans="1:18">
      <c r="A42" s="84"/>
      <c r="J42" s="84"/>
    </row>
    <row r="43" spans="1:18">
      <c r="A43" s="84"/>
      <c r="J43" s="84"/>
    </row>
    <row r="44" spans="1:18">
      <c r="A44" s="84"/>
      <c r="J44" s="84"/>
    </row>
    <row r="45" spans="1:18">
      <c r="A45" s="84"/>
      <c r="J45" s="84"/>
    </row>
    <row r="46" spans="1:18" ht="42.65" customHeight="1"/>
    <row r="47" spans="1:18" ht="23.25" customHeight="1">
      <c r="A47" s="32" t="s">
        <v>99</v>
      </c>
      <c r="G47" s="32" t="s">
        <v>100</v>
      </c>
      <c r="J47" s="32" t="s">
        <v>99</v>
      </c>
      <c r="P47" s="32" t="s">
        <v>100</v>
      </c>
    </row>
    <row r="48" spans="1:18" ht="30">
      <c r="A48" s="63" t="s">
        <v>9</v>
      </c>
      <c r="B48" s="64"/>
      <c r="C48" s="55"/>
      <c r="D48" s="55"/>
      <c r="E48" s="55"/>
      <c r="F48" s="55"/>
      <c r="G48" s="61" t="s">
        <v>10</v>
      </c>
      <c r="H48" s="61"/>
      <c r="I48" s="61"/>
      <c r="J48" s="63" t="s">
        <v>9</v>
      </c>
      <c r="K48" s="64"/>
      <c r="L48" s="55"/>
      <c r="M48" s="55"/>
      <c r="N48" s="55"/>
      <c r="O48" s="55"/>
      <c r="P48" s="61" t="s">
        <v>10</v>
      </c>
      <c r="Q48" s="61"/>
      <c r="R48" s="61"/>
    </row>
    <row r="49" spans="1:18" ht="20.25" customHeight="1">
      <c r="A49" s="65" t="s">
        <v>114</v>
      </c>
      <c r="B49" s="66"/>
      <c r="C49" s="56"/>
      <c r="D49" s="55"/>
      <c r="E49" s="55"/>
      <c r="F49" s="55"/>
      <c r="G49" s="55"/>
      <c r="H49" s="55"/>
      <c r="I49" s="55"/>
      <c r="J49" s="65" t="s">
        <v>114</v>
      </c>
      <c r="K49" s="66"/>
      <c r="L49" s="56"/>
      <c r="M49" s="55"/>
      <c r="N49" s="55"/>
      <c r="O49" s="55"/>
      <c r="P49" s="55"/>
      <c r="Q49" s="55"/>
      <c r="R49" s="55"/>
    </row>
    <row r="50" spans="1:18" ht="18" customHeight="1">
      <c r="A50" s="58" t="s">
        <v>115</v>
      </c>
      <c r="B50" s="57"/>
      <c r="C50" s="55"/>
      <c r="D50" s="55"/>
      <c r="E50" s="55"/>
      <c r="F50" s="55"/>
      <c r="G50" s="55"/>
      <c r="H50" s="55"/>
      <c r="I50" s="55"/>
      <c r="J50" s="58" t="s">
        <v>115</v>
      </c>
      <c r="K50" s="57"/>
      <c r="L50" s="55"/>
      <c r="M50" s="55"/>
      <c r="N50" s="55"/>
      <c r="O50" s="55"/>
      <c r="P50" s="55"/>
      <c r="Q50" s="55"/>
      <c r="R50" s="55"/>
    </row>
    <row r="51" spans="1:18" ht="27.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</row>
    <row r="55" spans="1:18" ht="23">
      <c r="A55" s="39"/>
      <c r="J55" s="39"/>
    </row>
  </sheetData>
  <dataConsolidate/>
  <mergeCells count="45">
    <mergeCell ref="K19:L19"/>
    <mergeCell ref="L29:P29"/>
    <mergeCell ref="L30:P30"/>
    <mergeCell ref="L31:P31"/>
    <mergeCell ref="A2:I2"/>
    <mergeCell ref="A3:I3"/>
    <mergeCell ref="A9:I9"/>
    <mergeCell ref="A10:I10"/>
    <mergeCell ref="B22:C22"/>
    <mergeCell ref="E13:H13"/>
    <mergeCell ref="F12:H12"/>
    <mergeCell ref="G18:H18"/>
    <mergeCell ref="C4:G4"/>
    <mergeCell ref="A5:I5"/>
    <mergeCell ref="A6:I6"/>
    <mergeCell ref="A15:E15"/>
    <mergeCell ref="A16:D16"/>
    <mergeCell ref="G21:I21"/>
    <mergeCell ref="A12:D12"/>
    <mergeCell ref="C29:D29"/>
    <mergeCell ref="A13:D13"/>
    <mergeCell ref="A14:E14"/>
    <mergeCell ref="B23:C23"/>
    <mergeCell ref="B28:C28"/>
    <mergeCell ref="B25:C25"/>
    <mergeCell ref="C30:D30"/>
    <mergeCell ref="C31:D31"/>
    <mergeCell ref="F29:G29"/>
    <mergeCell ref="F30:G30"/>
    <mergeCell ref="F31:G31"/>
    <mergeCell ref="J2:R2"/>
    <mergeCell ref="J3:R3"/>
    <mergeCell ref="L4:P4"/>
    <mergeCell ref="J5:R5"/>
    <mergeCell ref="J6:R6"/>
    <mergeCell ref="O12:Q12"/>
    <mergeCell ref="N13:Q13"/>
    <mergeCell ref="P18:Q18"/>
    <mergeCell ref="J9:R9"/>
    <mergeCell ref="J10:R10"/>
    <mergeCell ref="P21:R21"/>
    <mergeCell ref="K22:L22"/>
    <mergeCell ref="K23:L23"/>
    <mergeCell ref="K28:L28"/>
    <mergeCell ref="K25:L25"/>
  </mergeCells>
  <phoneticPr fontId="34" type="noConversion"/>
  <conditionalFormatting sqref="S12">
    <cfRule type="duplicateValues" dxfId="19" priority="1"/>
    <cfRule type="duplicateValues" dxfId="18" priority="2"/>
  </conditionalFormatting>
  <dataValidations count="8">
    <dataValidation type="list" allowBlank="1" showInputMessage="1" showErrorMessage="1" sqref="A17" xr:uid="{00000000-0002-0000-0000-000000000000}">
      <formula1>"លេខ អ ត ប (VATTIN)  : L001-901805758"</formula1>
    </dataValidation>
    <dataValidation type="list" allowBlank="1" showInputMessage="1" showErrorMessage="1" sqref="B25:C27" xr:uid="{00000000-0002-0000-0000-000001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L25:L27 K25:K26" xr:uid="{00000000-0002-0000-0000-000002000000}">
      <formula1>"STORAGE FEE,THC FEE,WAREHOUSE FEE,CUSTOM PROCESSING FEE,LOLO AT PORT,LOLO EMPTY CONTAINER"</formula1>
    </dataValidation>
    <dataValidation type="list" allowBlank="1" showInputMessage="1" showErrorMessage="1" sqref="E26:E27" xr:uid="{00000000-0002-0000-0000-000003000000}">
      <formula1>"SET,40H,20G,TRUCK,LCL"</formula1>
    </dataValidation>
    <dataValidation type="list" allowBlank="1" showInputMessage="1" showErrorMessage="1" sqref="I19" xr:uid="{00000000-0002-0000-0000-000004000000}">
      <formula1>"ITALY,PNH IN'T,SHV PORT,BAVET CEO,PNH PORT,HK,JP,CHINA,VN"</formula1>
    </dataValidation>
    <dataValidation type="list" allowBlank="1" showInputMessage="1" showErrorMessage="1" sqref="I20" xr:uid="{00000000-0002-0000-0000-000005000000}">
      <formula1>"BRAZIL,UK,SHV PORT,PNH PORT,HLH,PNH IN'T,USA,OLAIR"</formula1>
    </dataValidation>
    <dataValidation type="list" allowBlank="1" showInputMessage="1" showErrorMessage="1" sqref="E25 N25:N27" xr:uid="{00000000-0002-0000-0000-000006000000}">
      <formula1>"SET,40H,45H,20G,TRUCK,LCL"</formula1>
    </dataValidation>
    <dataValidation type="list" allowBlank="1" showInputMessage="1" showErrorMessage="1" sqref="K27" xr:uid="{00000000-0002-0000-0000-000007000000}">
      <formula1>"STORAGE FEE,THC FEE,HBL FEE,WAREHOUSE FEE,CUSTOM PROCESSING FEE,LOLO AT PORT,LOLO EMPTY CONTAINER"</formula1>
    </dataValidation>
  </dataValidations>
  <printOptions horizontalCentered="1"/>
  <pageMargins left="0.2" right="0.2" top="0.25" bottom="0.1" header="0.05" footer="0.05"/>
  <pageSetup paperSize="9" scale="85" orientation="portrait" horizontalDpi="300" verticalDpi="300" r:id="rId1"/>
  <colBreaks count="1" manualBreakCount="1">
    <brk id="9" max="4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51"/>
  <sheetViews>
    <sheetView view="pageBreakPreview" zoomScale="90" zoomScaleNormal="100" zoomScaleSheetLayoutView="90" workbookViewId="0">
      <selection activeCell="F33" sqref="F33"/>
    </sheetView>
  </sheetViews>
  <sheetFormatPr defaultColWidth="8.81640625" defaultRowHeight="14.5"/>
  <cols>
    <col min="1" max="1" width="10.26953125" customWidth="1"/>
    <col min="2" max="2" width="0.7265625" customWidth="1"/>
    <col min="3" max="3" width="37.81640625" customWidth="1"/>
    <col min="4" max="4" width="9.26953125" customWidth="1"/>
    <col min="5" max="5" width="8.453125" customWidth="1"/>
    <col min="6" max="6" width="10.26953125" customWidth="1"/>
    <col min="7" max="7" width="13.81640625" bestFit="1" customWidth="1"/>
    <col min="8" max="8" width="8.453125" customWidth="1"/>
  </cols>
  <sheetData>
    <row r="1" spans="1:8" ht="18">
      <c r="A1" s="276" t="s">
        <v>172</v>
      </c>
      <c r="B1" s="276"/>
      <c r="C1" s="276"/>
      <c r="D1" s="276"/>
      <c r="E1" s="276"/>
      <c r="F1" s="276"/>
      <c r="G1" s="276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262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'360'!$I$13</f>
        <v>46268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'360'!$B$19</f>
        <v>COSU6464276980</v>
      </c>
      <c r="D9" s="67"/>
      <c r="E9" s="67"/>
      <c r="F9" s="103"/>
      <c r="G9" s="128"/>
    </row>
    <row r="10" spans="1:8">
      <c r="A10" s="103" t="s">
        <v>182</v>
      </c>
      <c r="B10" s="98" t="s">
        <v>119</v>
      </c>
      <c r="C10" s="151">
        <f>'360'!$I$18</f>
        <v>16864.8</v>
      </c>
      <c r="D10" s="67"/>
      <c r="E10" s="67"/>
      <c r="F10" s="103" t="s">
        <v>158</v>
      </c>
      <c r="G10" s="104" t="str">
        <f>'360'!$I$19</f>
        <v>PNH PORT</v>
      </c>
    </row>
    <row r="11" spans="1:8">
      <c r="A11" s="103" t="s">
        <v>111</v>
      </c>
      <c r="B11" s="98" t="s">
        <v>119</v>
      </c>
      <c r="C11" s="105" t="str">
        <f>'360'!$E$19</f>
        <v>1X45'HQ</v>
      </c>
      <c r="D11" s="82"/>
      <c r="E11" s="82"/>
      <c r="F11" s="103" t="s">
        <v>159</v>
      </c>
      <c r="G11" s="104" t="str">
        <f>'360'!$I$20</f>
        <v>USA</v>
      </c>
    </row>
    <row r="12" spans="1:8">
      <c r="A12" s="103" t="s">
        <v>113</v>
      </c>
      <c r="B12" s="98" t="s">
        <v>119</v>
      </c>
      <c r="C12" s="106" t="str">
        <f>'360'!$E$20</f>
        <v>CXDU2223299</v>
      </c>
      <c r="D12" s="82"/>
      <c r="E12" s="82"/>
      <c r="F12" s="103" t="s">
        <v>116</v>
      </c>
      <c r="G12" s="107" t="str">
        <f>'360'!B20</f>
        <v>1,150 CTNS</v>
      </c>
    </row>
    <row r="13" spans="1:8">
      <c r="A13" s="103" t="s">
        <v>136</v>
      </c>
      <c r="B13" s="98" t="s">
        <v>119</v>
      </c>
      <c r="C13" s="67" t="str">
        <f>'360'!$C$17</f>
        <v>JR APPAREL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67" t="str">
        <f>'360'!$C$18</f>
        <v>CHAPTERONE SPORTSWEAR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7" t="s">
        <v>138</v>
      </c>
      <c r="B16" s="278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'360'!S12</f>
        <v>E 264562</v>
      </c>
    </row>
    <row r="17" spans="1:8" s="116" customFormat="1" ht="14">
      <c r="A17" s="273">
        <v>1</v>
      </c>
      <c r="B17" s="274"/>
      <c r="C17" s="186" t="s">
        <v>192</v>
      </c>
      <c r="D17" s="206">
        <v>1</v>
      </c>
      <c r="E17" s="207" t="s">
        <v>274</v>
      </c>
      <c r="F17" s="208">
        <v>260</v>
      </c>
      <c r="G17" s="209">
        <f>ROUND(F17*D17,2)</f>
        <v>260</v>
      </c>
    </row>
    <row r="18" spans="1:8" s="116" customFormat="1" ht="14">
      <c r="A18" s="273">
        <v>2</v>
      </c>
      <c r="B18" s="274"/>
      <c r="C18" s="186" t="s">
        <v>177</v>
      </c>
      <c r="D18" s="206">
        <v>1</v>
      </c>
      <c r="E18" s="207" t="s">
        <v>274</v>
      </c>
      <c r="F18" s="210">
        <v>35</v>
      </c>
      <c r="G18" s="209">
        <f t="shared" ref="G18" si="0">ROUND(F18*D18,2)</f>
        <v>35</v>
      </c>
    </row>
    <row r="19" spans="1:8" s="116" customFormat="1" ht="14">
      <c r="A19" s="273">
        <v>3</v>
      </c>
      <c r="B19" s="274"/>
      <c r="C19" s="186" t="s">
        <v>212</v>
      </c>
      <c r="D19" s="206">
        <v>1</v>
      </c>
      <c r="E19" s="207" t="s">
        <v>207</v>
      </c>
      <c r="F19" s="210">
        <v>169</v>
      </c>
      <c r="G19" s="209">
        <f t="shared" ref="G19:G20" si="1">ROUND(F19*D19,2)</f>
        <v>169</v>
      </c>
      <c r="H19" s="233">
        <f>G17*65%</f>
        <v>169</v>
      </c>
    </row>
    <row r="20" spans="1:8" s="116" customFormat="1" ht="14">
      <c r="A20" s="273">
        <v>4</v>
      </c>
      <c r="B20" s="274"/>
      <c r="C20" s="186" t="s">
        <v>200</v>
      </c>
      <c r="D20" s="206">
        <v>1</v>
      </c>
      <c r="E20" s="207" t="s">
        <v>156</v>
      </c>
      <c r="F20" s="210">
        <v>25</v>
      </c>
      <c r="G20" s="209">
        <f t="shared" si="1"/>
        <v>25</v>
      </c>
    </row>
    <row r="21" spans="1:8" s="116" customFormat="1" ht="14">
      <c r="A21" s="273">
        <v>5</v>
      </c>
      <c r="B21" s="274"/>
      <c r="C21" s="186" t="s">
        <v>201</v>
      </c>
      <c r="D21" s="206">
        <v>1</v>
      </c>
      <c r="E21" s="207" t="s">
        <v>203</v>
      </c>
      <c r="F21" s="210">
        <v>20</v>
      </c>
      <c r="G21" s="209">
        <f>ROUND(F21*D21,2)</f>
        <v>20</v>
      </c>
    </row>
    <row r="22" spans="1:8" s="116" customFormat="1" ht="14">
      <c r="A22" s="273">
        <v>6</v>
      </c>
      <c r="B22" s="274"/>
      <c r="C22" s="186" t="s">
        <v>275</v>
      </c>
      <c r="D22" s="206">
        <v>1</v>
      </c>
      <c r="E22" s="207" t="s">
        <v>237</v>
      </c>
      <c r="F22" s="210">
        <v>69</v>
      </c>
      <c r="G22" s="209">
        <f t="shared" ref="G22:G23" si="2">ROUND(F22*D22,2)</f>
        <v>69</v>
      </c>
    </row>
    <row r="23" spans="1:8">
      <c r="A23" s="273">
        <v>7</v>
      </c>
      <c r="B23" s="274"/>
      <c r="C23" s="186" t="s">
        <v>179</v>
      </c>
      <c r="D23" s="206">
        <v>1</v>
      </c>
      <c r="E23" s="207" t="s">
        <v>274</v>
      </c>
      <c r="F23" s="210">
        <v>40</v>
      </c>
      <c r="G23" s="209">
        <f t="shared" si="2"/>
        <v>40</v>
      </c>
    </row>
    <row r="24" spans="1:8" s="116" customFormat="1" ht="14">
      <c r="A24" s="273">
        <v>8</v>
      </c>
      <c r="B24" s="274"/>
      <c r="C24" s="186" t="s">
        <v>311</v>
      </c>
      <c r="D24" s="206">
        <v>1</v>
      </c>
      <c r="E24" s="207" t="s">
        <v>211</v>
      </c>
      <c r="F24" s="210">
        <v>40</v>
      </c>
      <c r="G24" s="209">
        <f t="shared" ref="G24" si="3">ROUND(F24*D24,2)</f>
        <v>40</v>
      </c>
    </row>
    <row r="25" spans="1:8" s="116" customFormat="1" ht="14">
      <c r="A25" s="273">
        <v>9</v>
      </c>
      <c r="B25" s="274"/>
      <c r="C25" s="186" t="s">
        <v>236</v>
      </c>
      <c r="D25" s="206">
        <v>1</v>
      </c>
      <c r="E25" s="207" t="s">
        <v>274</v>
      </c>
      <c r="F25" s="210">
        <v>49.5</v>
      </c>
      <c r="G25" s="209">
        <f t="shared" ref="G25" si="4">ROUND(F25*D25,2)</f>
        <v>49.5</v>
      </c>
    </row>
    <row r="26" spans="1:8">
      <c r="A26" s="67"/>
      <c r="B26" s="67"/>
      <c r="D26" s="110" t="s">
        <v>143</v>
      </c>
      <c r="E26" s="110"/>
      <c r="F26" s="111" t="s">
        <v>144</v>
      </c>
      <c r="G26" s="112">
        <f>SUM(G17:G25)</f>
        <v>707.5</v>
      </c>
    </row>
    <row r="27" spans="1:8">
      <c r="A27" s="67"/>
      <c r="B27" s="67"/>
      <c r="C27" s="82"/>
      <c r="D27" s="98"/>
      <c r="E27" s="143"/>
      <c r="F27" s="173"/>
      <c r="G27" s="174"/>
    </row>
    <row r="28" spans="1:8" s="32" customFormat="1">
      <c r="A28" s="67"/>
      <c r="B28" s="67"/>
    </row>
    <row r="29" spans="1:8">
      <c r="A29" s="67"/>
      <c r="B29" s="67"/>
      <c r="C29" s="32"/>
      <c r="D29" s="32"/>
      <c r="E29" s="32" t="s">
        <v>108</v>
      </c>
      <c r="F29" s="32"/>
      <c r="G29" s="32"/>
    </row>
    <row r="30" spans="1:8">
      <c r="A30" s="67"/>
      <c r="B30" s="67"/>
      <c r="C30" s="32"/>
      <c r="D30" s="32"/>
      <c r="E30" s="32"/>
      <c r="F30" s="32"/>
      <c r="G30" s="32"/>
    </row>
    <row r="31" spans="1:8">
      <c r="A31" s="67"/>
      <c r="B31" s="67"/>
      <c r="C31" s="32"/>
      <c r="D31" s="32"/>
      <c r="E31" s="32"/>
      <c r="F31" s="32"/>
      <c r="G31" s="32"/>
    </row>
    <row r="32" spans="1:8">
      <c r="A32" s="67"/>
      <c r="B32" s="67"/>
      <c r="C32" s="32"/>
      <c r="D32" s="32"/>
      <c r="E32" s="32"/>
      <c r="F32" s="32"/>
      <c r="G32" s="32"/>
    </row>
    <row r="33" spans="1:7">
      <c r="A33" s="67"/>
      <c r="B33" s="67"/>
      <c r="C33" s="32"/>
      <c r="D33" s="32"/>
      <c r="E33" s="32"/>
      <c r="F33" s="32"/>
      <c r="G33" s="32"/>
    </row>
    <row r="34" spans="1:7">
      <c r="A34" s="67"/>
      <c r="B34" s="67"/>
      <c r="C34" s="32"/>
      <c r="D34" s="32"/>
      <c r="E34" s="32"/>
      <c r="F34" s="32"/>
      <c r="G34" s="32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67"/>
      <c r="B50" s="67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5" t="s">
        <v>145</v>
      </c>
      <c r="F51" s="275"/>
      <c r="G51" s="275"/>
    </row>
  </sheetData>
  <mergeCells count="12">
    <mergeCell ref="A25:B25"/>
    <mergeCell ref="E51:G51"/>
    <mergeCell ref="A1:G1"/>
    <mergeCell ref="A16:B16"/>
    <mergeCell ref="A17:B17"/>
    <mergeCell ref="A18:B18"/>
    <mergeCell ref="A24:B24"/>
    <mergeCell ref="A23:B23"/>
    <mergeCell ref="A20:B20"/>
    <mergeCell ref="A21:B21"/>
    <mergeCell ref="A22:B22"/>
    <mergeCell ref="A19:B19"/>
  </mergeCells>
  <printOptions horizontalCentered="1"/>
  <pageMargins left="0.45" right="0.45" top="0.7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57"/>
  <sheetViews>
    <sheetView view="pageBreakPreview" topLeftCell="A23" zoomScale="52" zoomScaleNormal="100" zoomScaleSheetLayoutView="100" workbookViewId="0">
      <selection activeCell="A45" sqref="A45:XFD45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7.179687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1.1796875" style="32" customWidth="1"/>
    <col min="8" max="8" width="10.26953125" style="32" customWidth="1"/>
    <col min="9" max="9" width="13.453125" style="32" bestFit="1" customWidth="1"/>
    <col min="10" max="10" width="6.26953125" style="32" customWidth="1"/>
    <col min="11" max="11" width="13.453125" style="32" customWidth="1"/>
    <col min="12" max="12" width="34" style="32" customWidth="1"/>
    <col min="13" max="13" width="8.7265625" style="32" customWidth="1"/>
    <col min="14" max="14" width="7.453125" style="32" customWidth="1"/>
    <col min="15" max="15" width="11.54296875" style="32" bestFit="1" customWidth="1"/>
    <col min="16" max="16" width="10.7265625" style="32" customWidth="1"/>
    <col min="17" max="17" width="10.453125" style="32" customWidth="1"/>
    <col min="18" max="18" width="13.81640625" style="32" customWidth="1"/>
    <col min="19" max="19" width="10.26953125" style="32" customWidth="1"/>
    <col min="20" max="16384" width="9.1796875" style="32"/>
  </cols>
  <sheetData>
    <row r="2" spans="1:19" ht="34.5" customHeight="1">
      <c r="A2" s="255" t="s">
        <v>97</v>
      </c>
      <c r="B2" s="255"/>
      <c r="C2" s="255"/>
      <c r="D2" s="255"/>
      <c r="E2" s="255"/>
      <c r="F2" s="255"/>
      <c r="G2" s="255"/>
      <c r="H2" s="255"/>
      <c r="I2" s="255"/>
      <c r="J2" s="255" t="s">
        <v>97</v>
      </c>
      <c r="K2" s="255"/>
      <c r="L2" s="255"/>
      <c r="M2" s="255"/>
      <c r="N2" s="255"/>
      <c r="O2" s="255"/>
      <c r="P2" s="255"/>
      <c r="Q2" s="255"/>
      <c r="R2" s="255"/>
    </row>
    <row r="3" spans="1:19" s="33" customFormat="1" ht="27.75" customHeight="1">
      <c r="A3" s="257" t="s">
        <v>98</v>
      </c>
      <c r="B3" s="257"/>
      <c r="C3" s="257"/>
      <c r="D3" s="257"/>
      <c r="E3" s="257"/>
      <c r="F3" s="257"/>
      <c r="G3" s="257"/>
      <c r="H3" s="257"/>
      <c r="I3" s="257"/>
      <c r="J3" s="257" t="s">
        <v>98</v>
      </c>
      <c r="K3" s="257"/>
      <c r="L3" s="257"/>
      <c r="M3" s="257"/>
      <c r="N3" s="257"/>
      <c r="O3" s="257"/>
      <c r="P3" s="257"/>
      <c r="Q3" s="257"/>
      <c r="R3" s="257"/>
    </row>
    <row r="4" spans="1:19" ht="19.5" customHeight="1">
      <c r="A4" s="59"/>
      <c r="B4" s="59"/>
      <c r="C4" s="258" t="s">
        <v>154</v>
      </c>
      <c r="D4" s="258"/>
      <c r="E4" s="258"/>
      <c r="F4" s="258"/>
      <c r="G4" s="258"/>
      <c r="H4" s="59"/>
      <c r="I4" s="59"/>
      <c r="J4" s="59"/>
      <c r="K4" s="59"/>
      <c r="L4" s="258" t="s">
        <v>154</v>
      </c>
      <c r="M4" s="258"/>
      <c r="N4" s="258"/>
      <c r="O4" s="258"/>
      <c r="P4" s="258"/>
      <c r="Q4" s="59"/>
      <c r="R4" s="59"/>
    </row>
    <row r="5" spans="1:19" s="34" customFormat="1" ht="25" customHeight="1">
      <c r="A5" s="259" t="s">
        <v>126</v>
      </c>
      <c r="B5" s="259"/>
      <c r="C5" s="259"/>
      <c r="D5" s="259"/>
      <c r="E5" s="259"/>
      <c r="F5" s="259"/>
      <c r="G5" s="259"/>
      <c r="H5" s="259"/>
      <c r="I5" s="259"/>
      <c r="J5" s="259" t="s">
        <v>126</v>
      </c>
      <c r="K5" s="259"/>
      <c r="L5" s="259"/>
      <c r="M5" s="259"/>
      <c r="N5" s="259"/>
      <c r="O5" s="259"/>
      <c r="P5" s="259"/>
      <c r="Q5" s="259"/>
      <c r="R5" s="259"/>
    </row>
    <row r="6" spans="1:19" s="34" customFormat="1" ht="22" customHeight="1">
      <c r="A6" s="259" t="s">
        <v>127</v>
      </c>
      <c r="B6" s="259"/>
      <c r="C6" s="259"/>
      <c r="D6" s="259"/>
      <c r="E6" s="259"/>
      <c r="F6" s="259"/>
      <c r="G6" s="259"/>
      <c r="H6" s="259"/>
      <c r="I6" s="259"/>
      <c r="J6" s="259" t="s">
        <v>127</v>
      </c>
      <c r="K6" s="259"/>
      <c r="L6" s="259"/>
      <c r="M6" s="259"/>
      <c r="N6" s="259"/>
      <c r="O6" s="259"/>
      <c r="P6" s="259"/>
      <c r="Q6" s="259"/>
      <c r="R6" s="259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72" t="s">
        <v>96</v>
      </c>
      <c r="B9" s="272"/>
      <c r="C9" s="272"/>
      <c r="D9" s="272"/>
      <c r="E9" s="272"/>
      <c r="F9" s="272"/>
      <c r="G9" s="272"/>
      <c r="H9" s="272"/>
      <c r="I9" s="272"/>
      <c r="J9" s="255" t="s">
        <v>168</v>
      </c>
      <c r="K9" s="255"/>
      <c r="L9" s="255"/>
      <c r="M9" s="255"/>
      <c r="N9" s="255"/>
      <c r="O9" s="255"/>
      <c r="P9" s="255"/>
      <c r="Q9" s="255"/>
      <c r="R9" s="255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6" t="s">
        <v>357</v>
      </c>
      <c r="B12" s="266"/>
      <c r="C12" s="266"/>
      <c r="D12" s="266"/>
      <c r="F12" s="253" t="s">
        <v>107</v>
      </c>
      <c r="G12" s="253"/>
      <c r="H12" s="253"/>
      <c r="I12" s="101" t="s">
        <v>263</v>
      </c>
      <c r="J12" s="124" t="str">
        <f t="shared" ref="J12:J20" si="0">A12</f>
        <v>ឈ្មោះអតិថិជន /Customer: ជេអ អឹភែរឹល ឯ.ក</v>
      </c>
      <c r="K12" s="38"/>
      <c r="O12" s="253" t="s">
        <v>194</v>
      </c>
      <c r="P12" s="253"/>
      <c r="Q12" s="253"/>
      <c r="R12" s="101" t="s">
        <v>264</v>
      </c>
      <c r="S12" s="160" t="s">
        <v>265</v>
      </c>
    </row>
    <row r="13" spans="1:19" ht="20.149999999999999" customHeight="1">
      <c r="A13" s="268" t="s">
        <v>189</v>
      </c>
      <c r="B13" s="268"/>
      <c r="C13" s="268"/>
      <c r="D13" s="268"/>
      <c r="E13" s="253" t="s">
        <v>106</v>
      </c>
      <c r="F13" s="253"/>
      <c r="G13" s="253"/>
      <c r="H13" s="253"/>
      <c r="I13" s="102">
        <v>46275</v>
      </c>
      <c r="J13" s="115" t="str">
        <f t="shared" si="0"/>
        <v>JR APPAREL CO.,LTD</v>
      </c>
      <c r="K13" s="35"/>
      <c r="N13" s="253" t="s">
        <v>195</v>
      </c>
      <c r="O13" s="253"/>
      <c r="P13" s="253"/>
      <c r="Q13" s="253"/>
      <c r="R13" s="123">
        <f>I13</f>
        <v>46275</v>
      </c>
    </row>
    <row r="14" spans="1:19" ht="25" customHeight="1">
      <c r="A14" s="269" t="s">
        <v>184</v>
      </c>
      <c r="B14" s="269"/>
      <c r="C14" s="269"/>
      <c r="D14" s="269"/>
      <c r="E14" s="269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43" t="s">
        <v>186</v>
      </c>
      <c r="B15" s="243"/>
      <c r="C15" s="243"/>
      <c r="D15" s="243"/>
      <c r="E15" s="243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5" t="s">
        <v>183</v>
      </c>
      <c r="B16" s="265"/>
      <c r="C16" s="265"/>
      <c r="D16" s="265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190</v>
      </c>
      <c r="H17" s="120"/>
      <c r="I17" s="120"/>
      <c r="J17" s="46" t="str">
        <f t="shared" si="0"/>
        <v>SHIPPER:</v>
      </c>
      <c r="L17" s="46" t="str">
        <f>C17</f>
        <v>JR APPAREL CO., LTD.</v>
      </c>
      <c r="Q17" s="120"/>
      <c r="R17" s="120"/>
    </row>
    <row r="18" spans="1:19" s="46" customFormat="1" ht="19.5" customHeight="1">
      <c r="A18" s="46" t="s">
        <v>110</v>
      </c>
      <c r="C18" s="46" t="s">
        <v>242</v>
      </c>
      <c r="G18" s="254" t="s">
        <v>157</v>
      </c>
      <c r="H18" s="254"/>
      <c r="I18" s="81">
        <v>16194.3</v>
      </c>
      <c r="J18" s="46" t="str">
        <f t="shared" si="0"/>
        <v>CONSIGNEE :</v>
      </c>
      <c r="L18" s="46" t="str">
        <f>C18</f>
        <v>CHAPTERONE SPORTSWEAR</v>
      </c>
      <c r="P18" s="254" t="str">
        <f>G18</f>
        <v>GROSS WEIGHT:</v>
      </c>
      <c r="Q18" s="254"/>
      <c r="R18" s="81">
        <f>I18</f>
        <v>16194.3</v>
      </c>
    </row>
    <row r="19" spans="1:19" s="46" customFormat="1" ht="19.5" customHeight="1">
      <c r="A19" s="46" t="s">
        <v>112</v>
      </c>
      <c r="B19" s="231" t="s">
        <v>358</v>
      </c>
      <c r="D19" s="58" t="s">
        <v>111</v>
      </c>
      <c r="E19" s="148" t="s">
        <v>272</v>
      </c>
      <c r="H19" s="80" t="s">
        <v>158</v>
      </c>
      <c r="I19" s="121" t="s">
        <v>202</v>
      </c>
      <c r="J19" s="46" t="str">
        <f t="shared" si="0"/>
        <v>HBL:</v>
      </c>
      <c r="K19" s="271" t="str">
        <f>B19</f>
        <v>COSU6464270110</v>
      </c>
      <c r="L19" s="271"/>
      <c r="M19" s="58" t="s">
        <v>111</v>
      </c>
      <c r="N19" s="148" t="str">
        <f>E19</f>
        <v>1X45'HQ</v>
      </c>
      <c r="Q19" s="80" t="s">
        <v>158</v>
      </c>
      <c r="R19" s="121" t="str">
        <f>I19</f>
        <v>PNH PORT</v>
      </c>
    </row>
    <row r="20" spans="1:19" s="46" customFormat="1" ht="19.5" customHeight="1">
      <c r="A20" s="58" t="s">
        <v>116</v>
      </c>
      <c r="B20" s="172" t="s">
        <v>277</v>
      </c>
      <c r="C20" s="96"/>
      <c r="D20" s="58" t="s">
        <v>113</v>
      </c>
      <c r="E20" s="221" t="s">
        <v>276</v>
      </c>
      <c r="H20" s="80" t="s">
        <v>159</v>
      </c>
      <c r="I20" s="157" t="s">
        <v>246</v>
      </c>
      <c r="J20" s="58" t="str">
        <f t="shared" si="0"/>
        <v>PKGS:</v>
      </c>
      <c r="K20" s="172" t="str">
        <f>B20</f>
        <v>982 CTNS</v>
      </c>
      <c r="L20" s="96"/>
      <c r="M20" s="58" t="s">
        <v>113</v>
      </c>
      <c r="N20" s="148" t="str">
        <f>E20</f>
        <v>CSNU9538620</v>
      </c>
      <c r="Q20" s="80" t="s">
        <v>159</v>
      </c>
      <c r="R20" s="73" t="str">
        <f>I20</f>
        <v>USA</v>
      </c>
    </row>
    <row r="21" spans="1:19" ht="15" customHeight="1" thickBot="1">
      <c r="A21" s="44"/>
      <c r="B21" s="35"/>
      <c r="G21" s="249">
        <v>4052</v>
      </c>
      <c r="H21" s="249"/>
      <c r="I21" s="249"/>
      <c r="J21" s="44"/>
      <c r="K21" s="35"/>
      <c r="P21" s="249">
        <f>G21</f>
        <v>4052</v>
      </c>
      <c r="Q21" s="249"/>
      <c r="R21" s="249"/>
    </row>
    <row r="22" spans="1:19" s="36" customFormat="1" ht="30" customHeight="1">
      <c r="A22" s="78" t="s">
        <v>0</v>
      </c>
      <c r="B22" s="250" t="s">
        <v>1</v>
      </c>
      <c r="C22" s="250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0" t="s">
        <v>1</v>
      </c>
      <c r="L22" s="250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51" t="s">
        <v>6</v>
      </c>
      <c r="C23" s="251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51" t="s">
        <v>6</v>
      </c>
      <c r="L23" s="251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199</v>
      </c>
      <c r="C25" s="270"/>
      <c r="D25" s="52">
        <v>1</v>
      </c>
      <c r="E25" s="143" t="s">
        <v>274</v>
      </c>
      <c r="F25" s="48">
        <v>242</v>
      </c>
      <c r="G25" s="48">
        <f>ROUND(F25*D25,2)</f>
        <v>242</v>
      </c>
      <c r="H25" s="48">
        <f>G25*10%</f>
        <v>24.200000000000003</v>
      </c>
      <c r="I25" s="48">
        <f>H25+G25</f>
        <v>266.2</v>
      </c>
      <c r="J25" s="143">
        <v>1</v>
      </c>
      <c r="K25" s="159" t="s">
        <v>230</v>
      </c>
      <c r="L25" s="159"/>
      <c r="M25" s="52">
        <v>1</v>
      </c>
      <c r="N25" s="143" t="s">
        <v>274</v>
      </c>
      <c r="O25" s="48">
        <v>77</v>
      </c>
      <c r="P25" s="48">
        <f t="shared" ref="P25:P26" si="1">O25*M25</f>
        <v>77</v>
      </c>
      <c r="Q25" s="48">
        <v>0</v>
      </c>
      <c r="R25" s="48">
        <f>Q25+P25</f>
        <v>77</v>
      </c>
    </row>
    <row r="26" spans="1:19" ht="25" customHeight="1">
      <c r="A26" s="142"/>
      <c r="B26" s="147"/>
      <c r="C26" s="147"/>
      <c r="D26" s="52"/>
      <c r="E26" s="143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274</v>
      </c>
      <c r="O26" s="48">
        <v>21.25</v>
      </c>
      <c r="P26" s="48">
        <f t="shared" si="1"/>
        <v>21.25</v>
      </c>
      <c r="Q26" s="48">
        <v>0</v>
      </c>
      <c r="R26" s="48">
        <f>Q26+P26</f>
        <v>21.25</v>
      </c>
    </row>
    <row r="27" spans="1:19" ht="25" customHeight="1">
      <c r="A27" s="142"/>
      <c r="B27" s="147"/>
      <c r="C27" s="147"/>
      <c r="D27" s="52"/>
      <c r="E27" s="143"/>
      <c r="F27" s="48"/>
      <c r="G27" s="48"/>
      <c r="H27" s="48"/>
      <c r="I27" s="48"/>
      <c r="J27" s="143">
        <v>3</v>
      </c>
      <c r="K27" s="159" t="s">
        <v>205</v>
      </c>
      <c r="L27" s="159"/>
      <c r="M27" s="52">
        <v>1</v>
      </c>
      <c r="N27" s="143" t="s">
        <v>274</v>
      </c>
      <c r="O27" s="48">
        <v>539</v>
      </c>
      <c r="P27" s="48">
        <f t="shared" ref="P27" si="2">O27*M27</f>
        <v>539</v>
      </c>
      <c r="Q27" s="48">
        <v>0</v>
      </c>
      <c r="R27" s="48">
        <f>Q27+P27</f>
        <v>539</v>
      </c>
    </row>
    <row r="28" spans="1:19" ht="9" customHeight="1" thickBot="1">
      <c r="A28" s="49"/>
      <c r="B28" s="252"/>
      <c r="C28" s="252"/>
      <c r="D28" s="53"/>
      <c r="E28" s="51"/>
      <c r="F28" s="50"/>
      <c r="G28" s="50"/>
      <c r="H28" s="50"/>
      <c r="I28" s="50"/>
      <c r="J28" s="49"/>
      <c r="K28" s="252"/>
      <c r="L28" s="252"/>
      <c r="M28" s="53"/>
      <c r="N28" s="51"/>
      <c r="O28" s="50"/>
      <c r="P28" s="50"/>
      <c r="Q28" s="50"/>
      <c r="R28" s="50"/>
    </row>
    <row r="29" spans="1:19" s="36" customFormat="1" ht="25" customHeight="1">
      <c r="C29" s="267" t="s">
        <v>163</v>
      </c>
      <c r="D29" s="267"/>
      <c r="E29" s="90" t="s">
        <v>162</v>
      </c>
      <c r="F29" s="262">
        <f>$I$29*G21</f>
        <v>980584</v>
      </c>
      <c r="G29" s="262"/>
      <c r="H29" s="93" t="s">
        <v>144</v>
      </c>
      <c r="I29" s="86">
        <f>SUM(G25:G28)</f>
        <v>242</v>
      </c>
      <c r="L29" s="267" t="s">
        <v>163</v>
      </c>
      <c r="M29" s="267"/>
      <c r="N29" s="267"/>
      <c r="O29" s="267"/>
      <c r="P29" s="267"/>
      <c r="Q29" s="93" t="s">
        <v>144</v>
      </c>
      <c r="R29" s="86">
        <f>SUM(R24:R28)</f>
        <v>637.25</v>
      </c>
    </row>
    <row r="30" spans="1:19" s="36" customFormat="1" ht="25" customHeight="1">
      <c r="C30" s="260" t="s">
        <v>161</v>
      </c>
      <c r="D30" s="260"/>
      <c r="E30" s="91" t="s">
        <v>162</v>
      </c>
      <c r="F30" s="263">
        <f>$I$30*$G$21</f>
        <v>98058.4</v>
      </c>
      <c r="G30" s="263"/>
      <c r="H30" s="94" t="s">
        <v>144</v>
      </c>
      <c r="I30" s="87">
        <f>ROUND(SUM(H25:H28),2)</f>
        <v>24.2</v>
      </c>
      <c r="L30" s="260" t="s">
        <v>171</v>
      </c>
      <c r="M30" s="260"/>
      <c r="N30" s="260"/>
      <c r="O30" s="260"/>
      <c r="P30" s="260"/>
      <c r="Q30" s="94" t="s">
        <v>144</v>
      </c>
      <c r="R30" s="87">
        <v>0</v>
      </c>
    </row>
    <row r="31" spans="1:19" ht="25" customHeight="1" thickBot="1">
      <c r="A31" s="88"/>
      <c r="B31" s="88"/>
      <c r="C31" s="261" t="s">
        <v>164</v>
      </c>
      <c r="D31" s="261"/>
      <c r="E31" s="92" t="s">
        <v>162</v>
      </c>
      <c r="F31" s="264">
        <f>I31*$G$21</f>
        <v>1078642.3999999999</v>
      </c>
      <c r="G31" s="264"/>
      <c r="H31" s="95" t="s">
        <v>144</v>
      </c>
      <c r="I31" s="89">
        <f>$I$29+$I$30</f>
        <v>266.2</v>
      </c>
      <c r="J31" s="88"/>
      <c r="K31" s="88"/>
      <c r="L31" s="261" t="s">
        <v>164</v>
      </c>
      <c r="M31" s="261"/>
      <c r="N31" s="261"/>
      <c r="O31" s="261"/>
      <c r="P31" s="261"/>
      <c r="Q31" s="95" t="s">
        <v>144</v>
      </c>
      <c r="R31" s="89">
        <f>SUM(R29:R30)</f>
        <v>637.25</v>
      </c>
      <c r="S31" s="165">
        <f>SUM(I31+R31)</f>
        <v>903.45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0" s="67" customFormat="1" ht="14">
      <c r="A33" s="84" t="s">
        <v>128</v>
      </c>
      <c r="J33" s="84" t="s">
        <v>128</v>
      </c>
    </row>
    <row r="34" spans="1:10" s="67" customFormat="1" ht="14">
      <c r="A34" s="85" t="s">
        <v>98</v>
      </c>
      <c r="J34" s="85" t="s">
        <v>98</v>
      </c>
    </row>
    <row r="35" spans="1:10" s="67" customFormat="1" ht="14">
      <c r="A35" s="84" t="s">
        <v>129</v>
      </c>
      <c r="J35" s="84" t="s">
        <v>129</v>
      </c>
    </row>
    <row r="36" spans="1:10" s="67" customFormat="1" ht="14">
      <c r="A36" s="84" t="s">
        <v>130</v>
      </c>
      <c r="J36" s="84" t="s">
        <v>130</v>
      </c>
    </row>
    <row r="37" spans="1:10" s="67" customFormat="1" ht="14">
      <c r="A37" s="84" t="s">
        <v>160</v>
      </c>
      <c r="J37" s="84" t="s">
        <v>160</v>
      </c>
    </row>
    <row r="38" spans="1:10" s="67" customFormat="1" ht="14">
      <c r="A38" s="84" t="s">
        <v>131</v>
      </c>
      <c r="J38" s="84" t="s">
        <v>131</v>
      </c>
    </row>
    <row r="39" spans="1:10" s="67" customFormat="1" ht="14">
      <c r="A39" s="84"/>
      <c r="J39" s="84"/>
    </row>
    <row r="40" spans="1:10">
      <c r="A40" s="84"/>
      <c r="J40" s="84"/>
    </row>
    <row r="41" spans="1:10">
      <c r="A41" s="84"/>
      <c r="J41" s="84"/>
    </row>
    <row r="42" spans="1:10">
      <c r="A42" s="84"/>
      <c r="J42" s="84"/>
    </row>
    <row r="43" spans="1:10">
      <c r="A43" s="84"/>
      <c r="J43" s="84"/>
    </row>
    <row r="44" spans="1:10">
      <c r="A44" s="84"/>
      <c r="J44" s="84"/>
    </row>
    <row r="45" spans="1:10">
      <c r="A45" s="84"/>
      <c r="J45" s="84"/>
    </row>
    <row r="46" spans="1:10">
      <c r="A46" s="84"/>
      <c r="J46" s="84"/>
    </row>
    <row r="47" spans="1:10">
      <c r="A47" s="84"/>
      <c r="J47" s="84"/>
    </row>
    <row r="48" spans="1:10">
      <c r="A48" s="84"/>
      <c r="J48" s="84"/>
    </row>
    <row r="49" spans="1:18" ht="23.25" customHeight="1">
      <c r="A49" s="32" t="s">
        <v>99</v>
      </c>
      <c r="G49" s="32" t="s">
        <v>100</v>
      </c>
      <c r="J49" s="32" t="s">
        <v>99</v>
      </c>
      <c r="P49" s="32" t="s">
        <v>100</v>
      </c>
    </row>
    <row r="50" spans="1:18" ht="30">
      <c r="A50" s="63" t="s">
        <v>9</v>
      </c>
      <c r="B50" s="64"/>
      <c r="C50" s="55"/>
      <c r="D50" s="55"/>
      <c r="E50" s="55"/>
      <c r="F50" s="55"/>
      <c r="G50" s="61" t="s">
        <v>10</v>
      </c>
      <c r="H50" s="61"/>
      <c r="I50" s="61"/>
      <c r="J50" s="63" t="s">
        <v>9</v>
      </c>
      <c r="K50" s="64"/>
      <c r="L50" s="55"/>
      <c r="M50" s="55"/>
      <c r="N50" s="55"/>
      <c r="O50" s="55"/>
      <c r="P50" s="61" t="s">
        <v>10</v>
      </c>
      <c r="Q50" s="61"/>
      <c r="R50" s="61"/>
    </row>
    <row r="51" spans="1:18" ht="20.25" customHeight="1">
      <c r="A51" s="65" t="s">
        <v>114</v>
      </c>
      <c r="B51" s="66"/>
      <c r="C51" s="56"/>
      <c r="D51" s="55"/>
      <c r="E51" s="55"/>
      <c r="F51" s="55"/>
      <c r="G51" s="55"/>
      <c r="H51" s="55"/>
      <c r="I51" s="55"/>
      <c r="J51" s="65" t="s">
        <v>114</v>
      </c>
      <c r="K51" s="66"/>
      <c r="L51" s="56"/>
      <c r="M51" s="55"/>
      <c r="N51" s="55"/>
      <c r="O51" s="55"/>
      <c r="P51" s="55"/>
      <c r="Q51" s="55"/>
      <c r="R51" s="55"/>
    </row>
    <row r="52" spans="1:18" ht="18" customHeight="1">
      <c r="A52" s="58" t="s">
        <v>115</v>
      </c>
      <c r="B52" s="57"/>
      <c r="C52" s="55"/>
      <c r="D52" s="55"/>
      <c r="E52" s="55"/>
      <c r="F52" s="55"/>
      <c r="G52" s="55"/>
      <c r="H52" s="55"/>
      <c r="I52" s="55"/>
      <c r="J52" s="58" t="s">
        <v>115</v>
      </c>
      <c r="K52" s="57"/>
      <c r="L52" s="55"/>
      <c r="M52" s="55"/>
      <c r="N52" s="55"/>
      <c r="O52" s="55"/>
      <c r="P52" s="55"/>
      <c r="Q52" s="55"/>
      <c r="R52" s="55"/>
    </row>
    <row r="53" spans="1:18" ht="27.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</row>
    <row r="57" spans="1:18" ht="23">
      <c r="A57" s="39"/>
      <c r="J57" s="39"/>
    </row>
  </sheetData>
  <dataConsolidate/>
  <mergeCells count="44">
    <mergeCell ref="A2:I2"/>
    <mergeCell ref="J2:R2"/>
    <mergeCell ref="A3:I3"/>
    <mergeCell ref="J3:R3"/>
    <mergeCell ref="C4:G4"/>
    <mergeCell ref="L4:P4"/>
    <mergeCell ref="A5:I5"/>
    <mergeCell ref="J5:R5"/>
    <mergeCell ref="A6:I6"/>
    <mergeCell ref="J6:R6"/>
    <mergeCell ref="A9:I9"/>
    <mergeCell ref="J9:R9"/>
    <mergeCell ref="K19:L19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B28:C28"/>
    <mergeCell ref="K28:L28"/>
    <mergeCell ref="G21:I21"/>
    <mergeCell ref="P21:R21"/>
    <mergeCell ref="B22:C22"/>
    <mergeCell ref="K22:L22"/>
    <mergeCell ref="B23:C23"/>
    <mergeCell ref="K23:L23"/>
    <mergeCell ref="B25:C25"/>
    <mergeCell ref="C31:D31"/>
    <mergeCell ref="F31:G31"/>
    <mergeCell ref="L31:P31"/>
    <mergeCell ref="C29:D29"/>
    <mergeCell ref="F29:G29"/>
    <mergeCell ref="L29:P29"/>
    <mergeCell ref="C30:D30"/>
    <mergeCell ref="F30:G30"/>
    <mergeCell ref="L30:P30"/>
  </mergeCells>
  <conditionalFormatting sqref="S12">
    <cfRule type="duplicateValues" dxfId="17" priority="1"/>
    <cfRule type="duplicateValues" dxfId="16" priority="2"/>
  </conditionalFormatting>
  <dataValidations count="9">
    <dataValidation type="list" allowBlank="1" showInputMessage="1" showErrorMessage="1" sqref="I20" xr:uid="{00000000-0002-0000-0200-000000000000}">
      <formula1>"DENMARK,BRAZIL,UK,SHV PORT,CANADA,PNH PORT,HLH,PNH IN'T,USA,OLAIR,DK,SPAIN"</formula1>
    </dataValidation>
    <dataValidation type="list" allowBlank="1" showInputMessage="1" showErrorMessage="1" sqref="E26:E27" xr:uid="{00000000-0002-0000-0200-000001000000}">
      <formula1>"SET,40H,20G,TRUCK,LCL"</formula1>
    </dataValidation>
    <dataValidation type="list" allowBlank="1" showInputMessage="1" showErrorMessage="1" sqref="B25:C27" xr:uid="{00000000-0002-0000-0200-000002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A17" xr:uid="{00000000-0002-0000-0200-000003000000}">
      <formula1>"លេខ អ ត ប (VATTIN)  : L001-901805758"</formula1>
    </dataValidation>
    <dataValidation type="list" allowBlank="1" showInputMessage="1" showErrorMessage="1" sqref="L25:L27 K25" xr:uid="{00000000-0002-0000-0200-000004000000}">
      <formula1>"AWB FEE,STORAGE FEE,THC FEE,WAREHOUSE FEE,CUSTOM PROCESSING FEE,LOLO AT PORT,LOLO EMPTY CONTAINER"</formula1>
    </dataValidation>
    <dataValidation type="list" allowBlank="1" showInputMessage="1" showErrorMessage="1" sqref="K26" xr:uid="{00000000-0002-0000-0200-000005000000}">
      <formula1>"AWB FEE,STORAGE FEE,THC FEE,HBL FEE,WAREHOUSE FEE,CUSTOM PROCESSING FEE,LOLO AT PORT,LOLO EMPTY CONTAINER"</formula1>
    </dataValidation>
    <dataValidation type="list" allowBlank="1" showInputMessage="1" showErrorMessage="1" sqref="I19" xr:uid="{00000000-0002-0000-0200-000006000000}">
      <formula1>"ITALY,PNH IN'T,SHV PORT,BAVET CEO,PNH PORT,HK,JP,CHINA,VN"</formula1>
    </dataValidation>
    <dataValidation type="list" allowBlank="1" showInputMessage="1" showErrorMessage="1" sqref="E25 N25:N27" xr:uid="{00000000-0002-0000-0200-000007000000}">
      <formula1>"SET,40H,45H,20G,TRUCK,LCL"</formula1>
    </dataValidation>
    <dataValidation type="list" allowBlank="1" showInputMessage="1" showErrorMessage="1" sqref="K27" xr:uid="{00000000-0002-0000-0200-000008000000}">
      <formula1>"STORAGE FEE,THC FEE,HBL FEE,WAREHOUSE FEE,CUSTOM PROCESSING FEE,LOLO AT PORT,LOLO EMPTY CONTAINER"</formula1>
    </dataValidation>
  </dataValidations>
  <printOptions horizontalCentered="1"/>
  <pageMargins left="0.2" right="0.2" top="0.25" bottom="0.1" header="0.05" footer="0.05"/>
  <pageSetup paperSize="9" scale="85" orientation="portrait" r:id="rId1"/>
  <colBreaks count="1" manualBreakCount="1">
    <brk id="9" max="5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H51"/>
  <sheetViews>
    <sheetView view="pageBreakPreview" zoomScaleNormal="100" zoomScaleSheetLayoutView="100" workbookViewId="0">
      <selection activeCell="A47" sqref="A46:XFD47"/>
    </sheetView>
  </sheetViews>
  <sheetFormatPr defaultColWidth="8.81640625" defaultRowHeight="14.5"/>
  <cols>
    <col min="1" max="1" width="10.26953125" customWidth="1"/>
    <col min="2" max="2" width="0.7265625" customWidth="1"/>
    <col min="3" max="3" width="40.26953125" customWidth="1"/>
    <col min="4" max="4" width="9.26953125" customWidth="1"/>
    <col min="5" max="5" width="8.453125" customWidth="1"/>
    <col min="6" max="6" width="10.26953125" customWidth="1"/>
    <col min="7" max="7" width="13.26953125" customWidth="1"/>
    <col min="8" max="8" width="11.453125" customWidth="1"/>
  </cols>
  <sheetData>
    <row r="1" spans="1:8" ht="18">
      <c r="A1" s="276" t="s">
        <v>172</v>
      </c>
      <c r="B1" s="276"/>
      <c r="C1" s="276"/>
      <c r="D1" s="276"/>
      <c r="E1" s="276"/>
      <c r="F1" s="276"/>
      <c r="G1" s="276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266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'366'!$I$13</f>
        <v>46275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'366'!$B$19</f>
        <v>COSU6464270110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'366'!$I$18</f>
        <v>16194.3</v>
      </c>
      <c r="D10" s="67"/>
      <c r="E10" s="67"/>
      <c r="F10" s="103" t="s">
        <v>158</v>
      </c>
      <c r="G10" s="104" t="str">
        <f>'366'!$I$19</f>
        <v>PNH PORT</v>
      </c>
    </row>
    <row r="11" spans="1:8">
      <c r="A11" s="103" t="s">
        <v>111</v>
      </c>
      <c r="B11" s="98" t="s">
        <v>119</v>
      </c>
      <c r="C11" s="105" t="str">
        <f>'366'!$E$19</f>
        <v>1X45'HQ</v>
      </c>
      <c r="D11" s="82"/>
      <c r="E11" s="82"/>
      <c r="F11" s="103" t="s">
        <v>159</v>
      </c>
      <c r="G11" s="104" t="str">
        <f>'366'!$I$20</f>
        <v>USA</v>
      </c>
    </row>
    <row r="12" spans="1:8">
      <c r="A12" s="103" t="s">
        <v>113</v>
      </c>
      <c r="B12" s="98" t="s">
        <v>119</v>
      </c>
      <c r="C12" s="106" t="str">
        <f>'366'!$E$20</f>
        <v>CSNU9538620</v>
      </c>
      <c r="D12" s="82"/>
      <c r="E12" s="82"/>
      <c r="F12" s="103" t="s">
        <v>116</v>
      </c>
      <c r="G12" s="107" t="str">
        <f>'366'!$B$20</f>
        <v>982 CTNS</v>
      </c>
    </row>
    <row r="13" spans="1:8">
      <c r="A13" s="103" t="s">
        <v>136</v>
      </c>
      <c r="B13" s="98" t="s">
        <v>119</v>
      </c>
      <c r="C13" s="67" t="str">
        <f>'366'!$C$17</f>
        <v>JR APPAREL CO., LTD.</v>
      </c>
      <c r="D13" s="67"/>
      <c r="E13" s="67"/>
      <c r="F13" s="67"/>
      <c r="G13" s="128"/>
    </row>
    <row r="14" spans="1:8">
      <c r="A14" s="103" t="s">
        <v>137</v>
      </c>
      <c r="B14" s="98" t="s">
        <v>119</v>
      </c>
      <c r="C14" s="67" t="str">
        <f>'366'!$C$18</f>
        <v>CHAPTERONE SPORTSWEAR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7" t="s">
        <v>138</v>
      </c>
      <c r="B16" s="278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'366'!S12</f>
        <v>E 272714</v>
      </c>
    </row>
    <row r="17" spans="1:8" s="116" customFormat="1" ht="14">
      <c r="A17" s="279">
        <v>1</v>
      </c>
      <c r="B17" s="280"/>
      <c r="C17" s="186" t="s">
        <v>192</v>
      </c>
      <c r="D17" s="206">
        <v>1</v>
      </c>
      <c r="E17" s="207" t="s">
        <v>274</v>
      </c>
      <c r="F17" s="208">
        <v>260</v>
      </c>
      <c r="G17" s="209">
        <f>ROUND(F17*D17,2)</f>
        <v>260</v>
      </c>
    </row>
    <row r="18" spans="1:8">
      <c r="A18" s="279">
        <v>2</v>
      </c>
      <c r="B18" s="280"/>
      <c r="C18" s="186" t="s">
        <v>177</v>
      </c>
      <c r="D18" s="206">
        <v>1</v>
      </c>
      <c r="E18" s="207" t="s">
        <v>274</v>
      </c>
      <c r="F18" s="210">
        <v>35</v>
      </c>
      <c r="G18" s="209">
        <f t="shared" ref="G18:G25" si="0">ROUND(F18*D18,2)</f>
        <v>35</v>
      </c>
    </row>
    <row r="19" spans="1:8">
      <c r="A19" s="279">
        <v>3</v>
      </c>
      <c r="B19" s="280"/>
      <c r="C19" s="186" t="s">
        <v>212</v>
      </c>
      <c r="D19" s="206">
        <v>1</v>
      </c>
      <c r="E19" s="207" t="s">
        <v>207</v>
      </c>
      <c r="F19" s="210">
        <v>169</v>
      </c>
      <c r="G19" s="209">
        <f t="shared" si="0"/>
        <v>169</v>
      </c>
      <c r="H19" s="185">
        <f>G17*65%</f>
        <v>169</v>
      </c>
    </row>
    <row r="20" spans="1:8">
      <c r="A20" s="279">
        <v>4</v>
      </c>
      <c r="B20" s="280"/>
      <c r="C20" s="186" t="s">
        <v>200</v>
      </c>
      <c r="D20" s="206">
        <v>1</v>
      </c>
      <c r="E20" s="207" t="s">
        <v>156</v>
      </c>
      <c r="F20" s="210">
        <v>25</v>
      </c>
      <c r="G20" s="209">
        <f t="shared" ref="G20" si="1">ROUND(F20*D20,2)</f>
        <v>25</v>
      </c>
    </row>
    <row r="21" spans="1:8">
      <c r="A21" s="279">
        <v>5</v>
      </c>
      <c r="B21" s="280"/>
      <c r="C21" s="186" t="s">
        <v>201</v>
      </c>
      <c r="D21" s="206">
        <v>1</v>
      </c>
      <c r="E21" s="207" t="s">
        <v>203</v>
      </c>
      <c r="F21" s="210">
        <v>20</v>
      </c>
      <c r="G21" s="209">
        <f>ROUND(F21*D21,2)</f>
        <v>20</v>
      </c>
    </row>
    <row r="22" spans="1:8">
      <c r="A22" s="279">
        <v>6</v>
      </c>
      <c r="B22" s="280"/>
      <c r="C22" s="186" t="s">
        <v>275</v>
      </c>
      <c r="D22" s="206">
        <v>1</v>
      </c>
      <c r="E22" s="207" t="s">
        <v>237</v>
      </c>
      <c r="F22" s="210">
        <v>69</v>
      </c>
      <c r="G22" s="209">
        <f t="shared" ref="G22:G23" si="2">ROUND(F22*D22,2)</f>
        <v>69</v>
      </c>
    </row>
    <row r="23" spans="1:8">
      <c r="A23" s="279">
        <v>7</v>
      </c>
      <c r="B23" s="280"/>
      <c r="C23" s="186" t="s">
        <v>179</v>
      </c>
      <c r="D23" s="206">
        <v>1</v>
      </c>
      <c r="E23" s="207" t="s">
        <v>274</v>
      </c>
      <c r="F23" s="210">
        <v>40</v>
      </c>
      <c r="G23" s="209">
        <f t="shared" si="2"/>
        <v>40</v>
      </c>
    </row>
    <row r="24" spans="1:8">
      <c r="A24" s="279">
        <v>8</v>
      </c>
      <c r="B24" s="280"/>
      <c r="C24" s="186" t="s">
        <v>312</v>
      </c>
      <c r="D24" s="206">
        <v>1</v>
      </c>
      <c r="E24" s="207" t="s">
        <v>211</v>
      </c>
      <c r="F24" s="210">
        <v>40</v>
      </c>
      <c r="G24" s="209">
        <f t="shared" si="0"/>
        <v>40</v>
      </c>
    </row>
    <row r="25" spans="1:8">
      <c r="A25" s="279">
        <v>9</v>
      </c>
      <c r="B25" s="280"/>
      <c r="C25" s="186" t="s">
        <v>236</v>
      </c>
      <c r="D25" s="206">
        <v>1</v>
      </c>
      <c r="E25" s="207" t="s">
        <v>274</v>
      </c>
      <c r="F25" s="210">
        <v>49.5</v>
      </c>
      <c r="G25" s="209">
        <f t="shared" si="0"/>
        <v>49.5</v>
      </c>
    </row>
    <row r="26" spans="1:8">
      <c r="A26" s="67"/>
      <c r="B26" s="67"/>
      <c r="D26" s="110" t="s">
        <v>143</v>
      </c>
      <c r="E26" s="110"/>
      <c r="F26" s="111" t="s">
        <v>144</v>
      </c>
      <c r="G26" s="112">
        <f>SUM(G17:G25)</f>
        <v>707.5</v>
      </c>
    </row>
    <row r="27" spans="1:8">
      <c r="A27" s="67"/>
      <c r="B27" s="67"/>
      <c r="C27" s="67"/>
      <c r="D27" s="67"/>
      <c r="E27" s="67"/>
      <c r="F27" s="67"/>
      <c r="G27" s="67"/>
    </row>
    <row r="28" spans="1:8">
      <c r="A28" s="67"/>
      <c r="B28" s="67"/>
      <c r="C28" s="67"/>
      <c r="D28" s="67"/>
      <c r="E28" s="67"/>
      <c r="F28" s="67"/>
      <c r="G28" s="67"/>
    </row>
    <row r="29" spans="1:8">
      <c r="A29" s="67"/>
      <c r="B29" s="67"/>
      <c r="C29" s="67"/>
      <c r="D29" s="67"/>
      <c r="E29" s="67"/>
      <c r="F29" s="67"/>
      <c r="G29" s="67"/>
    </row>
    <row r="30" spans="1:8">
      <c r="A30" s="67"/>
      <c r="B30" s="67"/>
      <c r="C30" s="32" t="s">
        <v>249</v>
      </c>
      <c r="D30" s="32"/>
      <c r="E30" s="32"/>
      <c r="F30" s="32"/>
      <c r="G30" s="32"/>
    </row>
    <row r="31" spans="1:8">
      <c r="A31" s="67"/>
      <c r="B31" s="67"/>
      <c r="C31" s="32"/>
      <c r="D31" s="32"/>
      <c r="E31" s="32"/>
      <c r="F31" s="32"/>
      <c r="G31" s="32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114"/>
      <c r="B48" s="114"/>
      <c r="C48" s="67"/>
      <c r="D48" s="67"/>
      <c r="E48" s="67"/>
      <c r="F48" s="67"/>
      <c r="G48" s="67"/>
    </row>
    <row r="49" spans="1:7">
      <c r="A49" s="114"/>
      <c r="B49" s="114"/>
      <c r="C49" s="67"/>
      <c r="D49" s="67"/>
      <c r="E49" s="67"/>
      <c r="F49" s="67"/>
      <c r="G49" s="67"/>
    </row>
    <row r="50" spans="1:7">
      <c r="A50" s="114"/>
      <c r="B50" s="114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5" t="s">
        <v>145</v>
      </c>
      <c r="F51" s="275"/>
      <c r="G51" s="275"/>
    </row>
  </sheetData>
  <dataConsolidate/>
  <mergeCells count="12">
    <mergeCell ref="A18:B18"/>
    <mergeCell ref="A1:G1"/>
    <mergeCell ref="A16:B16"/>
    <mergeCell ref="A17:B17"/>
    <mergeCell ref="A19:B19"/>
    <mergeCell ref="A20:B20"/>
    <mergeCell ref="A25:B25"/>
    <mergeCell ref="E51:G51"/>
    <mergeCell ref="A22:B22"/>
    <mergeCell ref="A24:B24"/>
    <mergeCell ref="A23:B23"/>
    <mergeCell ref="A21:B21"/>
  </mergeCells>
  <printOptions horizontalCentered="1"/>
  <pageMargins left="0.45" right="0.45" top="0.75" bottom="0.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56"/>
  <sheetViews>
    <sheetView view="pageBreakPreview" topLeftCell="A16" zoomScale="47" zoomScaleNormal="100" zoomScaleSheetLayoutView="100" workbookViewId="0">
      <selection activeCell="F35" sqref="F35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3.453125" style="32" bestFit="1" customWidth="1"/>
    <col min="10" max="10" width="6.26953125" style="32" customWidth="1"/>
    <col min="11" max="11" width="13" style="32" customWidth="1"/>
    <col min="12" max="12" width="36.7265625" style="32" customWidth="1"/>
    <col min="13" max="13" width="8.7265625" style="32" customWidth="1"/>
    <col min="14" max="14" width="7.453125" style="32" customWidth="1"/>
    <col min="15" max="15" width="9.1796875" style="32"/>
    <col min="16" max="16" width="10.7265625" style="32" customWidth="1"/>
    <col min="17" max="17" width="10.453125" style="32" customWidth="1"/>
    <col min="18" max="18" width="13.453125" style="32" bestFit="1" customWidth="1"/>
    <col min="19" max="19" width="10" style="32" customWidth="1"/>
    <col min="20" max="16384" width="9.1796875" style="32"/>
  </cols>
  <sheetData>
    <row r="2" spans="1:19" ht="34.5" customHeight="1">
      <c r="A2" s="255" t="s">
        <v>97</v>
      </c>
      <c r="B2" s="255"/>
      <c r="C2" s="255"/>
      <c r="D2" s="255"/>
      <c r="E2" s="255"/>
      <c r="F2" s="255"/>
      <c r="G2" s="255"/>
      <c r="H2" s="255"/>
      <c r="I2" s="255"/>
      <c r="J2" s="255" t="s">
        <v>97</v>
      </c>
      <c r="K2" s="255"/>
      <c r="L2" s="255"/>
      <c r="M2" s="255"/>
      <c r="N2" s="255"/>
      <c r="O2" s="255"/>
      <c r="P2" s="255"/>
      <c r="Q2" s="255"/>
      <c r="R2" s="255"/>
    </row>
    <row r="3" spans="1:19" s="33" customFormat="1" ht="27.75" customHeight="1">
      <c r="A3" s="257" t="s">
        <v>98</v>
      </c>
      <c r="B3" s="257"/>
      <c r="C3" s="257"/>
      <c r="D3" s="257"/>
      <c r="E3" s="257"/>
      <c r="F3" s="257"/>
      <c r="G3" s="257"/>
      <c r="H3" s="257"/>
      <c r="I3" s="257"/>
      <c r="J3" s="257" t="s">
        <v>98</v>
      </c>
      <c r="K3" s="257"/>
      <c r="L3" s="257"/>
      <c r="M3" s="257"/>
      <c r="N3" s="257"/>
      <c r="O3" s="257"/>
      <c r="P3" s="257"/>
      <c r="Q3" s="257"/>
      <c r="R3" s="257"/>
    </row>
    <row r="4" spans="1:19" ht="19.5" customHeight="1">
      <c r="A4" s="59"/>
      <c r="B4" s="59"/>
      <c r="C4" s="258" t="s">
        <v>154</v>
      </c>
      <c r="D4" s="258"/>
      <c r="E4" s="258"/>
      <c r="F4" s="258"/>
      <c r="G4" s="258"/>
      <c r="H4" s="59"/>
      <c r="I4" s="59"/>
      <c r="J4" s="59"/>
      <c r="K4" s="59"/>
      <c r="L4" s="258" t="s">
        <v>154</v>
      </c>
      <c r="M4" s="258"/>
      <c r="N4" s="258"/>
      <c r="O4" s="258"/>
      <c r="P4" s="258"/>
      <c r="Q4" s="59"/>
      <c r="R4" s="59"/>
    </row>
    <row r="5" spans="1:19" s="34" customFormat="1" ht="25" customHeight="1">
      <c r="A5" s="259" t="s">
        <v>126</v>
      </c>
      <c r="B5" s="259"/>
      <c r="C5" s="259"/>
      <c r="D5" s="259"/>
      <c r="E5" s="259"/>
      <c r="F5" s="259"/>
      <c r="G5" s="259"/>
      <c r="H5" s="259"/>
      <c r="I5" s="259"/>
      <c r="J5" s="259" t="s">
        <v>126</v>
      </c>
      <c r="K5" s="259"/>
      <c r="L5" s="259"/>
      <c r="M5" s="259"/>
      <c r="N5" s="259"/>
      <c r="O5" s="259"/>
      <c r="P5" s="259"/>
      <c r="Q5" s="259"/>
      <c r="R5" s="259"/>
    </row>
    <row r="6" spans="1:19" s="34" customFormat="1" ht="22" customHeight="1">
      <c r="A6" s="259" t="s">
        <v>127</v>
      </c>
      <c r="B6" s="259"/>
      <c r="C6" s="259"/>
      <c r="D6" s="259"/>
      <c r="E6" s="259"/>
      <c r="F6" s="259"/>
      <c r="G6" s="259"/>
      <c r="H6" s="259"/>
      <c r="I6" s="259"/>
      <c r="J6" s="259" t="s">
        <v>127</v>
      </c>
      <c r="K6" s="259"/>
      <c r="L6" s="259"/>
      <c r="M6" s="259"/>
      <c r="N6" s="259"/>
      <c r="O6" s="259"/>
      <c r="P6" s="259"/>
      <c r="Q6" s="259"/>
      <c r="R6" s="259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72" t="s">
        <v>96</v>
      </c>
      <c r="B9" s="272"/>
      <c r="C9" s="272"/>
      <c r="D9" s="272"/>
      <c r="E9" s="272"/>
      <c r="F9" s="272"/>
      <c r="G9" s="272"/>
      <c r="H9" s="272"/>
      <c r="I9" s="272"/>
      <c r="J9" s="255" t="s">
        <v>168</v>
      </c>
      <c r="K9" s="255"/>
      <c r="L9" s="255"/>
      <c r="M9" s="255"/>
      <c r="N9" s="255"/>
      <c r="O9" s="255"/>
      <c r="P9" s="255"/>
      <c r="Q9" s="255"/>
      <c r="R9" s="255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6" t="s">
        <v>357</v>
      </c>
      <c r="B12" s="266"/>
      <c r="C12" s="266"/>
      <c r="D12" s="266"/>
      <c r="F12" s="253" t="s">
        <v>107</v>
      </c>
      <c r="G12" s="253"/>
      <c r="H12" s="253"/>
      <c r="I12" s="101" t="s">
        <v>267</v>
      </c>
      <c r="J12" s="124" t="str">
        <f t="shared" ref="J12:J19" si="0">A12</f>
        <v>ឈ្មោះអតិថិជន /Customer: ជេអ អឹភែរឹល ឯ.ក</v>
      </c>
      <c r="K12" s="38"/>
      <c r="O12" s="253" t="s">
        <v>194</v>
      </c>
      <c r="P12" s="253"/>
      <c r="Q12" s="253"/>
      <c r="R12" s="101" t="s">
        <v>268</v>
      </c>
      <c r="S12" s="160" t="s">
        <v>269</v>
      </c>
    </row>
    <row r="13" spans="1:19" ht="20.149999999999999" customHeight="1">
      <c r="A13" s="268" t="s">
        <v>189</v>
      </c>
      <c r="B13" s="268"/>
      <c r="C13" s="268"/>
      <c r="D13" s="268"/>
      <c r="E13" s="253" t="s">
        <v>106</v>
      </c>
      <c r="F13" s="253"/>
      <c r="G13" s="253"/>
      <c r="H13" s="253"/>
      <c r="I13" s="102">
        <v>46279</v>
      </c>
      <c r="J13" s="115" t="str">
        <f t="shared" si="0"/>
        <v>JR APPAREL CO.,LTD</v>
      </c>
      <c r="K13" s="35"/>
      <c r="N13" s="253" t="s">
        <v>195</v>
      </c>
      <c r="O13" s="253"/>
      <c r="P13" s="253"/>
      <c r="Q13" s="253"/>
      <c r="R13" s="123">
        <f>I13</f>
        <v>46279</v>
      </c>
    </row>
    <row r="14" spans="1:19" ht="25" customHeight="1">
      <c r="A14" s="269" t="s">
        <v>184</v>
      </c>
      <c r="B14" s="269"/>
      <c r="C14" s="269"/>
      <c r="D14" s="269"/>
      <c r="E14" s="269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43" t="s">
        <v>186</v>
      </c>
      <c r="B15" s="243"/>
      <c r="C15" s="243"/>
      <c r="D15" s="243"/>
      <c r="E15" s="243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5" t="s">
        <v>183</v>
      </c>
      <c r="B16" s="265"/>
      <c r="C16" s="265"/>
      <c r="D16" s="265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176" t="s">
        <v>190</v>
      </c>
      <c r="H17" s="120"/>
      <c r="I17" s="120"/>
      <c r="J17" s="46" t="str">
        <f t="shared" si="0"/>
        <v>SHIPPER:</v>
      </c>
      <c r="L17" s="46" t="str">
        <f>C17</f>
        <v>JR APPAREL CO., LTD.</v>
      </c>
      <c r="Q17" s="120"/>
      <c r="R17" s="120"/>
    </row>
    <row r="18" spans="1:19" s="46" customFormat="1" ht="19.5" customHeight="1">
      <c r="A18" s="46" t="s">
        <v>110</v>
      </c>
      <c r="C18" s="176" t="s">
        <v>242</v>
      </c>
      <c r="G18" s="254" t="s">
        <v>157</v>
      </c>
      <c r="H18" s="254"/>
      <c r="I18" s="81">
        <v>12454</v>
      </c>
      <c r="J18" s="46" t="str">
        <f t="shared" si="0"/>
        <v>CONSIGNEE :</v>
      </c>
      <c r="L18" s="46" t="str">
        <f>C18</f>
        <v>CHAPTERONE SPORTSWEAR</v>
      </c>
      <c r="P18" s="254" t="str">
        <f>G18</f>
        <v>GROSS WEIGHT:</v>
      </c>
      <c r="Q18" s="254"/>
      <c r="R18" s="81">
        <f>I18</f>
        <v>12454</v>
      </c>
    </row>
    <row r="19" spans="1:19" s="46" customFormat="1" ht="19.5" customHeight="1">
      <c r="A19" s="46" t="s">
        <v>112</v>
      </c>
      <c r="B19" s="116" t="s">
        <v>360</v>
      </c>
      <c r="D19" s="58" t="s">
        <v>111</v>
      </c>
      <c r="E19" s="171" t="s">
        <v>281</v>
      </c>
      <c r="H19" s="80" t="s">
        <v>158</v>
      </c>
      <c r="I19" s="232" t="s">
        <v>202</v>
      </c>
      <c r="J19" s="46" t="str">
        <f t="shared" si="0"/>
        <v>HBL:</v>
      </c>
      <c r="K19" s="271" t="str">
        <f>B19</f>
        <v>COSU6464270310</v>
      </c>
      <c r="L19" s="271"/>
      <c r="M19" s="58" t="s">
        <v>111</v>
      </c>
      <c r="N19" s="148" t="str">
        <f>E19</f>
        <v>1X40'HC</v>
      </c>
      <c r="Q19" s="80" t="s">
        <v>158</v>
      </c>
      <c r="R19" s="121" t="str">
        <f>I19</f>
        <v>PNH PORT</v>
      </c>
    </row>
    <row r="20" spans="1:19" s="46" customFormat="1" ht="19.5" customHeight="1">
      <c r="A20" s="58" t="s">
        <v>116</v>
      </c>
      <c r="B20" s="172" t="s">
        <v>279</v>
      </c>
      <c r="C20" s="96"/>
      <c r="D20" s="58" t="s">
        <v>113</v>
      </c>
      <c r="E20" s="46" t="s">
        <v>280</v>
      </c>
      <c r="H20" s="80" t="s">
        <v>159</v>
      </c>
      <c r="I20" s="201" t="s">
        <v>246</v>
      </c>
      <c r="J20" s="58" t="str">
        <f>A20</f>
        <v>PKGS:</v>
      </c>
      <c r="K20" s="172" t="str">
        <f>B20</f>
        <v>729 CTNS</v>
      </c>
      <c r="L20" s="96"/>
      <c r="M20" s="58" t="s">
        <v>113</v>
      </c>
      <c r="N20" s="148" t="str">
        <f>E20</f>
        <v xml:space="preserve">CSNU6351548 </v>
      </c>
      <c r="Q20" s="80" t="s">
        <v>159</v>
      </c>
      <c r="R20" s="73" t="str">
        <f>I20</f>
        <v>USA</v>
      </c>
    </row>
    <row r="21" spans="1:19" ht="15" customHeight="1" thickBot="1">
      <c r="A21" s="44"/>
      <c r="B21" s="35"/>
      <c r="E21" s="32" t="s">
        <v>151</v>
      </c>
      <c r="G21" s="249">
        <v>4052</v>
      </c>
      <c r="H21" s="249"/>
      <c r="I21" s="249"/>
      <c r="J21" s="44"/>
      <c r="K21" s="35"/>
      <c r="P21" s="249">
        <f>G21</f>
        <v>4052</v>
      </c>
      <c r="Q21" s="249"/>
      <c r="R21" s="249"/>
    </row>
    <row r="22" spans="1:19" s="36" customFormat="1" ht="30" customHeight="1">
      <c r="A22" s="78" t="s">
        <v>0</v>
      </c>
      <c r="B22" s="250" t="s">
        <v>1</v>
      </c>
      <c r="C22" s="250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0" t="s">
        <v>1</v>
      </c>
      <c r="L22" s="250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51" t="s">
        <v>6</v>
      </c>
      <c r="C23" s="251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51" t="s">
        <v>6</v>
      </c>
      <c r="L23" s="251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0.149999999999999" customHeight="1">
      <c r="A25" s="142">
        <v>1</v>
      </c>
      <c r="B25" s="270" t="s">
        <v>199</v>
      </c>
      <c r="C25" s="270"/>
      <c r="D25" s="52">
        <v>1</v>
      </c>
      <c r="E25" s="170" t="s">
        <v>191</v>
      </c>
      <c r="F25" s="48">
        <v>242</v>
      </c>
      <c r="G25" s="48">
        <f>ROUND(F25*D25,2)</f>
        <v>242</v>
      </c>
      <c r="H25" s="48">
        <f>G25*10%</f>
        <v>24.200000000000003</v>
      </c>
      <c r="I25" s="48">
        <f>H25+G25</f>
        <v>266.2</v>
      </c>
      <c r="J25" s="143">
        <v>1</v>
      </c>
      <c r="K25" s="159" t="s">
        <v>230</v>
      </c>
      <c r="L25" s="159"/>
      <c r="M25" s="52">
        <v>1</v>
      </c>
      <c r="N25" s="143" t="s">
        <v>191</v>
      </c>
      <c r="O25" s="48">
        <v>77</v>
      </c>
      <c r="P25" s="48">
        <f>O25*M25</f>
        <v>77</v>
      </c>
      <c r="Q25" s="48">
        <v>0</v>
      </c>
      <c r="R25" s="48">
        <f>Q25+P25</f>
        <v>77</v>
      </c>
      <c r="S25" s="32" t="s">
        <v>278</v>
      </c>
    </row>
    <row r="26" spans="1:19" ht="20.149999999999999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191</v>
      </c>
      <c r="O26" s="48">
        <v>21.25</v>
      </c>
      <c r="P26" s="48">
        <f>O26*M26</f>
        <v>21.25</v>
      </c>
      <c r="Q26" s="48">
        <v>0</v>
      </c>
      <c r="R26" s="48">
        <f>Q26+P26</f>
        <v>21.25</v>
      </c>
    </row>
    <row r="27" spans="1:19" ht="20.149999999999999" customHeight="1">
      <c r="A27" s="142"/>
      <c r="B27" s="147"/>
      <c r="C27" s="147"/>
      <c r="D27" s="52"/>
      <c r="E27" s="143"/>
      <c r="F27" s="48"/>
      <c r="G27" s="48"/>
      <c r="H27" s="48"/>
      <c r="I27" s="48"/>
      <c r="J27" s="143">
        <v>3</v>
      </c>
      <c r="K27" s="159" t="s">
        <v>205</v>
      </c>
      <c r="L27" s="159"/>
      <c r="M27" s="52">
        <v>1</v>
      </c>
      <c r="N27" s="143" t="s">
        <v>191</v>
      </c>
      <c r="O27" s="48">
        <v>539</v>
      </c>
      <c r="P27" s="48">
        <f>O27*M27</f>
        <v>539</v>
      </c>
      <c r="Q27" s="48">
        <v>0</v>
      </c>
      <c r="R27" s="48">
        <f>Q27+P27</f>
        <v>539</v>
      </c>
    </row>
    <row r="28" spans="1:19" ht="9" customHeight="1" thickBot="1">
      <c r="A28" s="49"/>
      <c r="B28" s="252"/>
      <c r="C28" s="252"/>
      <c r="D28" s="53"/>
      <c r="E28" s="51"/>
      <c r="F28" s="50"/>
      <c r="G28" s="50"/>
      <c r="H28" s="50"/>
      <c r="I28" s="50"/>
      <c r="J28" s="49"/>
      <c r="K28" s="252"/>
      <c r="L28" s="252"/>
      <c r="M28" s="53"/>
      <c r="N28" s="51"/>
      <c r="O28" s="50"/>
      <c r="P28" s="50"/>
      <c r="Q28" s="50"/>
      <c r="R28" s="50"/>
    </row>
    <row r="29" spans="1:19" s="36" customFormat="1" ht="25" customHeight="1">
      <c r="C29" s="267" t="s">
        <v>163</v>
      </c>
      <c r="D29" s="267"/>
      <c r="E29" s="90" t="s">
        <v>162</v>
      </c>
      <c r="F29" s="262">
        <f>$I$29*G21</f>
        <v>980584</v>
      </c>
      <c r="G29" s="262"/>
      <c r="H29" s="93" t="s">
        <v>144</v>
      </c>
      <c r="I29" s="86">
        <f>SUM(G25:G28)</f>
        <v>242</v>
      </c>
      <c r="L29" s="267" t="s">
        <v>163</v>
      </c>
      <c r="M29" s="267"/>
      <c r="N29" s="267"/>
      <c r="O29" s="267"/>
      <c r="P29" s="267"/>
      <c r="Q29" s="93" t="s">
        <v>144</v>
      </c>
      <c r="R29" s="86">
        <f>SUM(R25:R28)</f>
        <v>637.25</v>
      </c>
    </row>
    <row r="30" spans="1:19" s="36" customFormat="1" ht="25" customHeight="1">
      <c r="C30" s="260" t="s">
        <v>161</v>
      </c>
      <c r="D30" s="260"/>
      <c r="E30" s="91" t="s">
        <v>162</v>
      </c>
      <c r="F30" s="263">
        <f>$I$30*$G$21</f>
        <v>98058.4</v>
      </c>
      <c r="G30" s="263"/>
      <c r="H30" s="94" t="s">
        <v>144</v>
      </c>
      <c r="I30" s="87">
        <f>ROUND(SUM(H25:H28),2)</f>
        <v>24.2</v>
      </c>
      <c r="L30" s="260" t="s">
        <v>171</v>
      </c>
      <c r="M30" s="260"/>
      <c r="N30" s="260"/>
      <c r="O30" s="260"/>
      <c r="P30" s="260"/>
      <c r="Q30" s="94" t="s">
        <v>144</v>
      </c>
      <c r="R30" s="87">
        <v>0</v>
      </c>
    </row>
    <row r="31" spans="1:19" ht="25" customHeight="1" thickBot="1">
      <c r="A31" s="88"/>
      <c r="B31" s="88"/>
      <c r="C31" s="261" t="s">
        <v>164</v>
      </c>
      <c r="D31" s="261"/>
      <c r="E31" s="92" t="s">
        <v>162</v>
      </c>
      <c r="F31" s="264">
        <f>I31*$G$21</f>
        <v>1078642.3999999999</v>
      </c>
      <c r="G31" s="264"/>
      <c r="H31" s="95" t="s">
        <v>144</v>
      </c>
      <c r="I31" s="89">
        <f>$I$29+$I$30</f>
        <v>266.2</v>
      </c>
      <c r="J31" s="88"/>
      <c r="K31" s="88"/>
      <c r="L31" s="261" t="s">
        <v>164</v>
      </c>
      <c r="M31" s="261"/>
      <c r="N31" s="261"/>
      <c r="O31" s="261"/>
      <c r="P31" s="261"/>
      <c r="Q31" s="95" t="s">
        <v>144</v>
      </c>
      <c r="R31" s="89">
        <f>SUM(R29:R30)</f>
        <v>637.25</v>
      </c>
      <c r="S31" s="165">
        <f>SUM(I31+R31)</f>
        <v>903.45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6" s="67" customFormat="1" ht="14">
      <c r="A33" s="84" t="s">
        <v>128</v>
      </c>
      <c r="J33" s="84" t="s">
        <v>128</v>
      </c>
    </row>
    <row r="34" spans="1:16" s="67" customFormat="1" ht="14">
      <c r="A34" s="85" t="s">
        <v>98</v>
      </c>
      <c r="J34" s="85" t="s">
        <v>98</v>
      </c>
    </row>
    <row r="35" spans="1:16" s="67" customFormat="1" ht="14">
      <c r="A35" s="84" t="s">
        <v>129</v>
      </c>
      <c r="J35" s="84" t="s">
        <v>129</v>
      </c>
    </row>
    <row r="36" spans="1:16" s="67" customFormat="1" ht="14">
      <c r="A36" s="84" t="s">
        <v>130</v>
      </c>
      <c r="J36" s="84" t="s">
        <v>130</v>
      </c>
    </row>
    <row r="37" spans="1:16" s="67" customFormat="1" ht="14">
      <c r="A37" s="84" t="s">
        <v>160</v>
      </c>
      <c r="J37" s="84" t="s">
        <v>160</v>
      </c>
    </row>
    <row r="38" spans="1:16" s="67" customFormat="1" ht="14">
      <c r="A38" s="84" t="s">
        <v>131</v>
      </c>
      <c r="J38" s="84" t="s">
        <v>131</v>
      </c>
    </row>
    <row r="39" spans="1:16" s="67" customFormat="1" ht="14">
      <c r="A39" s="84"/>
      <c r="J39" s="84"/>
    </row>
    <row r="40" spans="1:16" s="67" customFormat="1" ht="14">
      <c r="A40" s="84"/>
      <c r="J40" s="84"/>
    </row>
    <row r="41" spans="1:16" s="67" customFormat="1" ht="14">
      <c r="A41" s="84"/>
      <c r="J41" s="84"/>
    </row>
    <row r="42" spans="1:16" s="67" customFormat="1" ht="14">
      <c r="A42" s="84"/>
      <c r="J42" s="84"/>
    </row>
    <row r="43" spans="1:16" s="67" customFormat="1" ht="14">
      <c r="A43" s="84"/>
      <c r="J43" s="84"/>
    </row>
    <row r="44" spans="1:16" s="67" customFormat="1" ht="14">
      <c r="A44" s="84"/>
      <c r="J44" s="84"/>
    </row>
    <row r="45" spans="1:16">
      <c r="A45" s="84"/>
      <c r="J45" s="84"/>
    </row>
    <row r="46" spans="1:16">
      <c r="A46" s="84"/>
      <c r="J46" s="84"/>
    </row>
    <row r="47" spans="1:16">
      <c r="A47" s="84"/>
      <c r="J47" s="84"/>
    </row>
    <row r="48" spans="1:16" ht="49" customHeight="1">
      <c r="A48" s="32" t="s">
        <v>99</v>
      </c>
      <c r="G48" s="32" t="s">
        <v>100</v>
      </c>
      <c r="J48" s="32" t="s">
        <v>99</v>
      </c>
      <c r="P48" s="32" t="s">
        <v>100</v>
      </c>
    </row>
    <row r="49" spans="1:18" ht="30">
      <c r="A49" s="63" t="s">
        <v>9</v>
      </c>
      <c r="B49" s="64"/>
      <c r="C49" s="55"/>
      <c r="D49" s="55"/>
      <c r="E49" s="55"/>
      <c r="F49" s="55"/>
      <c r="G49" s="61" t="s">
        <v>10</v>
      </c>
      <c r="H49" s="61"/>
      <c r="I49" s="61"/>
      <c r="J49" s="63" t="s">
        <v>9</v>
      </c>
      <c r="K49" s="64"/>
      <c r="L49" s="55"/>
      <c r="M49" s="55"/>
      <c r="N49" s="55"/>
      <c r="O49" s="55"/>
      <c r="P49" s="61" t="s">
        <v>10</v>
      </c>
      <c r="Q49" s="61"/>
      <c r="R49" s="61"/>
    </row>
    <row r="50" spans="1:18" ht="20.25" customHeight="1">
      <c r="A50" s="65" t="s">
        <v>114</v>
      </c>
      <c r="B50" s="66"/>
      <c r="C50" s="56"/>
      <c r="D50" s="55"/>
      <c r="E50" s="55"/>
      <c r="F50" s="55"/>
      <c r="G50" s="55"/>
      <c r="H50" s="55"/>
      <c r="I50" s="55"/>
      <c r="J50" s="65" t="s">
        <v>114</v>
      </c>
      <c r="K50" s="66"/>
      <c r="L50" s="56"/>
      <c r="M50" s="55"/>
      <c r="N50" s="55"/>
      <c r="O50" s="55"/>
      <c r="P50" s="55"/>
      <c r="Q50" s="55"/>
      <c r="R50" s="55"/>
    </row>
    <row r="51" spans="1:18" ht="18" customHeight="1">
      <c r="A51" s="58" t="s">
        <v>115</v>
      </c>
      <c r="B51" s="57"/>
      <c r="C51" s="55"/>
      <c r="D51" s="55"/>
      <c r="E51" s="55"/>
      <c r="F51" s="55"/>
      <c r="G51" s="55"/>
      <c r="H51" s="55"/>
      <c r="I51" s="55"/>
      <c r="J51" s="58" t="s">
        <v>115</v>
      </c>
      <c r="K51" s="57"/>
      <c r="L51" s="55"/>
      <c r="M51" s="55"/>
      <c r="N51" s="55"/>
      <c r="O51" s="55"/>
      <c r="P51" s="55"/>
      <c r="Q51" s="55"/>
      <c r="R51" s="55"/>
    </row>
    <row r="52" spans="1:18" ht="27.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</row>
    <row r="56" spans="1:18" ht="23">
      <c r="A56" s="39"/>
      <c r="J56" s="39"/>
    </row>
  </sheetData>
  <dataConsolidate/>
  <mergeCells count="44">
    <mergeCell ref="A2:I2"/>
    <mergeCell ref="J2:R2"/>
    <mergeCell ref="A3:I3"/>
    <mergeCell ref="J3:R3"/>
    <mergeCell ref="C4:G4"/>
    <mergeCell ref="L4:P4"/>
    <mergeCell ref="A5:I5"/>
    <mergeCell ref="J5:R5"/>
    <mergeCell ref="A6:I6"/>
    <mergeCell ref="J6:R6"/>
    <mergeCell ref="A9:I9"/>
    <mergeCell ref="J9:R9"/>
    <mergeCell ref="K19:L19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B28:C28"/>
    <mergeCell ref="K28:L28"/>
    <mergeCell ref="G21:I21"/>
    <mergeCell ref="P21:R21"/>
    <mergeCell ref="B22:C22"/>
    <mergeCell ref="K22:L22"/>
    <mergeCell ref="B23:C23"/>
    <mergeCell ref="K23:L23"/>
    <mergeCell ref="B25:C25"/>
    <mergeCell ref="C31:D31"/>
    <mergeCell ref="F31:G31"/>
    <mergeCell ref="L31:P31"/>
    <mergeCell ref="C29:D29"/>
    <mergeCell ref="F29:G29"/>
    <mergeCell ref="L29:P29"/>
    <mergeCell ref="C30:D30"/>
    <mergeCell ref="F30:G30"/>
    <mergeCell ref="L30:P30"/>
  </mergeCells>
  <conditionalFormatting sqref="S12">
    <cfRule type="duplicateValues" dxfId="15" priority="1"/>
    <cfRule type="duplicateValues" dxfId="14" priority="2"/>
  </conditionalFormatting>
  <dataValidations count="7">
    <dataValidation type="list" allowBlank="1" showInputMessage="1" showErrorMessage="1" sqref="K25:K26 L25:L27" xr:uid="{00000000-0002-0000-0400-000000000000}">
      <formula1>"AWB FEE,STORAGE FEE,THC FEE,WAREHOUSE FEE,CUSTOM PROCESSING FEE,LOLO AT PORT,LOLO EMPTY CONTAINER"</formula1>
    </dataValidation>
    <dataValidation type="list" allowBlank="1" showInputMessage="1" showErrorMessage="1" sqref="A17" xr:uid="{00000000-0002-0000-0400-000001000000}">
      <formula1>"លេខ អ ត ប (VATTIN)  : L001-901805758"</formula1>
    </dataValidation>
    <dataValidation type="list" allowBlank="1" showInputMessage="1" showErrorMessage="1" sqref="B25:C27" xr:uid="{00000000-0002-0000-0400-000002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E25:E27 N25:N27" xr:uid="{00000000-0002-0000-0400-000003000000}">
      <formula1>"SET,40H,20G,TRUCK,LCL"</formula1>
    </dataValidation>
    <dataValidation type="list" allowBlank="1" showInputMessage="1" showErrorMessage="1" sqref="I19" xr:uid="{00000000-0002-0000-0400-000004000000}">
      <formula1>"TAIWAN,PNH IN'T,SHV PORT, PNH PORT,HK,JP,CHINA,VN,CA"</formula1>
    </dataValidation>
    <dataValidation type="list" allowBlank="1" showInputMessage="1" showErrorMessage="1" sqref="I20" xr:uid="{00000000-0002-0000-0400-000005000000}">
      <formula1>"BRAZIL,UK,SHV PORT,PNH PORT,HLH,PNH IN'T,CANADA,USA,OLAIR, CA,SPAIN"</formula1>
    </dataValidation>
    <dataValidation type="list" allowBlank="1" showInputMessage="1" showErrorMessage="1" sqref="K27" xr:uid="{00000000-0002-0000-0400-000006000000}">
      <formula1>"STORAGE FEE,THC FEE,HBL FEE,WAREHOUSE FEE,CUSTOM PROCESSING FEE,LOLO AT PORT,LOLO EMPTY CONTAINER"</formula1>
    </dataValidation>
  </dataValidations>
  <printOptions horizontalCentered="1"/>
  <pageMargins left="0.2" right="0.2" top="0.25" bottom="0.1" header="0.05" footer="0.05"/>
  <pageSetup paperSize="9" scale="85" orientation="portrait" r:id="rId1"/>
  <colBreaks count="1" manualBreakCount="1">
    <brk id="9" max="5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51"/>
  <sheetViews>
    <sheetView view="pageBreakPreview" zoomScaleNormal="100" zoomScaleSheetLayoutView="100" workbookViewId="0">
      <selection activeCell="A48" sqref="A47:XFD48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2.1796875" bestFit="1" customWidth="1"/>
    <col min="8" max="8" width="10.1796875" bestFit="1" customWidth="1"/>
  </cols>
  <sheetData>
    <row r="1" spans="1:8" ht="18">
      <c r="A1" s="276" t="s">
        <v>172</v>
      </c>
      <c r="B1" s="276"/>
      <c r="C1" s="276"/>
      <c r="D1" s="276"/>
      <c r="E1" s="276"/>
      <c r="F1" s="276"/>
      <c r="G1" s="276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270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'370'!$I$13</f>
        <v>46279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'370'!$B$19</f>
        <v>COSU6464270310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'370'!$I$18</f>
        <v>12454</v>
      </c>
      <c r="D10" s="67"/>
      <c r="E10" s="67"/>
      <c r="F10" s="103" t="s">
        <v>158</v>
      </c>
      <c r="G10" s="104" t="str">
        <f>'370'!$I$19</f>
        <v>PNH PORT</v>
      </c>
    </row>
    <row r="11" spans="1:8">
      <c r="A11" s="103" t="s">
        <v>111</v>
      </c>
      <c r="B11" s="98" t="s">
        <v>119</v>
      </c>
      <c r="C11" s="105" t="str">
        <f>'370'!$E$19</f>
        <v>1X40'HC</v>
      </c>
      <c r="D11" s="82"/>
      <c r="E11" s="82"/>
      <c r="F11" s="103" t="s">
        <v>159</v>
      </c>
      <c r="G11" s="104" t="str">
        <f>'370'!$I$20</f>
        <v>USA</v>
      </c>
    </row>
    <row r="12" spans="1:8">
      <c r="A12" s="103" t="s">
        <v>113</v>
      </c>
      <c r="B12" s="98" t="s">
        <v>119</v>
      </c>
      <c r="C12" s="106" t="str">
        <f>'370'!$E$20</f>
        <v xml:space="preserve">CSNU6351548 </v>
      </c>
      <c r="D12" s="82"/>
      <c r="E12" s="82"/>
      <c r="F12" s="103" t="s">
        <v>116</v>
      </c>
      <c r="G12" s="107" t="str">
        <f>'370'!$B$20</f>
        <v>729 CTNS</v>
      </c>
    </row>
    <row r="13" spans="1:8">
      <c r="A13" s="103" t="s">
        <v>136</v>
      </c>
      <c r="B13" s="98" t="s">
        <v>119</v>
      </c>
      <c r="C13" s="67" t="str">
        <f>'370'!$C$17</f>
        <v>JR APPAREL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67" t="str">
        <f>'370'!$C$18</f>
        <v>CHAPTERONE SPORTSWEAR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7" t="s">
        <v>138</v>
      </c>
      <c r="B16" s="278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'370'!S12</f>
        <v>E 275226</v>
      </c>
    </row>
    <row r="17" spans="1:8" s="116" customFormat="1" ht="14">
      <c r="A17" s="279">
        <v>1</v>
      </c>
      <c r="B17" s="280"/>
      <c r="C17" s="186" t="s">
        <v>192</v>
      </c>
      <c r="D17" s="206">
        <v>1</v>
      </c>
      <c r="E17" s="207" t="s">
        <v>274</v>
      </c>
      <c r="F17" s="208">
        <v>260</v>
      </c>
      <c r="G17" s="209">
        <f>ROUND(F17*D17,2)</f>
        <v>260</v>
      </c>
    </row>
    <row r="18" spans="1:8">
      <c r="A18" s="279">
        <v>2</v>
      </c>
      <c r="B18" s="280"/>
      <c r="C18" s="186" t="s">
        <v>177</v>
      </c>
      <c r="D18" s="206">
        <v>1</v>
      </c>
      <c r="E18" s="207" t="s">
        <v>274</v>
      </c>
      <c r="F18" s="210">
        <v>35</v>
      </c>
      <c r="G18" s="209">
        <f t="shared" ref="G18:G25" si="0">ROUND(F18*D18,2)</f>
        <v>35</v>
      </c>
    </row>
    <row r="19" spans="1:8">
      <c r="A19" s="279">
        <v>3</v>
      </c>
      <c r="B19" s="280"/>
      <c r="C19" s="186" t="s">
        <v>212</v>
      </c>
      <c r="D19" s="206">
        <v>1</v>
      </c>
      <c r="E19" s="207" t="s">
        <v>207</v>
      </c>
      <c r="F19" s="210">
        <v>169</v>
      </c>
      <c r="G19" s="209">
        <f t="shared" si="0"/>
        <v>169</v>
      </c>
      <c r="H19" s="185">
        <f>G17*65%</f>
        <v>169</v>
      </c>
    </row>
    <row r="20" spans="1:8">
      <c r="A20" s="279">
        <v>4</v>
      </c>
      <c r="B20" s="280"/>
      <c r="C20" s="186" t="s">
        <v>200</v>
      </c>
      <c r="D20" s="206">
        <v>1</v>
      </c>
      <c r="E20" s="207" t="s">
        <v>156</v>
      </c>
      <c r="F20" s="210">
        <v>25</v>
      </c>
      <c r="G20" s="209">
        <f t="shared" si="0"/>
        <v>25</v>
      </c>
    </row>
    <row r="21" spans="1:8">
      <c r="A21" s="279">
        <v>5</v>
      </c>
      <c r="B21" s="280"/>
      <c r="C21" s="186" t="s">
        <v>201</v>
      </c>
      <c r="D21" s="206">
        <v>1</v>
      </c>
      <c r="E21" s="207" t="s">
        <v>203</v>
      </c>
      <c r="F21" s="210">
        <v>20</v>
      </c>
      <c r="G21" s="209">
        <f>ROUND(F21*D21,2)</f>
        <v>20</v>
      </c>
    </row>
    <row r="22" spans="1:8" s="116" customFormat="1" ht="14">
      <c r="A22" s="279">
        <v>6</v>
      </c>
      <c r="B22" s="280"/>
      <c r="C22" s="186" t="s">
        <v>275</v>
      </c>
      <c r="D22" s="206">
        <v>1</v>
      </c>
      <c r="E22" s="207" t="s">
        <v>237</v>
      </c>
      <c r="F22" s="210">
        <v>69</v>
      </c>
      <c r="G22" s="209">
        <f t="shared" ref="G22:G23" si="1">ROUND(F22*D22,2)</f>
        <v>69</v>
      </c>
    </row>
    <row r="23" spans="1:8">
      <c r="A23" s="279">
        <v>7</v>
      </c>
      <c r="B23" s="280"/>
      <c r="C23" s="186" t="s">
        <v>179</v>
      </c>
      <c r="D23" s="206">
        <v>1</v>
      </c>
      <c r="E23" s="207" t="s">
        <v>274</v>
      </c>
      <c r="F23" s="210">
        <v>40</v>
      </c>
      <c r="G23" s="209">
        <f t="shared" si="1"/>
        <v>40</v>
      </c>
    </row>
    <row r="24" spans="1:8">
      <c r="A24" s="279">
        <v>8</v>
      </c>
      <c r="B24" s="280"/>
      <c r="C24" s="186" t="s">
        <v>313</v>
      </c>
      <c r="D24" s="206">
        <v>1</v>
      </c>
      <c r="E24" s="207" t="s">
        <v>211</v>
      </c>
      <c r="F24" s="210">
        <v>40</v>
      </c>
      <c r="G24" s="209">
        <f t="shared" si="0"/>
        <v>40</v>
      </c>
    </row>
    <row r="25" spans="1:8">
      <c r="A25" s="279">
        <v>9</v>
      </c>
      <c r="B25" s="280"/>
      <c r="C25" s="186" t="s">
        <v>236</v>
      </c>
      <c r="D25" s="206">
        <v>1</v>
      </c>
      <c r="E25" s="207" t="s">
        <v>274</v>
      </c>
      <c r="F25" s="210">
        <v>49.5</v>
      </c>
      <c r="G25" s="209">
        <f t="shared" si="0"/>
        <v>49.5</v>
      </c>
    </row>
    <row r="26" spans="1:8">
      <c r="A26" s="67"/>
      <c r="B26" s="67"/>
      <c r="D26" s="110" t="s">
        <v>143</v>
      </c>
      <c r="E26" s="110"/>
      <c r="F26" s="111" t="s">
        <v>144</v>
      </c>
      <c r="G26" s="112">
        <f>SUM(G17:G25)</f>
        <v>707.5</v>
      </c>
      <c r="H26" s="77"/>
    </row>
    <row r="27" spans="1:8">
      <c r="A27" s="67"/>
      <c r="B27" s="67"/>
      <c r="C27" s="67"/>
      <c r="D27" s="67"/>
      <c r="E27" s="67"/>
      <c r="F27" s="67"/>
      <c r="G27" s="67"/>
    </row>
    <row r="28" spans="1:8">
      <c r="A28" s="67"/>
      <c r="B28" s="67"/>
      <c r="C28" s="67"/>
      <c r="D28" s="67"/>
      <c r="E28" s="67"/>
      <c r="F28" s="67"/>
      <c r="G28" s="67"/>
    </row>
    <row r="29" spans="1:8">
      <c r="A29" s="67"/>
      <c r="B29" s="67"/>
      <c r="C29" s="82"/>
      <c r="D29" s="98"/>
      <c r="E29" s="143"/>
      <c r="F29" s="173"/>
      <c r="G29" s="174"/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67"/>
      <c r="D31" s="67"/>
      <c r="E31" s="67"/>
      <c r="F31" s="67"/>
      <c r="G31" s="67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114"/>
      <c r="B50" s="114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5" t="s">
        <v>145</v>
      </c>
      <c r="F51" s="275"/>
      <c r="G51" s="275"/>
    </row>
  </sheetData>
  <mergeCells count="12">
    <mergeCell ref="E51:G51"/>
    <mergeCell ref="A1:G1"/>
    <mergeCell ref="A16:B16"/>
    <mergeCell ref="A17:B17"/>
    <mergeCell ref="A18:B18"/>
    <mergeCell ref="A21:B21"/>
    <mergeCell ref="A24:B24"/>
    <mergeCell ref="A20:B20"/>
    <mergeCell ref="A19:B19"/>
    <mergeCell ref="A25:B25"/>
    <mergeCell ref="A23:B23"/>
    <mergeCell ref="A22:B22"/>
  </mergeCells>
  <phoneticPr fontId="73" type="noConversion"/>
  <printOptions horizontalCentered="1"/>
  <pageMargins left="0.45" right="0.45" top="0.75" bottom="0.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S56"/>
  <sheetViews>
    <sheetView view="pageBreakPreview" topLeftCell="I6" zoomScaleNormal="100" zoomScaleSheetLayoutView="100" workbookViewId="0">
      <selection activeCell="T5" sqref="T5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3.81640625" style="32" bestFit="1" customWidth="1"/>
    <col min="10" max="10" width="6.26953125" style="32" customWidth="1"/>
    <col min="11" max="11" width="13" style="32" customWidth="1"/>
    <col min="12" max="12" width="36.7265625" style="32" customWidth="1"/>
    <col min="13" max="13" width="8.7265625" style="32" customWidth="1"/>
    <col min="14" max="14" width="7.453125" style="32" customWidth="1"/>
    <col min="15" max="15" width="9.1796875" style="32"/>
    <col min="16" max="16" width="10.7265625" style="32" customWidth="1"/>
    <col min="17" max="17" width="10.453125" style="32" customWidth="1"/>
    <col min="18" max="18" width="13.54296875" style="32" bestFit="1" customWidth="1"/>
    <col min="19" max="19" width="10.453125" style="32" bestFit="1" customWidth="1"/>
    <col min="20" max="16384" width="9.1796875" style="32"/>
  </cols>
  <sheetData>
    <row r="2" spans="1:19" ht="34.5" customHeight="1">
      <c r="A2" s="255" t="s">
        <v>97</v>
      </c>
      <c r="B2" s="255"/>
      <c r="C2" s="255"/>
      <c r="D2" s="255"/>
      <c r="E2" s="255"/>
      <c r="F2" s="255"/>
      <c r="G2" s="255"/>
      <c r="H2" s="255"/>
      <c r="I2" s="255"/>
      <c r="J2" s="255" t="s">
        <v>97</v>
      </c>
      <c r="K2" s="255"/>
      <c r="L2" s="255"/>
      <c r="M2" s="255"/>
      <c r="N2" s="255"/>
      <c r="O2" s="255"/>
      <c r="P2" s="255"/>
      <c r="Q2" s="255"/>
      <c r="R2" s="255"/>
    </row>
    <row r="3" spans="1:19" s="33" customFormat="1" ht="27.75" customHeight="1">
      <c r="A3" s="257" t="s">
        <v>98</v>
      </c>
      <c r="B3" s="257"/>
      <c r="C3" s="257"/>
      <c r="D3" s="257"/>
      <c r="E3" s="257"/>
      <c r="F3" s="257"/>
      <c r="G3" s="257"/>
      <c r="H3" s="257"/>
      <c r="I3" s="257"/>
      <c r="J3" s="257" t="s">
        <v>98</v>
      </c>
      <c r="K3" s="257"/>
      <c r="L3" s="257"/>
      <c r="M3" s="257"/>
      <c r="N3" s="257"/>
      <c r="O3" s="257"/>
      <c r="P3" s="257"/>
      <c r="Q3" s="257"/>
      <c r="R3" s="257"/>
    </row>
    <row r="4" spans="1:19" ht="19.5" customHeight="1">
      <c r="A4" s="59"/>
      <c r="B4" s="59"/>
      <c r="C4" s="258" t="s">
        <v>154</v>
      </c>
      <c r="D4" s="258"/>
      <c r="E4" s="258"/>
      <c r="F4" s="258"/>
      <c r="G4" s="258"/>
      <c r="H4" s="59"/>
      <c r="I4" s="59"/>
      <c r="J4" s="59"/>
      <c r="K4" s="59"/>
      <c r="L4" s="258" t="s">
        <v>154</v>
      </c>
      <c r="M4" s="258"/>
      <c r="N4" s="258"/>
      <c r="O4" s="258"/>
      <c r="P4" s="258"/>
      <c r="Q4" s="59"/>
      <c r="R4" s="59"/>
    </row>
    <row r="5" spans="1:19" s="34" customFormat="1" ht="25" customHeight="1">
      <c r="A5" s="259" t="s">
        <v>126</v>
      </c>
      <c r="B5" s="259"/>
      <c r="C5" s="259"/>
      <c r="D5" s="259"/>
      <c r="E5" s="259"/>
      <c r="F5" s="259"/>
      <c r="G5" s="259"/>
      <c r="H5" s="259"/>
      <c r="I5" s="259"/>
      <c r="J5" s="259" t="s">
        <v>126</v>
      </c>
      <c r="K5" s="259"/>
      <c r="L5" s="259"/>
      <c r="M5" s="259"/>
      <c r="N5" s="259"/>
      <c r="O5" s="259"/>
      <c r="P5" s="259"/>
      <c r="Q5" s="259"/>
      <c r="R5" s="259"/>
    </row>
    <row r="6" spans="1:19" s="34" customFormat="1" ht="22" customHeight="1">
      <c r="A6" s="259" t="s">
        <v>127</v>
      </c>
      <c r="B6" s="259"/>
      <c r="C6" s="259"/>
      <c r="D6" s="259"/>
      <c r="E6" s="259"/>
      <c r="F6" s="259"/>
      <c r="G6" s="259"/>
      <c r="H6" s="259"/>
      <c r="I6" s="259"/>
      <c r="J6" s="259" t="s">
        <v>127</v>
      </c>
      <c r="K6" s="259"/>
      <c r="L6" s="259"/>
      <c r="M6" s="259"/>
      <c r="N6" s="259"/>
      <c r="O6" s="259"/>
      <c r="P6" s="259"/>
      <c r="Q6" s="259"/>
      <c r="R6" s="259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72" t="s">
        <v>96</v>
      </c>
      <c r="B9" s="272"/>
      <c r="C9" s="272"/>
      <c r="D9" s="272"/>
      <c r="E9" s="272"/>
      <c r="F9" s="272"/>
      <c r="G9" s="272"/>
      <c r="H9" s="272"/>
      <c r="I9" s="272"/>
      <c r="J9" s="255" t="s">
        <v>168</v>
      </c>
      <c r="K9" s="255"/>
      <c r="L9" s="255"/>
      <c r="M9" s="255"/>
      <c r="N9" s="255"/>
      <c r="O9" s="255"/>
      <c r="P9" s="255"/>
      <c r="Q9" s="255"/>
      <c r="R9" s="255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6" t="s">
        <v>357</v>
      </c>
      <c r="B12" s="266"/>
      <c r="C12" s="266"/>
      <c r="D12" s="266"/>
      <c r="F12" s="253" t="s">
        <v>107</v>
      </c>
      <c r="G12" s="253"/>
      <c r="H12" s="253"/>
      <c r="I12" s="101" t="s">
        <v>351</v>
      </c>
      <c r="J12" s="124" t="str">
        <f t="shared" ref="J12:J19" si="0">A12</f>
        <v>ឈ្មោះអតិថិជន /Customer: ជេអ អឹភែរឹល ឯ.ក</v>
      </c>
      <c r="K12" s="38"/>
      <c r="O12" s="253" t="s">
        <v>194</v>
      </c>
      <c r="P12" s="253"/>
      <c r="Q12" s="253"/>
      <c r="R12" s="101" t="s">
        <v>352</v>
      </c>
      <c r="S12" s="160" t="s">
        <v>287</v>
      </c>
    </row>
    <row r="13" spans="1:19" ht="20.149999999999999" customHeight="1">
      <c r="A13" s="268" t="s">
        <v>189</v>
      </c>
      <c r="B13" s="268"/>
      <c r="C13" s="268"/>
      <c r="D13" s="268"/>
      <c r="E13" s="253" t="s">
        <v>106</v>
      </c>
      <c r="F13" s="253"/>
      <c r="G13" s="253"/>
      <c r="H13" s="253"/>
      <c r="I13" s="102">
        <v>46286</v>
      </c>
      <c r="J13" s="115" t="str">
        <f t="shared" si="0"/>
        <v>JR APPAREL CO.,LTD</v>
      </c>
      <c r="K13" s="35"/>
      <c r="N13" s="253" t="s">
        <v>195</v>
      </c>
      <c r="O13" s="253"/>
      <c r="P13" s="253"/>
      <c r="Q13" s="253"/>
      <c r="R13" s="123">
        <f>I13</f>
        <v>46286</v>
      </c>
    </row>
    <row r="14" spans="1:19" ht="25" customHeight="1">
      <c r="A14" s="269" t="s">
        <v>184</v>
      </c>
      <c r="B14" s="269"/>
      <c r="C14" s="269"/>
      <c r="D14" s="269"/>
      <c r="E14" s="269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43" t="s">
        <v>186</v>
      </c>
      <c r="B15" s="243"/>
      <c r="C15" s="243"/>
      <c r="D15" s="243"/>
      <c r="E15" s="243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5" t="s">
        <v>183</v>
      </c>
      <c r="B16" s="265"/>
      <c r="C16" s="265"/>
      <c r="D16" s="265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176" t="s">
        <v>190</v>
      </c>
      <c r="H17" s="120"/>
      <c r="I17" s="120"/>
      <c r="J17" s="46" t="str">
        <f t="shared" si="0"/>
        <v>SHIPPER:</v>
      </c>
      <c r="L17" s="46" t="str">
        <f>C17</f>
        <v>JR APPAREL CO., LTD.</v>
      </c>
      <c r="Q17" s="120"/>
      <c r="R17" s="120"/>
    </row>
    <row r="18" spans="1:19" s="46" customFormat="1" ht="19.5" customHeight="1">
      <c r="A18" s="46" t="s">
        <v>110</v>
      </c>
      <c r="C18" s="176" t="s">
        <v>242</v>
      </c>
      <c r="G18" s="254" t="s">
        <v>157</v>
      </c>
      <c r="H18" s="254"/>
      <c r="I18" s="81">
        <v>14952.5</v>
      </c>
      <c r="J18" s="46" t="str">
        <f t="shared" si="0"/>
        <v>CONSIGNEE :</v>
      </c>
      <c r="L18" s="46" t="str">
        <f>C18</f>
        <v>CHAPTERONE SPORTSWEAR</v>
      </c>
      <c r="P18" s="254" t="str">
        <f>G18</f>
        <v>GROSS WEIGHT:</v>
      </c>
      <c r="Q18" s="254"/>
      <c r="R18" s="81">
        <f>I18</f>
        <v>14952.5</v>
      </c>
    </row>
    <row r="19" spans="1:19" s="46" customFormat="1" ht="19.5" customHeight="1">
      <c r="A19" s="46" t="s">
        <v>112</v>
      </c>
      <c r="B19" s="167" t="s">
        <v>361</v>
      </c>
      <c r="D19" s="58" t="s">
        <v>111</v>
      </c>
      <c r="E19" s="171" t="s">
        <v>272</v>
      </c>
      <c r="H19" s="80" t="s">
        <v>158</v>
      </c>
      <c r="I19" s="232" t="s">
        <v>202</v>
      </c>
      <c r="J19" s="46" t="str">
        <f t="shared" si="0"/>
        <v>HBL:</v>
      </c>
      <c r="K19" s="271" t="str">
        <f>B19</f>
        <v>COSU6464808450</v>
      </c>
      <c r="L19" s="271"/>
      <c r="M19" s="58" t="s">
        <v>111</v>
      </c>
      <c r="N19" s="46" t="str">
        <f>E19</f>
        <v>1X45'HQ</v>
      </c>
      <c r="Q19" s="80" t="s">
        <v>158</v>
      </c>
      <c r="R19" s="121" t="str">
        <f>I19</f>
        <v>PNH PORT</v>
      </c>
    </row>
    <row r="20" spans="1:19" s="46" customFormat="1" ht="19.5" customHeight="1">
      <c r="A20" s="58" t="s">
        <v>116</v>
      </c>
      <c r="B20" s="172" t="s">
        <v>319</v>
      </c>
      <c r="C20" s="96"/>
      <c r="D20" s="58" t="s">
        <v>113</v>
      </c>
      <c r="E20" s="148" t="s">
        <v>318</v>
      </c>
      <c r="H20" s="80" t="s">
        <v>159</v>
      </c>
      <c r="I20" s="201" t="s">
        <v>246</v>
      </c>
      <c r="J20" s="58" t="str">
        <f>A20</f>
        <v>PKGS:</v>
      </c>
      <c r="K20" s="172" t="str">
        <f>B20</f>
        <v>977 CTNS</v>
      </c>
      <c r="L20" s="96"/>
      <c r="M20" s="58" t="s">
        <v>113</v>
      </c>
      <c r="N20" s="148" t="str">
        <f>E20</f>
        <v>TEMU8045497</v>
      </c>
      <c r="Q20" s="80" t="s">
        <v>159</v>
      </c>
      <c r="R20" s="73" t="str">
        <f>I20</f>
        <v>USA</v>
      </c>
    </row>
    <row r="21" spans="1:19" ht="15" customHeight="1" thickBot="1">
      <c r="A21" s="44"/>
      <c r="B21" s="35"/>
      <c r="G21" s="249">
        <v>4054</v>
      </c>
      <c r="H21" s="249"/>
      <c r="I21" s="249"/>
      <c r="J21" s="44"/>
      <c r="K21" s="35"/>
      <c r="P21" s="249">
        <f>G21</f>
        <v>4054</v>
      </c>
      <c r="Q21" s="249"/>
      <c r="R21" s="249"/>
    </row>
    <row r="22" spans="1:19" s="36" customFormat="1" ht="30" customHeight="1">
      <c r="A22" s="78" t="s">
        <v>0</v>
      </c>
      <c r="B22" s="250" t="s">
        <v>1</v>
      </c>
      <c r="C22" s="250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0" t="s">
        <v>1</v>
      </c>
      <c r="L22" s="250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51" t="s">
        <v>6</v>
      </c>
      <c r="C23" s="251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51" t="s">
        <v>6</v>
      </c>
      <c r="L23" s="251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4.75" customHeight="1">
      <c r="A25" s="142">
        <v>1</v>
      </c>
      <c r="B25" s="270" t="s">
        <v>199</v>
      </c>
      <c r="C25" s="270"/>
      <c r="D25" s="52">
        <v>1</v>
      </c>
      <c r="E25" s="170" t="s">
        <v>274</v>
      </c>
      <c r="F25" s="48">
        <v>242</v>
      </c>
      <c r="G25" s="48">
        <f>ROUND(F25*D25,2)</f>
        <v>242</v>
      </c>
      <c r="H25" s="48">
        <f>G25*10%</f>
        <v>24.200000000000003</v>
      </c>
      <c r="I25" s="48">
        <f>H25+G25</f>
        <v>266.2</v>
      </c>
      <c r="J25" s="143">
        <v>1</v>
      </c>
      <c r="K25" s="159" t="s">
        <v>230</v>
      </c>
      <c r="L25" s="159"/>
      <c r="M25" s="52">
        <v>1</v>
      </c>
      <c r="N25" s="170" t="s">
        <v>274</v>
      </c>
      <c r="O25" s="48">
        <v>77</v>
      </c>
      <c r="P25" s="48">
        <f>O25*M25</f>
        <v>77</v>
      </c>
      <c r="Q25" s="48">
        <v>0</v>
      </c>
      <c r="R25" s="48">
        <f>Q25+P25</f>
        <v>77</v>
      </c>
    </row>
    <row r="26" spans="1:19" ht="24.75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M26" s="52">
        <v>1</v>
      </c>
      <c r="N26" s="170" t="s">
        <v>274</v>
      </c>
      <c r="O26" s="48">
        <v>21.25</v>
      </c>
      <c r="P26" s="48">
        <f>O26*M26</f>
        <v>21.25</v>
      </c>
      <c r="Q26" s="48">
        <v>0</v>
      </c>
      <c r="R26" s="48">
        <f>Q26+P26</f>
        <v>21.25</v>
      </c>
    </row>
    <row r="27" spans="1:19" ht="24.75" customHeight="1">
      <c r="A27" s="142"/>
      <c r="B27" s="147"/>
      <c r="C27" s="147"/>
      <c r="D27" s="52"/>
      <c r="E27" s="170"/>
      <c r="F27" s="48"/>
      <c r="G27" s="48"/>
      <c r="H27" s="48"/>
      <c r="I27" s="48"/>
      <c r="J27" s="143">
        <v>3</v>
      </c>
      <c r="K27" s="159" t="s">
        <v>365</v>
      </c>
      <c r="M27" s="52">
        <v>1</v>
      </c>
      <c r="N27" s="170" t="s">
        <v>274</v>
      </c>
      <c r="O27" s="48">
        <v>13.2</v>
      </c>
      <c r="P27" s="48">
        <f>O27*M27</f>
        <v>13.2</v>
      </c>
      <c r="Q27" s="48">
        <v>0</v>
      </c>
      <c r="R27" s="48">
        <f>Q27+P27</f>
        <v>13.2</v>
      </c>
    </row>
    <row r="28" spans="1:19" ht="24.75" customHeight="1">
      <c r="A28" s="142"/>
      <c r="B28" s="147"/>
      <c r="C28" s="147"/>
      <c r="D28" s="52"/>
      <c r="E28" s="170"/>
      <c r="F28" s="48"/>
      <c r="G28" s="48"/>
      <c r="H28" s="48"/>
      <c r="I28" s="48"/>
      <c r="J28" s="143">
        <v>4</v>
      </c>
      <c r="K28" s="159" t="s">
        <v>205</v>
      </c>
      <c r="M28" s="52">
        <v>1</v>
      </c>
      <c r="N28" s="170" t="s">
        <v>274</v>
      </c>
      <c r="O28" s="48">
        <v>539</v>
      </c>
      <c r="P28" s="48">
        <f>O28*M28</f>
        <v>539</v>
      </c>
      <c r="Q28" s="48">
        <v>0</v>
      </c>
      <c r="R28" s="48">
        <f>Q28+P28</f>
        <v>539</v>
      </c>
    </row>
    <row r="29" spans="1:19" ht="9" customHeight="1" thickBot="1">
      <c r="A29" s="49"/>
      <c r="B29" s="252"/>
      <c r="C29" s="252"/>
      <c r="D29" s="53"/>
      <c r="E29" s="51"/>
      <c r="F29" s="50"/>
      <c r="G29" s="50"/>
      <c r="H29" s="50"/>
      <c r="I29" s="50"/>
      <c r="J29" s="49"/>
      <c r="K29" s="252"/>
      <c r="L29" s="252"/>
      <c r="M29" s="53"/>
      <c r="N29" s="51"/>
      <c r="O29" s="50"/>
      <c r="P29" s="50"/>
      <c r="Q29" s="50"/>
      <c r="R29" s="50"/>
    </row>
    <row r="30" spans="1:19" s="36" customFormat="1" ht="25" customHeight="1">
      <c r="C30" s="267" t="s">
        <v>163</v>
      </c>
      <c r="D30" s="267"/>
      <c r="E30" s="90" t="s">
        <v>162</v>
      </c>
      <c r="F30" s="262">
        <f>$I$30*G21</f>
        <v>981068</v>
      </c>
      <c r="G30" s="262"/>
      <c r="H30" s="93" t="s">
        <v>144</v>
      </c>
      <c r="I30" s="86">
        <f>SUM(G25:G29)</f>
        <v>242</v>
      </c>
      <c r="L30" s="267" t="s">
        <v>163</v>
      </c>
      <c r="M30" s="267"/>
      <c r="N30" s="267"/>
      <c r="O30" s="267"/>
      <c r="P30" s="267"/>
      <c r="Q30" s="93" t="s">
        <v>144</v>
      </c>
      <c r="R30" s="86">
        <f>SUM(R24:R29)</f>
        <v>650.45000000000005</v>
      </c>
    </row>
    <row r="31" spans="1:19" s="36" customFormat="1" ht="25" customHeight="1">
      <c r="C31" s="260" t="s">
        <v>161</v>
      </c>
      <c r="D31" s="260"/>
      <c r="E31" s="91" t="s">
        <v>162</v>
      </c>
      <c r="F31" s="263">
        <f>$I$31*$G$21</f>
        <v>98106.8</v>
      </c>
      <c r="G31" s="263"/>
      <c r="H31" s="94" t="s">
        <v>144</v>
      </c>
      <c r="I31" s="87">
        <f>ROUND(SUM(H25:H29),2)</f>
        <v>24.2</v>
      </c>
      <c r="L31" s="260" t="s">
        <v>171</v>
      </c>
      <c r="M31" s="260"/>
      <c r="N31" s="260"/>
      <c r="O31" s="260"/>
      <c r="P31" s="260"/>
      <c r="Q31" s="94" t="s">
        <v>144</v>
      </c>
      <c r="R31" s="87">
        <v>0</v>
      </c>
    </row>
    <row r="32" spans="1:19" ht="25" customHeight="1" thickBot="1">
      <c r="A32" s="88"/>
      <c r="B32" s="88"/>
      <c r="C32" s="261" t="s">
        <v>164</v>
      </c>
      <c r="D32" s="261"/>
      <c r="E32" s="92" t="s">
        <v>162</v>
      </c>
      <c r="F32" s="264">
        <f>I32*$G$21</f>
        <v>1079174.8</v>
      </c>
      <c r="G32" s="264"/>
      <c r="H32" s="95" t="s">
        <v>144</v>
      </c>
      <c r="I32" s="89">
        <f>$I$30+$I$31</f>
        <v>266.2</v>
      </c>
      <c r="J32" s="88"/>
      <c r="K32" s="88"/>
      <c r="L32" s="261" t="s">
        <v>164</v>
      </c>
      <c r="M32" s="261"/>
      <c r="N32" s="261"/>
      <c r="O32" s="261"/>
      <c r="P32" s="261"/>
      <c r="Q32" s="95" t="s">
        <v>144</v>
      </c>
      <c r="R32" s="89">
        <f>SUM(R30:R31)</f>
        <v>650.45000000000005</v>
      </c>
      <c r="S32" s="165">
        <f>SUM(I32,R32)</f>
        <v>916.65000000000009</v>
      </c>
    </row>
    <row r="33" spans="1:18" ht="5.15" customHeight="1" thickTop="1">
      <c r="C33" s="41"/>
      <c r="D33" s="41"/>
      <c r="E33" s="41"/>
      <c r="F33" s="41"/>
      <c r="G33" s="41"/>
      <c r="H33" s="41"/>
      <c r="I33" s="42"/>
      <c r="L33" s="41"/>
      <c r="M33" s="41"/>
      <c r="N33" s="41"/>
      <c r="O33" s="41"/>
      <c r="P33" s="41"/>
      <c r="Q33" s="41"/>
      <c r="R33" s="42"/>
    </row>
    <row r="34" spans="1:18" s="67" customFormat="1" ht="14">
      <c r="A34" s="84" t="s">
        <v>128</v>
      </c>
      <c r="J34" s="84" t="s">
        <v>128</v>
      </c>
    </row>
    <row r="35" spans="1:18" s="67" customFormat="1" ht="14">
      <c r="A35" s="85" t="s">
        <v>98</v>
      </c>
      <c r="J35" s="85" t="s">
        <v>98</v>
      </c>
    </row>
    <row r="36" spans="1:18" s="67" customFormat="1" ht="14">
      <c r="A36" s="84" t="s">
        <v>129</v>
      </c>
      <c r="J36" s="84" t="s">
        <v>129</v>
      </c>
    </row>
    <row r="37" spans="1:18" s="67" customFormat="1" ht="14">
      <c r="A37" s="84" t="s">
        <v>130</v>
      </c>
      <c r="J37" s="84" t="s">
        <v>130</v>
      </c>
    </row>
    <row r="38" spans="1:18" s="67" customFormat="1" ht="14">
      <c r="A38" s="84" t="s">
        <v>160</v>
      </c>
      <c r="J38" s="84" t="s">
        <v>160</v>
      </c>
    </row>
    <row r="39" spans="1:18" s="67" customFormat="1" ht="14">
      <c r="A39" s="84" t="s">
        <v>131</v>
      </c>
      <c r="J39" s="84" t="s">
        <v>131</v>
      </c>
    </row>
    <row r="40" spans="1:18" s="67" customFormat="1" ht="14">
      <c r="A40" s="84"/>
      <c r="J40" s="84"/>
    </row>
    <row r="41" spans="1:18">
      <c r="A41" s="84"/>
      <c r="J41" s="84"/>
      <c r="K41" s="159"/>
      <c r="L41" s="159"/>
      <c r="M41" s="52"/>
      <c r="N41" s="143"/>
      <c r="O41" s="48"/>
      <c r="P41" s="48"/>
      <c r="Q41" s="48"/>
      <c r="R41" s="48"/>
    </row>
    <row r="42" spans="1:18">
      <c r="A42" s="84"/>
      <c r="J42" s="84"/>
      <c r="K42" s="159"/>
      <c r="L42" s="159"/>
      <c r="M42" s="52"/>
      <c r="N42" s="143"/>
      <c r="O42" s="48"/>
      <c r="P42" s="48"/>
      <c r="Q42" s="48"/>
      <c r="R42" s="48"/>
    </row>
    <row r="43" spans="1:18">
      <c r="A43" s="84"/>
      <c r="J43" s="84"/>
      <c r="K43" s="159"/>
      <c r="L43" s="159"/>
      <c r="M43" s="52"/>
      <c r="N43" s="143"/>
      <c r="O43" s="48"/>
      <c r="P43" s="48"/>
      <c r="Q43" s="48"/>
      <c r="R43" s="48"/>
    </row>
    <row r="44" spans="1:18">
      <c r="A44" s="84"/>
      <c r="J44" s="84"/>
      <c r="K44" s="159"/>
      <c r="L44" s="159"/>
      <c r="M44" s="52"/>
      <c r="N44" s="143"/>
      <c r="O44" s="48"/>
      <c r="P44" s="48"/>
      <c r="Q44" s="48"/>
      <c r="R44" s="48"/>
    </row>
    <row r="45" spans="1:18">
      <c r="A45" s="84"/>
      <c r="J45" s="84"/>
      <c r="K45" s="159"/>
      <c r="L45" s="159"/>
      <c r="M45" s="52"/>
      <c r="N45" s="143"/>
      <c r="O45" s="48"/>
      <c r="P45" s="48"/>
      <c r="Q45" s="48"/>
      <c r="R45" s="48"/>
    </row>
    <row r="46" spans="1:18">
      <c r="A46" s="84" t="s">
        <v>151</v>
      </c>
      <c r="J46" s="84"/>
      <c r="K46" s="159"/>
      <c r="L46" s="159"/>
      <c r="M46" s="52"/>
      <c r="N46" s="143"/>
      <c r="O46" s="48"/>
      <c r="P46" s="48"/>
      <c r="Q46" s="48"/>
      <c r="R46" s="48"/>
    </row>
    <row r="47" spans="1:18">
      <c r="A47" s="84"/>
      <c r="J47" s="84"/>
      <c r="K47" s="159"/>
      <c r="L47" s="159"/>
      <c r="M47" s="52"/>
      <c r="N47" s="143"/>
      <c r="O47" s="48"/>
      <c r="P47" s="48"/>
      <c r="Q47" s="48"/>
      <c r="R47" s="48"/>
    </row>
    <row r="48" spans="1:18" ht="23.25" customHeight="1">
      <c r="A48" s="32" t="s">
        <v>99</v>
      </c>
      <c r="G48" s="32" t="s">
        <v>100</v>
      </c>
      <c r="J48" s="32" t="s">
        <v>99</v>
      </c>
      <c r="P48" s="32" t="s">
        <v>100</v>
      </c>
    </row>
    <row r="49" spans="1:18" ht="30">
      <c r="A49" s="63" t="s">
        <v>9</v>
      </c>
      <c r="B49" s="64"/>
      <c r="C49" s="55"/>
      <c r="D49" s="55"/>
      <c r="E49" s="55"/>
      <c r="F49" s="55"/>
      <c r="G49" s="61" t="s">
        <v>10</v>
      </c>
      <c r="H49" s="61"/>
      <c r="I49" s="61"/>
      <c r="J49" s="63" t="s">
        <v>9</v>
      </c>
      <c r="K49" s="64"/>
      <c r="L49" s="55"/>
      <c r="M49" s="55"/>
      <c r="N49" s="55"/>
      <c r="O49" s="55"/>
      <c r="P49" s="61" t="s">
        <v>10</v>
      </c>
      <c r="Q49" s="61"/>
      <c r="R49" s="61"/>
    </row>
    <row r="50" spans="1:18" ht="20.25" customHeight="1">
      <c r="A50" s="65" t="s">
        <v>114</v>
      </c>
      <c r="B50" s="66"/>
      <c r="C50" s="56"/>
      <c r="D50" s="55"/>
      <c r="E50" s="55"/>
      <c r="F50" s="55"/>
      <c r="G50" s="55"/>
      <c r="H50" s="55"/>
      <c r="I50" s="55"/>
      <c r="J50" s="65" t="s">
        <v>114</v>
      </c>
      <c r="K50" s="66"/>
      <c r="L50" s="56"/>
      <c r="M50" s="55"/>
      <c r="N50" s="55"/>
      <c r="O50" s="55"/>
      <c r="P50" s="55"/>
      <c r="Q50" s="55"/>
      <c r="R50" s="55"/>
    </row>
    <row r="51" spans="1:18" ht="18" customHeight="1">
      <c r="A51" s="58" t="s">
        <v>115</v>
      </c>
      <c r="B51" s="57"/>
      <c r="C51" s="55"/>
      <c r="D51" s="55"/>
      <c r="E51" s="55"/>
      <c r="F51" s="55"/>
      <c r="G51" s="55"/>
      <c r="H51" s="55"/>
      <c r="I51" s="55"/>
      <c r="J51" s="58" t="s">
        <v>115</v>
      </c>
      <c r="K51" s="57"/>
      <c r="L51" s="55"/>
      <c r="M51" s="55"/>
      <c r="N51" s="55"/>
      <c r="O51" s="55"/>
      <c r="P51" s="55"/>
      <c r="Q51" s="55"/>
      <c r="R51" s="55"/>
    </row>
    <row r="52" spans="1:18" ht="27.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</row>
    <row r="56" spans="1:18" ht="23">
      <c r="A56" s="39"/>
      <c r="J56" s="39"/>
    </row>
  </sheetData>
  <dataConsolidate/>
  <mergeCells count="44">
    <mergeCell ref="A2:I2"/>
    <mergeCell ref="J2:R2"/>
    <mergeCell ref="A3:I3"/>
    <mergeCell ref="J3:R3"/>
    <mergeCell ref="C4:G4"/>
    <mergeCell ref="L4:P4"/>
    <mergeCell ref="A5:I5"/>
    <mergeCell ref="J5:R5"/>
    <mergeCell ref="A6:I6"/>
    <mergeCell ref="J6:R6"/>
    <mergeCell ref="A9:I9"/>
    <mergeCell ref="J9:R9"/>
    <mergeCell ref="K19:L19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G21:I21"/>
    <mergeCell ref="P21:R21"/>
    <mergeCell ref="B22:C22"/>
    <mergeCell ref="K22:L22"/>
    <mergeCell ref="B23:C23"/>
    <mergeCell ref="K23:L23"/>
    <mergeCell ref="B25:C25"/>
    <mergeCell ref="B29:C29"/>
    <mergeCell ref="K29:L29"/>
    <mergeCell ref="C30:D30"/>
    <mergeCell ref="F30:G30"/>
    <mergeCell ref="L30:P30"/>
    <mergeCell ref="C31:D31"/>
    <mergeCell ref="F31:G31"/>
    <mergeCell ref="L31:P31"/>
    <mergeCell ref="C32:D32"/>
    <mergeCell ref="F32:G32"/>
    <mergeCell ref="L32:P32"/>
  </mergeCells>
  <conditionalFormatting sqref="S12">
    <cfRule type="duplicateValues" dxfId="13" priority="1"/>
    <cfRule type="duplicateValues" dxfId="12" priority="2"/>
  </conditionalFormatting>
  <dataValidations count="10">
    <dataValidation type="list" allowBlank="1" showInputMessage="1" showErrorMessage="1" sqref="I20" xr:uid="{00000000-0002-0000-0600-000000000000}">
      <formula1>"BRAZIL,UK,SHV PORT,PNH PORT,HLH,CANADA,USA,OLAIR, CA,SPAIN"</formula1>
    </dataValidation>
    <dataValidation type="list" allowBlank="1" showInputMessage="1" showErrorMessage="1" sqref="I19" xr:uid="{00000000-0002-0000-0600-000001000000}">
      <formula1>"TAIWAN,PNH IN'T,SHV PORT, PNH PORT,HK,JP,CHINA,VN,CA"</formula1>
    </dataValidation>
    <dataValidation type="list" allowBlank="1" showInputMessage="1" showErrorMessage="1" sqref="E26:E28 N41:N47" xr:uid="{00000000-0002-0000-0600-000002000000}">
      <formula1>"SET,40H,20G,TRUCK,LCL"</formula1>
    </dataValidation>
    <dataValidation type="list" allowBlank="1" showInputMessage="1" showErrorMessage="1" sqref="B25:C28" xr:uid="{00000000-0002-0000-0600-000003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A17" xr:uid="{00000000-0002-0000-0600-000004000000}">
      <formula1>"លេខ អ ត ប (VATTIN)  : L001-901805758"</formula1>
    </dataValidation>
    <dataValidation type="list" allowBlank="1" showInputMessage="1" showErrorMessage="1" sqref="K25 L41:L47" xr:uid="{00000000-0002-0000-0600-000005000000}">
      <formula1>"AWB FEE,STORAGE FEE,THC FEE,WAREHOUSE FEE,CUSTOM PROCESSING FEE,LOLO AT PORT,LOLO EMPTY CONTAINER"</formula1>
    </dataValidation>
    <dataValidation type="list" allowBlank="1" showInputMessage="1" showErrorMessage="1" sqref="L25 K26:K27" xr:uid="{00000000-0002-0000-0600-000006000000}">
      <formula1>"AWB FEE,STORAGE FEE,THC FEE,WAREHOUSE FEE,LOLO AT PP PORT,CUSTOM PROCESSING FEE,LOLO AT PORT,LOLO EMPTY CONTAINER"</formula1>
    </dataValidation>
    <dataValidation type="list" allowBlank="1" showInputMessage="1" showErrorMessage="1" sqref="K28" xr:uid="{00000000-0002-0000-0600-000007000000}">
      <formula1>"AWB FEE,STORAGE FEE,THC FEE,HBL FEE,WAREHOUSE FEE,CUSTOM PROCESSING FEE,LOLO AT PORT,LOLO EMPTY CONTAINER"</formula1>
    </dataValidation>
    <dataValidation type="list" allowBlank="1" showInputMessage="1" showErrorMessage="1" sqref="E25 N25:N28" xr:uid="{00000000-0002-0000-0600-000008000000}">
      <formula1>"SET,40H,20G,TRUCK,LCL,45H"</formula1>
    </dataValidation>
    <dataValidation type="list" allowBlank="1" showInputMessage="1" showErrorMessage="1" sqref="K41:K47" xr:uid="{00000000-0002-0000-0600-000009000000}">
      <formula1>"AWB FEE,STORAGE FEE,THC FEE,WAREHOUSE FEE,CUSTOM PROCESSING FEE,LOLO AT PORT,LOLO EMPTY DROP DOWN"</formula1>
    </dataValidation>
  </dataValidations>
  <printOptions horizontalCentered="1"/>
  <pageMargins left="0.2" right="0.2" top="0.25" bottom="0.1" header="0.05" footer="0.05"/>
  <pageSetup paperSize="9" scale="85" orientation="portrait" r:id="rId1"/>
  <rowBreaks count="1" manualBreakCount="1">
    <brk id="51" max="17" man="1"/>
  </rowBreaks>
  <colBreaks count="1" manualBreakCount="1">
    <brk id="9" max="51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H51"/>
  <sheetViews>
    <sheetView view="pageBreakPreview" topLeftCell="A13" zoomScale="115" zoomScaleNormal="100" zoomScaleSheetLayoutView="115" workbookViewId="0">
      <selection activeCell="A17" sqref="A17:B17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7265625" bestFit="1" customWidth="1"/>
    <col min="8" max="8" width="10.1796875" bestFit="1" customWidth="1"/>
  </cols>
  <sheetData>
    <row r="1" spans="1:8" ht="18">
      <c r="A1" s="276" t="s">
        <v>172</v>
      </c>
      <c r="B1" s="276"/>
      <c r="C1" s="276"/>
      <c r="D1" s="276"/>
      <c r="E1" s="276"/>
      <c r="F1" s="276"/>
      <c r="G1" s="276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288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'375'!I13</f>
        <v>46286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'375'!B19</f>
        <v>COSU6464808450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'375'!I18</f>
        <v>14952.5</v>
      </c>
      <c r="D10" s="67"/>
      <c r="E10" s="67"/>
      <c r="F10" s="103" t="s">
        <v>158</v>
      </c>
      <c r="G10" s="104" t="str">
        <f>'375'!I19</f>
        <v>PNH PORT</v>
      </c>
    </row>
    <row r="11" spans="1:8">
      <c r="A11" s="103" t="s">
        <v>111</v>
      </c>
      <c r="B11" s="98" t="s">
        <v>119</v>
      </c>
      <c r="C11" s="105" t="str">
        <f>'375'!E19</f>
        <v>1X45'HQ</v>
      </c>
      <c r="D11" s="82"/>
      <c r="E11" s="82"/>
      <c r="F11" s="103" t="s">
        <v>159</v>
      </c>
      <c r="G11" s="104" t="str">
        <f>'375'!I20</f>
        <v>USA</v>
      </c>
    </row>
    <row r="12" spans="1:8">
      <c r="A12" s="103" t="s">
        <v>113</v>
      </c>
      <c r="B12" s="98" t="s">
        <v>119</v>
      </c>
      <c r="C12" s="106" t="str">
        <f>'375'!E20</f>
        <v>TEMU8045497</v>
      </c>
      <c r="D12" s="82"/>
      <c r="E12" s="82"/>
      <c r="F12" s="103" t="s">
        <v>116</v>
      </c>
      <c r="G12" s="107" t="str">
        <f>'375'!B20</f>
        <v>977 CTNS</v>
      </c>
    </row>
    <row r="13" spans="1:8">
      <c r="A13" s="103" t="s">
        <v>136</v>
      </c>
      <c r="B13" s="98" t="s">
        <v>119</v>
      </c>
      <c r="C13" s="67" t="str">
        <f>'375'!C17</f>
        <v>JR APPAREL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67" t="str">
        <f>'375'!C18</f>
        <v>CHAPTERONE SPORTSWEAR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7" t="s">
        <v>138</v>
      </c>
      <c r="B16" s="278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'375'!S12</f>
        <v>E 284067</v>
      </c>
    </row>
    <row r="17" spans="1:8" s="116" customFormat="1" ht="14">
      <c r="A17" s="281">
        <v>1</v>
      </c>
      <c r="B17" s="282"/>
      <c r="C17" s="144" t="s">
        <v>192</v>
      </c>
      <c r="D17" s="145">
        <v>1</v>
      </c>
      <c r="E17" s="150" t="s">
        <v>274</v>
      </c>
      <c r="F17" s="117">
        <v>260</v>
      </c>
      <c r="G17" s="118">
        <f>ROUND(F17*D17,2)</f>
        <v>260</v>
      </c>
    </row>
    <row r="18" spans="1:8">
      <c r="A18" s="281">
        <v>2</v>
      </c>
      <c r="B18" s="282"/>
      <c r="C18" s="144" t="s">
        <v>177</v>
      </c>
      <c r="D18" s="145">
        <v>1</v>
      </c>
      <c r="E18" s="150" t="s">
        <v>274</v>
      </c>
      <c r="F18" s="146">
        <v>35</v>
      </c>
      <c r="G18" s="118">
        <f t="shared" ref="G18:G20" si="0">ROUND(F18*D18,2)</f>
        <v>35</v>
      </c>
    </row>
    <row r="19" spans="1:8">
      <c r="A19" s="281">
        <v>3</v>
      </c>
      <c r="B19" s="282"/>
      <c r="C19" s="186" t="s">
        <v>212</v>
      </c>
      <c r="D19" s="145">
        <v>1</v>
      </c>
      <c r="E19" s="150" t="s">
        <v>207</v>
      </c>
      <c r="F19" s="146">
        <v>169</v>
      </c>
      <c r="G19" s="118">
        <f t="shared" si="0"/>
        <v>169</v>
      </c>
      <c r="H19" s="185">
        <f>G17*65%</f>
        <v>169</v>
      </c>
    </row>
    <row r="20" spans="1:8">
      <c r="A20" s="281">
        <v>4</v>
      </c>
      <c r="B20" s="282"/>
      <c r="C20" s="186" t="s">
        <v>362</v>
      </c>
      <c r="D20" s="145">
        <v>1</v>
      </c>
      <c r="E20" s="150" t="s">
        <v>237</v>
      </c>
      <c r="F20" s="146">
        <v>57.5</v>
      </c>
      <c r="G20" s="118">
        <f t="shared" si="0"/>
        <v>57.5</v>
      </c>
      <c r="H20" s="77"/>
    </row>
    <row r="21" spans="1:8">
      <c r="A21" s="281">
        <v>5</v>
      </c>
      <c r="B21" s="282"/>
      <c r="C21" s="144" t="s">
        <v>200</v>
      </c>
      <c r="D21" s="145">
        <v>1</v>
      </c>
      <c r="E21" s="150" t="s">
        <v>156</v>
      </c>
      <c r="F21" s="146">
        <v>25</v>
      </c>
      <c r="G21" s="118">
        <f t="shared" ref="G21:G28" si="1">ROUND(F21*D21,2)</f>
        <v>25</v>
      </c>
    </row>
    <row r="22" spans="1:8" s="116" customFormat="1" ht="14">
      <c r="A22" s="281">
        <v>6</v>
      </c>
      <c r="B22" s="282"/>
      <c r="C22" s="186" t="s">
        <v>201</v>
      </c>
      <c r="D22" s="206">
        <v>1</v>
      </c>
      <c r="E22" s="207" t="s">
        <v>203</v>
      </c>
      <c r="F22" s="210">
        <v>20</v>
      </c>
      <c r="G22" s="209">
        <f>ROUND(F22*D22,2)</f>
        <v>20</v>
      </c>
    </row>
    <row r="23" spans="1:8">
      <c r="A23" s="281">
        <v>7</v>
      </c>
      <c r="B23" s="282"/>
      <c r="C23" s="144" t="s">
        <v>179</v>
      </c>
      <c r="D23" s="145">
        <v>1</v>
      </c>
      <c r="E23" s="150" t="s">
        <v>274</v>
      </c>
      <c r="F23" s="146">
        <v>40</v>
      </c>
      <c r="G23" s="118">
        <f t="shared" si="1"/>
        <v>40</v>
      </c>
    </row>
    <row r="24" spans="1:8">
      <c r="A24" s="281">
        <v>8</v>
      </c>
      <c r="B24" s="282"/>
      <c r="C24" s="144" t="s">
        <v>314</v>
      </c>
      <c r="D24" s="145">
        <v>1</v>
      </c>
      <c r="E24" s="150" t="s">
        <v>274</v>
      </c>
      <c r="F24" s="146">
        <v>80</v>
      </c>
      <c r="G24" s="118">
        <f t="shared" si="1"/>
        <v>80</v>
      </c>
    </row>
    <row r="25" spans="1:8">
      <c r="A25" s="281">
        <v>9</v>
      </c>
      <c r="B25" s="282"/>
      <c r="C25" s="144" t="s">
        <v>316</v>
      </c>
      <c r="D25" s="145">
        <v>1</v>
      </c>
      <c r="E25" s="150" t="s">
        <v>274</v>
      </c>
      <c r="F25" s="146">
        <v>60</v>
      </c>
      <c r="G25" s="118">
        <f t="shared" ref="G25" si="2">ROUND(F25*D25,2)</f>
        <v>60</v>
      </c>
    </row>
    <row r="26" spans="1:8">
      <c r="A26" s="281">
        <v>10</v>
      </c>
      <c r="B26" s="282"/>
      <c r="C26" s="144" t="s">
        <v>236</v>
      </c>
      <c r="D26" s="145">
        <v>1</v>
      </c>
      <c r="E26" s="150" t="s">
        <v>274</v>
      </c>
      <c r="F26" s="146">
        <v>49.5</v>
      </c>
      <c r="G26" s="118">
        <f t="shared" si="1"/>
        <v>49.5</v>
      </c>
    </row>
    <row r="27" spans="1:8">
      <c r="A27" s="281">
        <v>11</v>
      </c>
      <c r="B27" s="282"/>
      <c r="C27" s="144" t="s">
        <v>317</v>
      </c>
      <c r="D27" s="145">
        <v>1</v>
      </c>
      <c r="E27" s="150" t="s">
        <v>274</v>
      </c>
      <c r="F27" s="146">
        <v>15</v>
      </c>
      <c r="G27" s="118">
        <f>ROUND(F27*D27,2)</f>
        <v>15</v>
      </c>
    </row>
    <row r="28" spans="1:8">
      <c r="A28" s="281">
        <v>12</v>
      </c>
      <c r="B28" s="282"/>
      <c r="C28" s="144" t="s">
        <v>315</v>
      </c>
      <c r="D28" s="145">
        <v>1</v>
      </c>
      <c r="E28" s="150" t="s">
        <v>211</v>
      </c>
      <c r="F28" s="146">
        <v>40</v>
      </c>
      <c r="G28" s="118">
        <f t="shared" si="1"/>
        <v>40</v>
      </c>
    </row>
    <row r="29" spans="1:8">
      <c r="A29" s="67"/>
      <c r="B29" s="67"/>
      <c r="C29" s="67"/>
      <c r="D29" s="161" t="s">
        <v>143</v>
      </c>
      <c r="E29" s="161"/>
      <c r="F29" s="162" t="s">
        <v>144</v>
      </c>
      <c r="G29" s="163">
        <f>SUM(G17:G28)</f>
        <v>851</v>
      </c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32"/>
      <c r="D31" s="32"/>
      <c r="E31" s="32"/>
      <c r="F31" s="32"/>
      <c r="G31" s="32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67"/>
      <c r="B50" s="67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5" t="s">
        <v>145</v>
      </c>
      <c r="F51" s="275"/>
      <c r="G51" s="275"/>
    </row>
  </sheetData>
  <mergeCells count="15">
    <mergeCell ref="E51:G51"/>
    <mergeCell ref="A1:G1"/>
    <mergeCell ref="A16:B16"/>
    <mergeCell ref="A17:B17"/>
    <mergeCell ref="A18:B18"/>
    <mergeCell ref="A19:B19"/>
    <mergeCell ref="A20:B20"/>
    <mergeCell ref="A21:B21"/>
    <mergeCell ref="A22:B22"/>
    <mergeCell ref="A23:B23"/>
    <mergeCell ref="A28:B28"/>
    <mergeCell ref="A26:B26"/>
    <mergeCell ref="A24:B24"/>
    <mergeCell ref="A25:B25"/>
    <mergeCell ref="A27:B27"/>
  </mergeCells>
  <printOptions horizontalCentered="1"/>
  <pageMargins left="0.45" right="0.45" top="0.75" bottom="0.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58"/>
  <sheetViews>
    <sheetView view="pageBreakPreview" topLeftCell="A26" zoomScaleNormal="100" zoomScaleSheetLayoutView="100" workbookViewId="0">
      <selection activeCell="B49" sqref="B49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5" style="32" customWidth="1"/>
    <col min="10" max="10" width="6.26953125" style="32" customWidth="1"/>
    <col min="11" max="11" width="13" style="32" customWidth="1"/>
    <col min="12" max="12" width="36.7265625" style="32" customWidth="1"/>
    <col min="13" max="13" width="8.7265625" style="32" customWidth="1"/>
    <col min="14" max="14" width="7.453125" style="32" customWidth="1"/>
    <col min="15" max="15" width="10" style="32" bestFit="1" customWidth="1"/>
    <col min="16" max="16" width="10.7265625" style="32" customWidth="1"/>
    <col min="17" max="17" width="10.453125" style="32" customWidth="1"/>
    <col min="18" max="18" width="13.453125" style="32" bestFit="1" customWidth="1"/>
    <col min="19" max="19" width="10" style="32" bestFit="1" customWidth="1"/>
    <col min="20" max="16384" width="9.1796875" style="32"/>
  </cols>
  <sheetData>
    <row r="2" spans="1:19" ht="34.5" customHeight="1">
      <c r="A2" s="255" t="s">
        <v>97</v>
      </c>
      <c r="B2" s="255"/>
      <c r="C2" s="255"/>
      <c r="D2" s="255"/>
      <c r="E2" s="255"/>
      <c r="F2" s="255"/>
      <c r="G2" s="255"/>
      <c r="H2" s="255"/>
      <c r="I2" s="255"/>
      <c r="J2" s="255" t="s">
        <v>97</v>
      </c>
      <c r="K2" s="255"/>
      <c r="L2" s="255"/>
      <c r="M2" s="255"/>
      <c r="N2" s="255"/>
      <c r="O2" s="255"/>
      <c r="P2" s="255"/>
      <c r="Q2" s="255"/>
      <c r="R2" s="255"/>
    </row>
    <row r="3" spans="1:19" s="33" customFormat="1" ht="27.75" customHeight="1">
      <c r="A3" s="257" t="s">
        <v>98</v>
      </c>
      <c r="B3" s="257"/>
      <c r="C3" s="257"/>
      <c r="D3" s="257"/>
      <c r="E3" s="257"/>
      <c r="F3" s="257"/>
      <c r="G3" s="257"/>
      <c r="H3" s="257"/>
      <c r="I3" s="257"/>
      <c r="J3" s="257" t="s">
        <v>98</v>
      </c>
      <c r="K3" s="257"/>
      <c r="L3" s="257"/>
      <c r="M3" s="257"/>
      <c r="N3" s="257"/>
      <c r="O3" s="257"/>
      <c r="P3" s="257"/>
      <c r="Q3" s="257"/>
      <c r="R3" s="257"/>
    </row>
    <row r="4" spans="1:19" ht="19.5" customHeight="1">
      <c r="A4" s="59"/>
      <c r="B4" s="59"/>
      <c r="C4" s="258" t="s">
        <v>154</v>
      </c>
      <c r="D4" s="258"/>
      <c r="E4" s="258"/>
      <c r="F4" s="258"/>
      <c r="G4" s="258"/>
      <c r="H4" s="59"/>
      <c r="I4" s="59"/>
      <c r="J4" s="59"/>
      <c r="K4" s="59"/>
      <c r="L4" s="258" t="s">
        <v>154</v>
      </c>
      <c r="M4" s="258"/>
      <c r="N4" s="258"/>
      <c r="O4" s="258"/>
      <c r="P4" s="258"/>
      <c r="Q4" s="59"/>
      <c r="R4" s="59"/>
    </row>
    <row r="5" spans="1:19" s="34" customFormat="1" ht="25" customHeight="1">
      <c r="A5" s="259" t="s">
        <v>126</v>
      </c>
      <c r="B5" s="259"/>
      <c r="C5" s="259"/>
      <c r="D5" s="259"/>
      <c r="E5" s="259"/>
      <c r="F5" s="259"/>
      <c r="G5" s="259"/>
      <c r="H5" s="259"/>
      <c r="I5" s="259"/>
      <c r="J5" s="259" t="s">
        <v>126</v>
      </c>
      <c r="K5" s="259"/>
      <c r="L5" s="259"/>
      <c r="M5" s="259"/>
      <c r="N5" s="259"/>
      <c r="O5" s="259"/>
      <c r="P5" s="259"/>
      <c r="Q5" s="259"/>
      <c r="R5" s="259"/>
    </row>
    <row r="6" spans="1:19" s="34" customFormat="1" ht="22" customHeight="1">
      <c r="A6" s="259" t="s">
        <v>127</v>
      </c>
      <c r="B6" s="259"/>
      <c r="C6" s="259"/>
      <c r="D6" s="259"/>
      <c r="E6" s="259"/>
      <c r="F6" s="259"/>
      <c r="G6" s="259"/>
      <c r="H6" s="259"/>
      <c r="I6" s="259"/>
      <c r="J6" s="259" t="s">
        <v>127</v>
      </c>
      <c r="K6" s="259"/>
      <c r="L6" s="259"/>
      <c r="M6" s="259"/>
      <c r="N6" s="259"/>
      <c r="O6" s="259"/>
      <c r="P6" s="259"/>
      <c r="Q6" s="259"/>
      <c r="R6" s="259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72" t="s">
        <v>96</v>
      </c>
      <c r="B9" s="272"/>
      <c r="C9" s="272"/>
      <c r="D9" s="272"/>
      <c r="E9" s="272"/>
      <c r="F9" s="272"/>
      <c r="G9" s="272"/>
      <c r="H9" s="272"/>
      <c r="I9" s="272"/>
      <c r="J9" s="255" t="s">
        <v>168</v>
      </c>
      <c r="K9" s="255"/>
      <c r="L9" s="255"/>
      <c r="M9" s="255"/>
      <c r="N9" s="255"/>
      <c r="O9" s="255"/>
      <c r="P9" s="255"/>
      <c r="Q9" s="255"/>
      <c r="R9" s="255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6" t="s">
        <v>357</v>
      </c>
      <c r="B12" s="266"/>
      <c r="C12" s="266"/>
      <c r="D12" s="266"/>
      <c r="F12" s="253" t="s">
        <v>107</v>
      </c>
      <c r="G12" s="253"/>
      <c r="H12" s="253"/>
      <c r="I12" s="101" t="s">
        <v>289</v>
      </c>
      <c r="J12" s="124" t="str">
        <f t="shared" ref="J12:J19" si="0">A12</f>
        <v>ឈ្មោះអតិថិជន /Customer: ជេអ អឹភែរឹល ឯ.ក</v>
      </c>
      <c r="K12" s="38"/>
      <c r="O12" s="253" t="s">
        <v>194</v>
      </c>
      <c r="P12" s="253"/>
      <c r="Q12" s="253"/>
      <c r="R12" s="101" t="s">
        <v>290</v>
      </c>
      <c r="S12" s="160" t="s">
        <v>291</v>
      </c>
    </row>
    <row r="13" spans="1:19" ht="20.149999999999999" customHeight="1">
      <c r="A13" s="268" t="s">
        <v>189</v>
      </c>
      <c r="B13" s="268"/>
      <c r="C13" s="268"/>
      <c r="D13" s="268"/>
      <c r="E13" s="253" t="s">
        <v>106</v>
      </c>
      <c r="F13" s="253"/>
      <c r="G13" s="253"/>
      <c r="H13" s="253"/>
      <c r="I13" s="102">
        <v>46286</v>
      </c>
      <c r="J13" s="115" t="str">
        <f t="shared" si="0"/>
        <v>JR APPAREL CO.,LTD</v>
      </c>
      <c r="K13" s="35"/>
      <c r="N13" s="253" t="s">
        <v>195</v>
      </c>
      <c r="O13" s="253"/>
      <c r="P13" s="253"/>
      <c r="Q13" s="253"/>
      <c r="R13" s="123">
        <f>I13</f>
        <v>46286</v>
      </c>
    </row>
    <row r="14" spans="1:19" ht="25" customHeight="1">
      <c r="A14" s="269" t="s">
        <v>184</v>
      </c>
      <c r="B14" s="269"/>
      <c r="C14" s="269"/>
      <c r="D14" s="269"/>
      <c r="E14" s="269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43" t="s">
        <v>186</v>
      </c>
      <c r="B15" s="243"/>
      <c r="C15" s="243"/>
      <c r="D15" s="243"/>
      <c r="E15" s="243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5" t="s">
        <v>183</v>
      </c>
      <c r="B16" s="265"/>
      <c r="C16" s="265"/>
      <c r="D16" s="265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320</v>
      </c>
      <c r="H17" s="120"/>
      <c r="I17" s="120"/>
      <c r="J17" s="46" t="str">
        <f t="shared" si="0"/>
        <v>SHIPPER:</v>
      </c>
      <c r="L17" s="46" t="str">
        <f>C17</f>
        <v>SHANGHAI YONGYUE IMP. &amp;EXP. TRADING CO., LTD.</v>
      </c>
      <c r="Q17" s="120"/>
      <c r="R17" s="120"/>
    </row>
    <row r="18" spans="1:19" s="46" customFormat="1" ht="19.5" customHeight="1">
      <c r="A18" s="46" t="s">
        <v>110</v>
      </c>
      <c r="C18" s="46" t="s">
        <v>190</v>
      </c>
      <c r="G18" s="254" t="s">
        <v>157</v>
      </c>
      <c r="H18" s="254"/>
      <c r="I18" s="81">
        <v>24300</v>
      </c>
      <c r="J18" s="46" t="str">
        <f t="shared" si="0"/>
        <v>CONSIGNEE :</v>
      </c>
      <c r="L18" s="46" t="str">
        <f>C18</f>
        <v>JR APPAREL CO., LTD.</v>
      </c>
      <c r="P18" s="254" t="str">
        <f>G18</f>
        <v>GROSS WEIGHT:</v>
      </c>
      <c r="Q18" s="254"/>
      <c r="R18" s="81">
        <f>I18</f>
        <v>24300</v>
      </c>
    </row>
    <row r="19" spans="1:19" s="46" customFormat="1" ht="19.5" customHeight="1">
      <c r="A19" s="46" t="s">
        <v>112</v>
      </c>
      <c r="B19" s="116" t="s">
        <v>323</v>
      </c>
      <c r="D19" s="58" t="s">
        <v>111</v>
      </c>
      <c r="E19" s="180" t="s">
        <v>224</v>
      </c>
      <c r="H19" s="80" t="s">
        <v>158</v>
      </c>
      <c r="I19" s="232" t="s">
        <v>321</v>
      </c>
      <c r="J19" s="46" t="str">
        <f t="shared" si="0"/>
        <v>HBL:</v>
      </c>
      <c r="K19" s="271" t="str">
        <f>B19</f>
        <v>SHSIN6090083</v>
      </c>
      <c r="L19" s="271"/>
      <c r="M19" s="58" t="s">
        <v>111</v>
      </c>
      <c r="N19" s="148" t="str">
        <f>E19</f>
        <v>1X40'HQ</v>
      </c>
      <c r="Q19" s="80" t="s">
        <v>158</v>
      </c>
      <c r="R19" s="121" t="str">
        <f>I19</f>
        <v>CHINA</v>
      </c>
    </row>
    <row r="20" spans="1:19" s="46" customFormat="1" ht="19.5" customHeight="1">
      <c r="A20" s="58" t="s">
        <v>116</v>
      </c>
      <c r="B20" s="172" t="s">
        <v>324</v>
      </c>
      <c r="C20" s="96"/>
      <c r="D20" s="58" t="s">
        <v>113</v>
      </c>
      <c r="E20" s="148" t="s">
        <v>325</v>
      </c>
      <c r="H20" s="80" t="s">
        <v>159</v>
      </c>
      <c r="I20" s="201" t="s">
        <v>322</v>
      </c>
      <c r="J20" s="58" t="str">
        <f>A20</f>
        <v>PKGS:</v>
      </c>
      <c r="K20" s="172" t="str">
        <f>B20</f>
        <v>797 ROLLS</v>
      </c>
      <c r="L20" s="96"/>
      <c r="M20" s="58" t="s">
        <v>113</v>
      </c>
      <c r="N20" s="148" t="str">
        <f>E20</f>
        <v>OOCU7012318</v>
      </c>
      <c r="Q20" s="80" t="s">
        <v>159</v>
      </c>
      <c r="R20" s="73" t="str">
        <f>I20</f>
        <v>SHV PORT</v>
      </c>
    </row>
    <row r="21" spans="1:19" ht="15" customHeight="1" thickBot="1">
      <c r="A21" s="44"/>
      <c r="B21" s="35"/>
      <c r="G21" s="249">
        <v>4054</v>
      </c>
      <c r="H21" s="249"/>
      <c r="I21" s="249"/>
      <c r="J21" s="44"/>
      <c r="K21" s="35"/>
      <c r="P21" s="249">
        <f>G21</f>
        <v>4054</v>
      </c>
      <c r="Q21" s="249"/>
      <c r="R21" s="249"/>
    </row>
    <row r="22" spans="1:19" s="36" customFormat="1" ht="30" customHeight="1">
      <c r="A22" s="78" t="s">
        <v>0</v>
      </c>
      <c r="B22" s="250" t="s">
        <v>1</v>
      </c>
      <c r="C22" s="250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0" t="s">
        <v>1</v>
      </c>
      <c r="L22" s="250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51" t="s">
        <v>6</v>
      </c>
      <c r="C23" s="251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51" t="s">
        <v>6</v>
      </c>
      <c r="L23" s="251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180</v>
      </c>
      <c r="C25" s="270"/>
      <c r="D25" s="52">
        <v>1</v>
      </c>
      <c r="E25" s="170" t="s">
        <v>191</v>
      </c>
      <c r="F25" s="48">
        <v>200</v>
      </c>
      <c r="G25" s="48">
        <f>ROUND(F25*D25,2)</f>
        <v>200</v>
      </c>
      <c r="H25" s="48">
        <f>G25*10%</f>
        <v>20</v>
      </c>
      <c r="I25" s="48">
        <f>H25+G25</f>
        <v>220</v>
      </c>
      <c r="J25" s="143">
        <v>1</v>
      </c>
      <c r="K25" s="159" t="s">
        <v>230</v>
      </c>
      <c r="L25" s="159"/>
      <c r="M25" s="52">
        <v>1</v>
      </c>
      <c r="N25" s="143" t="s">
        <v>191</v>
      </c>
      <c r="O25" s="48">
        <v>95.7</v>
      </c>
      <c r="P25" s="48">
        <f>O25*M25</f>
        <v>95.7</v>
      </c>
      <c r="Q25" s="48">
        <v>0</v>
      </c>
      <c r="R25" s="48">
        <f>Q25+P25</f>
        <v>95.7</v>
      </c>
    </row>
    <row r="26" spans="1:19" ht="25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191</v>
      </c>
      <c r="O26" s="48">
        <v>18.75</v>
      </c>
      <c r="P26" s="48">
        <f t="shared" ref="P26:P27" si="1">O26*M26</f>
        <v>18.75</v>
      </c>
      <c r="Q26" s="48">
        <v>0</v>
      </c>
      <c r="R26" s="48">
        <f t="shared" ref="R26:R27" si="2">Q26+P26</f>
        <v>18.75</v>
      </c>
    </row>
    <row r="27" spans="1:19" ht="25" customHeight="1">
      <c r="A27" s="142"/>
      <c r="B27" s="147"/>
      <c r="C27" s="147"/>
      <c r="D27" s="52"/>
      <c r="E27" s="170"/>
      <c r="F27" s="48"/>
      <c r="G27" s="48"/>
      <c r="H27" s="48"/>
      <c r="I27" s="48"/>
      <c r="J27" s="143">
        <v>3</v>
      </c>
      <c r="K27" s="159" t="s">
        <v>326</v>
      </c>
      <c r="L27" s="159"/>
      <c r="M27" s="52">
        <v>1</v>
      </c>
      <c r="N27" s="143" t="s">
        <v>191</v>
      </c>
      <c r="O27" s="48">
        <v>691.5</v>
      </c>
      <c r="P27" s="48">
        <f t="shared" si="1"/>
        <v>691.5</v>
      </c>
      <c r="Q27" s="48">
        <v>0</v>
      </c>
      <c r="R27" s="48">
        <f t="shared" si="2"/>
        <v>691.5</v>
      </c>
    </row>
    <row r="28" spans="1:19" ht="9" customHeight="1" thickBot="1">
      <c r="A28" s="49"/>
      <c r="B28" s="252"/>
      <c r="C28" s="252"/>
      <c r="D28" s="53"/>
      <c r="E28" s="51"/>
      <c r="F28" s="50"/>
      <c r="G28" s="50"/>
      <c r="H28" s="50"/>
      <c r="I28" s="50"/>
      <c r="J28" s="49"/>
      <c r="K28" s="252"/>
      <c r="L28" s="252"/>
      <c r="M28" s="53"/>
      <c r="N28" s="51"/>
      <c r="O28" s="50"/>
      <c r="P28" s="50"/>
      <c r="Q28" s="50"/>
      <c r="R28" s="50"/>
    </row>
    <row r="29" spans="1:19" s="36" customFormat="1" ht="25" customHeight="1">
      <c r="C29" s="267" t="s">
        <v>163</v>
      </c>
      <c r="D29" s="267"/>
      <c r="E29" s="90" t="s">
        <v>162</v>
      </c>
      <c r="F29" s="262">
        <f>$I$29*G21</f>
        <v>810800</v>
      </c>
      <c r="G29" s="262"/>
      <c r="H29" s="93" t="s">
        <v>144</v>
      </c>
      <c r="I29" s="86">
        <f>SUM(G25:G28)</f>
        <v>200</v>
      </c>
      <c r="L29" s="267" t="s">
        <v>163</v>
      </c>
      <c r="M29" s="267"/>
      <c r="N29" s="267"/>
      <c r="O29" s="267"/>
      <c r="P29" s="267"/>
      <c r="Q29" s="93" t="s">
        <v>144</v>
      </c>
      <c r="R29" s="86">
        <f>SUM(R25:R28)</f>
        <v>805.95</v>
      </c>
    </row>
    <row r="30" spans="1:19" s="36" customFormat="1" ht="25" customHeight="1">
      <c r="C30" s="260" t="s">
        <v>161</v>
      </c>
      <c r="D30" s="260"/>
      <c r="E30" s="91" t="s">
        <v>162</v>
      </c>
      <c r="F30" s="263">
        <f>$I$30*$G$21</f>
        <v>81080</v>
      </c>
      <c r="G30" s="263"/>
      <c r="H30" s="94" t="s">
        <v>144</v>
      </c>
      <c r="I30" s="87">
        <f>ROUND(SUM(H25:H28),2)</f>
        <v>20</v>
      </c>
      <c r="L30" s="260" t="s">
        <v>171</v>
      </c>
      <c r="M30" s="260"/>
      <c r="N30" s="260"/>
      <c r="O30" s="260"/>
      <c r="P30" s="260"/>
      <c r="Q30" s="94" t="s">
        <v>144</v>
      </c>
      <c r="R30" s="87">
        <v>0</v>
      </c>
    </row>
    <row r="31" spans="1:19" ht="25" customHeight="1" thickBot="1">
      <c r="A31" s="88"/>
      <c r="B31" s="88"/>
      <c r="C31" s="261" t="s">
        <v>164</v>
      </c>
      <c r="D31" s="261"/>
      <c r="E31" s="92" t="s">
        <v>162</v>
      </c>
      <c r="F31" s="264">
        <f>I31*$G$21</f>
        <v>891880</v>
      </c>
      <c r="G31" s="264"/>
      <c r="H31" s="95" t="s">
        <v>144</v>
      </c>
      <c r="I31" s="89">
        <f>$I$29+$I$30</f>
        <v>220</v>
      </c>
      <c r="J31" s="88"/>
      <c r="K31" s="88"/>
      <c r="L31" s="261" t="s">
        <v>164</v>
      </c>
      <c r="M31" s="261"/>
      <c r="N31" s="261"/>
      <c r="O31" s="261"/>
      <c r="P31" s="261"/>
      <c r="Q31" s="95" t="s">
        <v>144</v>
      </c>
      <c r="R31" s="89">
        <f>SUM(R29:R30)</f>
        <v>805.95</v>
      </c>
      <c r="S31" s="165">
        <f>SUM(I31,R31)</f>
        <v>1025.95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0" s="67" customFormat="1" ht="14">
      <c r="A33" s="84" t="s">
        <v>128</v>
      </c>
      <c r="J33" s="84" t="s">
        <v>128</v>
      </c>
    </row>
    <row r="34" spans="1:10" s="67" customFormat="1" ht="14">
      <c r="A34" s="85" t="s">
        <v>98</v>
      </c>
      <c r="J34" s="85" t="s">
        <v>98</v>
      </c>
    </row>
    <row r="35" spans="1:10" s="67" customFormat="1" ht="14">
      <c r="A35" s="84" t="s">
        <v>129</v>
      </c>
      <c r="J35" s="84" t="s">
        <v>129</v>
      </c>
    </row>
    <row r="36" spans="1:10" s="67" customFormat="1" ht="14">
      <c r="A36" s="84" t="s">
        <v>130</v>
      </c>
      <c r="J36" s="84" t="s">
        <v>130</v>
      </c>
    </row>
    <row r="37" spans="1:10" s="67" customFormat="1" ht="14">
      <c r="A37" s="84" t="s">
        <v>160</v>
      </c>
      <c r="J37" s="84" t="s">
        <v>160</v>
      </c>
    </row>
    <row r="38" spans="1:10" s="67" customFormat="1" ht="14">
      <c r="A38" s="84" t="s">
        <v>131</v>
      </c>
      <c r="J38" s="84" t="s">
        <v>131</v>
      </c>
    </row>
    <row r="39" spans="1:10" s="67" customFormat="1" ht="14">
      <c r="A39" s="84"/>
      <c r="J39" s="84"/>
    </row>
    <row r="40" spans="1:10">
      <c r="A40" s="84"/>
      <c r="J40" s="84"/>
    </row>
    <row r="41" spans="1:10">
      <c r="A41" s="84"/>
      <c r="J41" s="84"/>
    </row>
    <row r="42" spans="1:10">
      <c r="A42" s="84"/>
      <c r="J42" s="84"/>
    </row>
    <row r="43" spans="1:10">
      <c r="A43" s="84"/>
      <c r="J43" s="84"/>
    </row>
    <row r="44" spans="1:10">
      <c r="A44" s="84"/>
      <c r="J44" s="84"/>
    </row>
    <row r="45" spans="1:10">
      <c r="A45" s="84"/>
      <c r="J45" s="84"/>
    </row>
    <row r="46" spans="1:10">
      <c r="A46" s="84"/>
      <c r="J46" s="84"/>
    </row>
    <row r="47" spans="1:10">
      <c r="A47" s="84"/>
      <c r="J47" s="84"/>
    </row>
    <row r="48" spans="1:10">
      <c r="A48" s="84"/>
      <c r="J48" s="84"/>
    </row>
    <row r="49" spans="1:18">
      <c r="A49" s="84"/>
      <c r="J49" s="84"/>
    </row>
    <row r="50" spans="1:18" ht="23.25" customHeight="1">
      <c r="A50" s="32" t="s">
        <v>99</v>
      </c>
      <c r="G50" s="32" t="s">
        <v>100</v>
      </c>
      <c r="J50" s="32" t="s">
        <v>99</v>
      </c>
      <c r="P50" s="32" t="s">
        <v>100</v>
      </c>
    </row>
    <row r="51" spans="1:18" ht="30">
      <c r="A51" s="63" t="s">
        <v>9</v>
      </c>
      <c r="B51" s="64"/>
      <c r="C51" s="55"/>
      <c r="D51" s="55"/>
      <c r="E51" s="55"/>
      <c r="F51" s="55"/>
      <c r="G51" s="61" t="s">
        <v>10</v>
      </c>
      <c r="H51" s="61"/>
      <c r="I51" s="61"/>
      <c r="J51" s="63" t="s">
        <v>9</v>
      </c>
      <c r="K51" s="64"/>
      <c r="L51" s="55"/>
      <c r="M51" s="55"/>
      <c r="N51" s="55"/>
      <c r="O51" s="55"/>
      <c r="P51" s="61" t="s">
        <v>10</v>
      </c>
      <c r="Q51" s="61"/>
      <c r="R51" s="61"/>
    </row>
    <row r="52" spans="1:18" ht="20.25" customHeight="1">
      <c r="A52" s="65" t="s">
        <v>114</v>
      </c>
      <c r="B52" s="66"/>
      <c r="C52" s="56"/>
      <c r="D52" s="55"/>
      <c r="E52" s="55"/>
      <c r="F52" s="55"/>
      <c r="G52" s="55"/>
      <c r="H52" s="55"/>
      <c r="I52" s="55"/>
      <c r="J52" s="65" t="s">
        <v>114</v>
      </c>
      <c r="K52" s="66"/>
      <c r="L52" s="56"/>
      <c r="M52" s="55"/>
      <c r="N52" s="55"/>
      <c r="O52" s="55"/>
      <c r="P52" s="55"/>
      <c r="Q52" s="55"/>
      <c r="R52" s="55"/>
    </row>
    <row r="53" spans="1:18" ht="18" customHeight="1">
      <c r="A53" s="58" t="s">
        <v>115</v>
      </c>
      <c r="B53" s="57"/>
      <c r="C53" s="55"/>
      <c r="D53" s="55"/>
      <c r="E53" s="55"/>
      <c r="F53" s="55"/>
      <c r="G53" s="55"/>
      <c r="H53" s="55"/>
      <c r="I53" s="55"/>
      <c r="J53" s="58" t="s">
        <v>115</v>
      </c>
      <c r="K53" s="57"/>
      <c r="L53" s="55"/>
      <c r="M53" s="55"/>
      <c r="N53" s="55"/>
      <c r="O53" s="55"/>
      <c r="P53" s="55"/>
      <c r="Q53" s="55"/>
      <c r="R53" s="55"/>
    </row>
    <row r="54" spans="1:18" ht="27.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</row>
    <row r="58" spans="1:18" ht="23">
      <c r="A58" s="39"/>
      <c r="J58" s="39"/>
    </row>
  </sheetData>
  <dataConsolidate/>
  <mergeCells count="44">
    <mergeCell ref="C30:D30"/>
    <mergeCell ref="F30:G30"/>
    <mergeCell ref="L30:P30"/>
    <mergeCell ref="C31:D31"/>
    <mergeCell ref="F31:G31"/>
    <mergeCell ref="L31:P31"/>
    <mergeCell ref="B25:C25"/>
    <mergeCell ref="B28:C28"/>
    <mergeCell ref="K28:L28"/>
    <mergeCell ref="C29:D29"/>
    <mergeCell ref="F29:G29"/>
    <mergeCell ref="L29:P29"/>
    <mergeCell ref="G21:I21"/>
    <mergeCell ref="P21:R21"/>
    <mergeCell ref="B22:C22"/>
    <mergeCell ref="K22:L22"/>
    <mergeCell ref="B23:C23"/>
    <mergeCell ref="K23:L23"/>
    <mergeCell ref="K19:L19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A5:I5"/>
    <mergeCell ref="J5:R5"/>
    <mergeCell ref="A6:I6"/>
    <mergeCell ref="J6:R6"/>
    <mergeCell ref="A9:I9"/>
    <mergeCell ref="J9:R9"/>
    <mergeCell ref="A2:I2"/>
    <mergeCell ref="J2:R2"/>
    <mergeCell ref="A3:I3"/>
    <mergeCell ref="J3:R3"/>
    <mergeCell ref="C4:G4"/>
    <mergeCell ref="L4:P4"/>
  </mergeCells>
  <conditionalFormatting sqref="S12">
    <cfRule type="duplicateValues" dxfId="11" priority="1"/>
    <cfRule type="duplicateValues" dxfId="10" priority="2"/>
  </conditionalFormatting>
  <dataValidations count="8">
    <dataValidation type="list" allowBlank="1" showInputMessage="1" showErrorMessage="1" sqref="L25:L27" xr:uid="{00000000-0002-0000-0800-000000000000}">
      <formula1>"AWB FEE,STORAGE FEE,THC FEE,WAREHOUSE FEE,CUSTOM PROCESSING FEE,LOLO AT PORT,LOLO EMPTY CONTAINER"</formula1>
    </dataValidation>
    <dataValidation type="list" allowBlank="1" showInputMessage="1" showErrorMessage="1" sqref="A17" xr:uid="{00000000-0002-0000-0800-000001000000}">
      <formula1>"លេខ អ ត ប (VATTIN)  : L001-901805758"</formula1>
    </dataValidation>
    <dataValidation type="list" allowBlank="1" showInputMessage="1" showErrorMessage="1" sqref="B25:C27" xr:uid="{00000000-0002-0000-0800-000002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E25:E27" xr:uid="{00000000-0002-0000-0800-000003000000}">
      <formula1>"SET,40H,20G,TRUCK,LCL"</formula1>
    </dataValidation>
    <dataValidation type="list" allowBlank="1" showInputMessage="1" showErrorMessage="1" sqref="I19" xr:uid="{00000000-0002-0000-0800-000004000000}">
      <formula1>"TAIWAN,PNH IN'T,SHV PORT, PNH PORT,HK,JP,CHINA,VN,CA"</formula1>
    </dataValidation>
    <dataValidation type="list" allowBlank="1" showInputMessage="1" showErrorMessage="1" sqref="K25:K27" xr:uid="{00000000-0002-0000-0800-000005000000}">
      <formula1>"AWB FEE,STORAGE FEE,THC FEE,HBL FEE,WAREHOUSE FEE,CUSTOM PROCESSING FEE,LOLO AT PORT,LOLO EMPTY CONTAINER"</formula1>
    </dataValidation>
    <dataValidation type="list" allowBlank="1" showInputMessage="1" showErrorMessage="1" sqref="N25:N27" xr:uid="{00000000-0002-0000-0800-000006000000}">
      <formula1>"SET,40H,20G,TRUCK,LCL,SHIP"</formula1>
    </dataValidation>
    <dataValidation type="list" allowBlank="1" showInputMessage="1" showErrorMessage="1" sqref="I20" xr:uid="{00000000-0002-0000-0800-000007000000}">
      <formula1>"BRAZIL,UK,SHV PORT,PNH PORT,HLH,PNH IN'T,USA,OLAIR, CA,SPAIN,CANADA"</formula1>
    </dataValidation>
  </dataValidations>
  <printOptions horizontalCentered="1"/>
  <pageMargins left="0.2" right="0.2" top="0.25" bottom="0.1" header="0.05" footer="0.05"/>
  <pageSetup paperSize="9" scale="84" orientation="portrait" r:id="rId1"/>
  <colBreaks count="1" manualBreakCount="1">
    <brk id="9" max="53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H51"/>
  <sheetViews>
    <sheetView view="pageBreakPreview" zoomScaleNormal="100" zoomScaleSheetLayoutView="100" workbookViewId="0">
      <selection activeCell="G29" sqref="G29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8" ht="18">
      <c r="A1" s="276" t="s">
        <v>172</v>
      </c>
      <c r="B1" s="276"/>
      <c r="C1" s="276"/>
      <c r="D1" s="276"/>
      <c r="E1" s="276"/>
      <c r="F1" s="276"/>
      <c r="G1" s="276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292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'377'!I13</f>
        <v>46286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'377'!B19</f>
        <v>SHSIN6090083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'377'!I18</f>
        <v>24300</v>
      </c>
      <c r="D10" s="67"/>
      <c r="E10" s="67"/>
      <c r="F10" s="103" t="s">
        <v>158</v>
      </c>
      <c r="G10" s="104" t="str">
        <f>'377'!I19</f>
        <v>CHINA</v>
      </c>
    </row>
    <row r="11" spans="1:8">
      <c r="A11" s="103" t="s">
        <v>111</v>
      </c>
      <c r="B11" s="98" t="s">
        <v>119</v>
      </c>
      <c r="C11" s="105" t="str">
        <f>'377'!E19</f>
        <v>1X40'HQ</v>
      </c>
      <c r="D11" s="82"/>
      <c r="E11" s="82"/>
      <c r="F11" s="103" t="s">
        <v>159</v>
      </c>
      <c r="G11" s="104" t="str">
        <f>'377'!I20</f>
        <v>SHV PORT</v>
      </c>
    </row>
    <row r="12" spans="1:8">
      <c r="A12" s="103" t="s">
        <v>113</v>
      </c>
      <c r="B12" s="98" t="s">
        <v>119</v>
      </c>
      <c r="C12" s="106" t="str">
        <f>'377'!E20</f>
        <v>OOCU7012318</v>
      </c>
      <c r="D12" s="82"/>
      <c r="E12" s="82"/>
      <c r="F12" s="103" t="s">
        <v>116</v>
      </c>
      <c r="G12" s="107" t="str">
        <f>'377'!B20</f>
        <v>797 ROLLS</v>
      </c>
    </row>
    <row r="13" spans="1:8">
      <c r="A13" s="103" t="s">
        <v>136</v>
      </c>
      <c r="B13" s="98" t="s">
        <v>119</v>
      </c>
      <c r="C13" s="67" t="str">
        <f>'377'!C17</f>
        <v>SHANGHAI YONGYUE IMP. &amp;EXP. TRADING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67" t="str">
        <f>'377'!C18</f>
        <v>JR APPAREL CO., LTD.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7" t="s">
        <v>138</v>
      </c>
      <c r="B16" s="278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'377'!S12</f>
        <v>I 136252</v>
      </c>
    </row>
    <row r="17" spans="1:8" s="116" customFormat="1" ht="14">
      <c r="A17" s="283">
        <v>1</v>
      </c>
      <c r="B17" s="284"/>
      <c r="C17" s="144" t="s">
        <v>192</v>
      </c>
      <c r="D17" s="145">
        <v>1</v>
      </c>
      <c r="E17" s="150" t="s">
        <v>191</v>
      </c>
      <c r="F17" s="117">
        <v>360</v>
      </c>
      <c r="G17" s="118">
        <f>ROUND(F17*D17,2)</f>
        <v>360</v>
      </c>
    </row>
    <row r="18" spans="1:8">
      <c r="A18" s="283">
        <v>2</v>
      </c>
      <c r="B18" s="284"/>
      <c r="C18" s="144" t="s">
        <v>177</v>
      </c>
      <c r="D18" s="145">
        <v>1</v>
      </c>
      <c r="E18" s="150" t="s">
        <v>191</v>
      </c>
      <c r="F18" s="146">
        <v>35</v>
      </c>
      <c r="G18" s="118">
        <f t="shared" ref="G18:G27" si="0">ROUND(F18*D18,2)</f>
        <v>35</v>
      </c>
      <c r="H18" s="77"/>
    </row>
    <row r="19" spans="1:8" s="32" customFormat="1">
      <c r="A19" s="283">
        <v>3</v>
      </c>
      <c r="B19" s="284"/>
      <c r="C19" s="186" t="s">
        <v>212</v>
      </c>
      <c r="D19" s="145">
        <v>1</v>
      </c>
      <c r="E19" s="150" t="s">
        <v>207</v>
      </c>
      <c r="F19" s="146">
        <v>234</v>
      </c>
      <c r="G19" s="118">
        <f t="shared" si="0"/>
        <v>234</v>
      </c>
      <c r="H19" s="165">
        <f>F17*65%</f>
        <v>234</v>
      </c>
    </row>
    <row r="20" spans="1:8" s="32" customFormat="1">
      <c r="A20" s="283">
        <v>4</v>
      </c>
      <c r="B20" s="284"/>
      <c r="C20" s="144" t="s">
        <v>231</v>
      </c>
      <c r="D20" s="145">
        <v>1</v>
      </c>
      <c r="E20" s="150" t="s">
        <v>156</v>
      </c>
      <c r="F20" s="146">
        <v>20</v>
      </c>
      <c r="G20" s="118">
        <f t="shared" ref="G20:G21" si="1">ROUND(F20*D20,2)</f>
        <v>20</v>
      </c>
      <c r="H20" s="165"/>
    </row>
    <row r="21" spans="1:8">
      <c r="A21" s="283">
        <v>5</v>
      </c>
      <c r="B21" s="284"/>
      <c r="C21" s="144" t="s">
        <v>200</v>
      </c>
      <c r="D21" s="145">
        <v>1</v>
      </c>
      <c r="E21" s="150" t="s">
        <v>156</v>
      </c>
      <c r="F21" s="146">
        <v>25</v>
      </c>
      <c r="G21" s="118">
        <f t="shared" si="1"/>
        <v>25</v>
      </c>
    </row>
    <row r="22" spans="1:8" s="116" customFormat="1" ht="14">
      <c r="A22" s="283">
        <v>6</v>
      </c>
      <c r="B22" s="284"/>
      <c r="C22" s="186" t="s">
        <v>201</v>
      </c>
      <c r="D22" s="206">
        <v>1</v>
      </c>
      <c r="E22" s="207" t="s">
        <v>203</v>
      </c>
      <c r="F22" s="210">
        <v>20</v>
      </c>
      <c r="G22" s="209">
        <f>ROUND(F22*D22,2)</f>
        <v>20</v>
      </c>
    </row>
    <row r="23" spans="1:8">
      <c r="A23" s="283">
        <v>7</v>
      </c>
      <c r="B23" s="284"/>
      <c r="C23" s="144" t="s">
        <v>328</v>
      </c>
      <c r="D23" s="145">
        <v>1</v>
      </c>
      <c r="E23" s="150" t="s">
        <v>156</v>
      </c>
      <c r="F23" s="146">
        <v>45</v>
      </c>
      <c r="G23" s="118">
        <f t="shared" ref="G23:G26" si="2">ROUND(F23*D23,2)</f>
        <v>45</v>
      </c>
    </row>
    <row r="24" spans="1:8">
      <c r="A24" s="283">
        <v>8</v>
      </c>
      <c r="B24" s="284"/>
      <c r="C24" s="144" t="s">
        <v>179</v>
      </c>
      <c r="D24" s="145">
        <v>1</v>
      </c>
      <c r="E24" s="150" t="s">
        <v>191</v>
      </c>
      <c r="F24" s="146">
        <v>50</v>
      </c>
      <c r="G24" s="118">
        <f t="shared" si="2"/>
        <v>50</v>
      </c>
    </row>
    <row r="25" spans="1:8">
      <c r="A25" s="283">
        <v>9</v>
      </c>
      <c r="B25" s="284"/>
      <c r="C25" s="144" t="s">
        <v>331</v>
      </c>
      <c r="D25" s="242">
        <v>3.3</v>
      </c>
      <c r="E25" s="150" t="s">
        <v>332</v>
      </c>
      <c r="F25" s="146">
        <v>50</v>
      </c>
      <c r="G25" s="118">
        <f>ROUND(F25*D25,2)</f>
        <v>165</v>
      </c>
    </row>
    <row r="26" spans="1:8">
      <c r="A26" s="283">
        <v>10</v>
      </c>
      <c r="B26" s="284"/>
      <c r="C26" s="238" t="s">
        <v>333</v>
      </c>
      <c r="D26" s="145">
        <v>1</v>
      </c>
      <c r="E26" s="150" t="s">
        <v>191</v>
      </c>
      <c r="F26" s="239">
        <v>60</v>
      </c>
      <c r="G26" s="240">
        <f t="shared" si="2"/>
        <v>60</v>
      </c>
    </row>
    <row r="27" spans="1:8">
      <c r="A27" s="283">
        <v>11</v>
      </c>
      <c r="B27" s="284"/>
      <c r="C27" s="144" t="s">
        <v>330</v>
      </c>
      <c r="D27" s="145">
        <v>1</v>
      </c>
      <c r="E27" s="150" t="s">
        <v>191</v>
      </c>
      <c r="F27" s="146">
        <v>24.75</v>
      </c>
      <c r="G27" s="118">
        <f t="shared" si="0"/>
        <v>24.75</v>
      </c>
    </row>
    <row r="28" spans="1:8">
      <c r="A28" s="67"/>
      <c r="B28" s="67"/>
      <c r="C28" s="67"/>
      <c r="D28" s="161" t="s">
        <v>143</v>
      </c>
      <c r="E28" s="161"/>
      <c r="F28" s="162" t="s">
        <v>144</v>
      </c>
      <c r="G28" s="163">
        <f>SUM(G17:G27)</f>
        <v>1038.75</v>
      </c>
    </row>
    <row r="29" spans="1:8">
      <c r="A29" s="67"/>
      <c r="B29" s="67"/>
      <c r="C29" s="67"/>
      <c r="D29" s="67"/>
      <c r="E29" s="67"/>
      <c r="F29" s="67"/>
      <c r="G29" s="67"/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32"/>
      <c r="D31" s="32"/>
      <c r="E31" s="32"/>
      <c r="F31" s="32"/>
      <c r="G31" s="32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114"/>
      <c r="B50" s="114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5" t="s">
        <v>145</v>
      </c>
      <c r="F51" s="275"/>
      <c r="G51" s="275"/>
    </row>
  </sheetData>
  <mergeCells count="14">
    <mergeCell ref="E51:G51"/>
    <mergeCell ref="A1:G1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</mergeCells>
  <printOptions horizontalCentered="1"/>
  <pageMargins left="0.45" right="0.45" top="0.75" bottom="0.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S57"/>
  <sheetViews>
    <sheetView view="pageBreakPreview" topLeftCell="H22" zoomScale="51" zoomScaleNormal="100" zoomScaleSheetLayoutView="100" workbookViewId="0">
      <selection activeCell="S32" sqref="S32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5" style="32" customWidth="1"/>
    <col min="10" max="10" width="6.26953125" style="32" customWidth="1"/>
    <col min="11" max="11" width="13" style="32" customWidth="1"/>
    <col min="12" max="12" width="31.26953125" style="32" bestFit="1" customWidth="1"/>
    <col min="13" max="13" width="8.7265625" style="32" customWidth="1"/>
    <col min="14" max="14" width="7.453125" style="32" customWidth="1"/>
    <col min="15" max="15" width="12.26953125" style="32" customWidth="1"/>
    <col min="16" max="16" width="11" style="32" customWidth="1"/>
    <col min="17" max="17" width="14" style="32" bestFit="1" customWidth="1"/>
    <col min="18" max="18" width="14.26953125" style="32" bestFit="1" customWidth="1"/>
    <col min="19" max="19" width="9.54296875" style="32" bestFit="1" customWidth="1"/>
    <col min="20" max="16384" width="9.1796875" style="32"/>
  </cols>
  <sheetData>
    <row r="2" spans="1:19" ht="34.5" customHeight="1">
      <c r="A2" s="255" t="s">
        <v>97</v>
      </c>
      <c r="B2" s="255"/>
      <c r="C2" s="255"/>
      <c r="D2" s="255"/>
      <c r="E2" s="255"/>
      <c r="F2" s="255"/>
      <c r="G2" s="255"/>
      <c r="H2" s="255"/>
      <c r="I2" s="255"/>
      <c r="J2" s="255" t="s">
        <v>97</v>
      </c>
      <c r="K2" s="255"/>
      <c r="L2" s="255"/>
      <c r="M2" s="255"/>
      <c r="N2" s="255"/>
      <c r="O2" s="255"/>
      <c r="P2" s="255"/>
      <c r="Q2" s="255"/>
      <c r="R2" s="255"/>
    </row>
    <row r="3" spans="1:19" s="33" customFormat="1" ht="27.75" customHeight="1">
      <c r="A3" s="257" t="s">
        <v>98</v>
      </c>
      <c r="B3" s="257"/>
      <c r="C3" s="257"/>
      <c r="D3" s="257"/>
      <c r="E3" s="257"/>
      <c r="F3" s="257"/>
      <c r="G3" s="257"/>
      <c r="H3" s="257"/>
      <c r="I3" s="257"/>
      <c r="J3" s="257" t="s">
        <v>98</v>
      </c>
      <c r="K3" s="257"/>
      <c r="L3" s="257"/>
      <c r="M3" s="257"/>
      <c r="N3" s="257"/>
      <c r="O3" s="257"/>
      <c r="P3" s="257"/>
      <c r="Q3" s="257"/>
      <c r="R3" s="257"/>
    </row>
    <row r="4" spans="1:19" ht="19.5" customHeight="1">
      <c r="A4" s="59"/>
      <c r="B4" s="59"/>
      <c r="C4" s="258" t="s">
        <v>154</v>
      </c>
      <c r="D4" s="258"/>
      <c r="E4" s="258"/>
      <c r="F4" s="258"/>
      <c r="G4" s="258"/>
      <c r="H4" s="59"/>
      <c r="I4" s="59"/>
      <c r="J4" s="59"/>
      <c r="K4" s="59"/>
      <c r="L4" s="258" t="s">
        <v>154</v>
      </c>
      <c r="M4" s="258"/>
      <c r="N4" s="258"/>
      <c r="O4" s="258"/>
      <c r="P4" s="258"/>
      <c r="Q4" s="59"/>
      <c r="R4" s="59"/>
    </row>
    <row r="5" spans="1:19" s="34" customFormat="1" ht="25" customHeight="1">
      <c r="A5" s="259" t="s">
        <v>126</v>
      </c>
      <c r="B5" s="259"/>
      <c r="C5" s="259"/>
      <c r="D5" s="259"/>
      <c r="E5" s="259"/>
      <c r="F5" s="259"/>
      <c r="G5" s="259"/>
      <c r="H5" s="259"/>
      <c r="I5" s="259"/>
      <c r="J5" s="259" t="s">
        <v>126</v>
      </c>
      <c r="K5" s="259"/>
      <c r="L5" s="259"/>
      <c r="M5" s="259"/>
      <c r="N5" s="259"/>
      <c r="O5" s="259"/>
      <c r="P5" s="259"/>
      <c r="Q5" s="259"/>
      <c r="R5" s="259"/>
    </row>
    <row r="6" spans="1:19" s="34" customFormat="1" ht="22" customHeight="1">
      <c r="A6" s="259" t="s">
        <v>127</v>
      </c>
      <c r="B6" s="259"/>
      <c r="C6" s="259"/>
      <c r="D6" s="259"/>
      <c r="E6" s="259"/>
      <c r="F6" s="259"/>
      <c r="G6" s="259"/>
      <c r="H6" s="259"/>
      <c r="I6" s="259"/>
      <c r="J6" s="259" t="s">
        <v>127</v>
      </c>
      <c r="K6" s="259"/>
      <c r="L6" s="259"/>
      <c r="M6" s="259"/>
      <c r="N6" s="259"/>
      <c r="O6" s="259"/>
      <c r="P6" s="259"/>
      <c r="Q6" s="259"/>
      <c r="R6" s="259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72" t="s">
        <v>96</v>
      </c>
      <c r="B9" s="272"/>
      <c r="C9" s="272"/>
      <c r="D9" s="272"/>
      <c r="E9" s="272"/>
      <c r="F9" s="272"/>
      <c r="G9" s="272"/>
      <c r="H9" s="272"/>
      <c r="I9" s="272"/>
      <c r="J9" s="255" t="s">
        <v>168</v>
      </c>
      <c r="K9" s="255"/>
      <c r="L9" s="255"/>
      <c r="M9" s="255"/>
      <c r="N9" s="255"/>
      <c r="O9" s="255"/>
      <c r="P9" s="255"/>
      <c r="Q9" s="255"/>
      <c r="R9" s="255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6" t="s">
        <v>357</v>
      </c>
      <c r="B12" s="266"/>
      <c r="C12" s="266"/>
      <c r="D12" s="266"/>
      <c r="F12" s="253" t="s">
        <v>107</v>
      </c>
      <c r="G12" s="253"/>
      <c r="H12" s="253"/>
      <c r="I12" s="101" t="s">
        <v>293</v>
      </c>
      <c r="J12" s="124" t="str">
        <f t="shared" ref="J12:J19" si="0">A12</f>
        <v>ឈ្មោះអតិថិជន /Customer: ជេអ អឹភែរឹល ឯ.ក</v>
      </c>
      <c r="K12" s="38"/>
      <c r="O12" s="253" t="s">
        <v>194</v>
      </c>
      <c r="P12" s="253"/>
      <c r="Q12" s="253"/>
      <c r="R12" s="101" t="s">
        <v>354</v>
      </c>
      <c r="S12" s="160" t="s">
        <v>294</v>
      </c>
    </row>
    <row r="13" spans="1:19" ht="20.149999999999999" customHeight="1">
      <c r="A13" s="268" t="s">
        <v>189</v>
      </c>
      <c r="B13" s="268"/>
      <c r="C13" s="268"/>
      <c r="D13" s="268"/>
      <c r="E13" s="253" t="s">
        <v>106</v>
      </c>
      <c r="F13" s="253"/>
      <c r="G13" s="253"/>
      <c r="H13" s="253"/>
      <c r="I13" s="102">
        <v>46286</v>
      </c>
      <c r="J13" s="115" t="str">
        <f t="shared" si="0"/>
        <v>JR APPAREL CO.,LTD</v>
      </c>
      <c r="K13" s="35"/>
      <c r="N13" s="253" t="s">
        <v>195</v>
      </c>
      <c r="O13" s="253"/>
      <c r="P13" s="253"/>
      <c r="Q13" s="253"/>
      <c r="R13" s="123">
        <f>I13</f>
        <v>46286</v>
      </c>
    </row>
    <row r="14" spans="1:19" ht="25" customHeight="1">
      <c r="A14" s="269" t="s">
        <v>184</v>
      </c>
      <c r="B14" s="269"/>
      <c r="C14" s="269"/>
      <c r="D14" s="269"/>
      <c r="E14" s="269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43" t="s">
        <v>186</v>
      </c>
      <c r="B15" s="243"/>
      <c r="C15" s="243"/>
      <c r="D15" s="243"/>
      <c r="E15" s="243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5" t="s">
        <v>183</v>
      </c>
      <c r="B16" s="265"/>
      <c r="C16" s="265"/>
      <c r="D16" s="265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176" t="s">
        <v>320</v>
      </c>
      <c r="H17" s="120"/>
      <c r="I17"/>
      <c r="J17" s="46" t="str">
        <f t="shared" si="0"/>
        <v>SHIPPER:</v>
      </c>
      <c r="L17" s="46" t="str">
        <f>C17</f>
        <v>SHANGHAI YONGYUE IMP. &amp;EXP. TRADING CO., LTD.</v>
      </c>
      <c r="Q17" s="120"/>
      <c r="R17" s="120"/>
    </row>
    <row r="18" spans="1:19" s="46" customFormat="1" ht="19.5" customHeight="1">
      <c r="A18" s="46" t="s">
        <v>110</v>
      </c>
      <c r="C18" s="176" t="s">
        <v>190</v>
      </c>
      <c r="G18" s="254" t="s">
        <v>157</v>
      </c>
      <c r="H18" s="254"/>
      <c r="I18" s="81">
        <v>24996.9</v>
      </c>
      <c r="J18" s="46" t="str">
        <f t="shared" si="0"/>
        <v>CONSIGNEE :</v>
      </c>
      <c r="L18" s="46" t="str">
        <f>C18</f>
        <v>JR APPAREL CO., LTD.</v>
      </c>
      <c r="P18" s="254" t="str">
        <f>G18</f>
        <v>GROSS WEIGHT:</v>
      </c>
      <c r="Q18" s="254"/>
      <c r="R18" s="81">
        <f>I18</f>
        <v>24996.9</v>
      </c>
    </row>
    <row r="19" spans="1:19" s="46" customFormat="1" ht="19.5" customHeight="1">
      <c r="A19" s="46" t="s">
        <v>112</v>
      </c>
      <c r="B19" s="116" t="s">
        <v>334</v>
      </c>
      <c r="D19" s="58" t="s">
        <v>111</v>
      </c>
      <c r="E19" s="180" t="s">
        <v>224</v>
      </c>
      <c r="H19" s="80" t="s">
        <v>158</v>
      </c>
      <c r="I19" s="232" t="s">
        <v>321</v>
      </c>
      <c r="J19" s="46" t="str">
        <f t="shared" si="0"/>
        <v>HBL:</v>
      </c>
      <c r="K19" s="271" t="str">
        <f>B19</f>
        <v>SHSIN6090084</v>
      </c>
      <c r="L19" s="271"/>
      <c r="M19" s="58" t="s">
        <v>111</v>
      </c>
      <c r="N19" s="148" t="str">
        <f>E19</f>
        <v>1X40'HQ</v>
      </c>
      <c r="Q19" s="80" t="s">
        <v>158</v>
      </c>
      <c r="R19" s="121" t="str">
        <f>I19</f>
        <v>CHINA</v>
      </c>
    </row>
    <row r="20" spans="1:19" s="46" customFormat="1" ht="19.5" customHeight="1">
      <c r="A20" s="58" t="s">
        <v>116</v>
      </c>
      <c r="B20" s="172" t="s">
        <v>335</v>
      </c>
      <c r="C20" s="96"/>
      <c r="D20" s="58" t="s">
        <v>113</v>
      </c>
      <c r="E20" s="148" t="s">
        <v>336</v>
      </c>
      <c r="H20" s="80" t="s">
        <v>159</v>
      </c>
      <c r="I20" s="201" t="s">
        <v>322</v>
      </c>
      <c r="J20" s="58" t="str">
        <f>A20</f>
        <v>PKGS:</v>
      </c>
      <c r="K20" s="172" t="str">
        <f>B20</f>
        <v>688 ROLLS</v>
      </c>
      <c r="L20" s="96"/>
      <c r="M20" s="58" t="s">
        <v>113</v>
      </c>
      <c r="N20" s="148" t="str">
        <f>E20</f>
        <v>CSNU6862609</v>
      </c>
      <c r="Q20" s="80" t="s">
        <v>159</v>
      </c>
      <c r="R20" s="73" t="str">
        <f>I20</f>
        <v>SHV PORT</v>
      </c>
    </row>
    <row r="21" spans="1:19" ht="15" customHeight="1" thickBot="1">
      <c r="A21" s="44"/>
      <c r="B21" s="35"/>
      <c r="G21" s="249">
        <v>4054</v>
      </c>
      <c r="H21" s="249"/>
      <c r="I21" s="249"/>
      <c r="J21" s="44"/>
      <c r="K21" s="35"/>
      <c r="P21" s="249">
        <f>G21</f>
        <v>4054</v>
      </c>
      <c r="Q21" s="249"/>
      <c r="R21" s="249"/>
    </row>
    <row r="22" spans="1:19" s="36" customFormat="1" ht="30" customHeight="1">
      <c r="A22" s="78" t="s">
        <v>0</v>
      </c>
      <c r="B22" s="250" t="s">
        <v>1</v>
      </c>
      <c r="C22" s="250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0" t="s">
        <v>1</v>
      </c>
      <c r="L22" s="250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51" t="s">
        <v>6</v>
      </c>
      <c r="C23" s="251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51" t="s">
        <v>6</v>
      </c>
      <c r="L23" s="251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180</v>
      </c>
      <c r="C25" s="270"/>
      <c r="D25" s="52">
        <v>1</v>
      </c>
      <c r="E25" s="170" t="s">
        <v>191</v>
      </c>
      <c r="F25" s="48">
        <v>200</v>
      </c>
      <c r="G25" s="48">
        <f>ROUND(F25*D25,2)</f>
        <v>200</v>
      </c>
      <c r="H25" s="48">
        <f>G25*10%</f>
        <v>20</v>
      </c>
      <c r="I25" s="48">
        <f>H25+G25</f>
        <v>220</v>
      </c>
      <c r="J25" s="143">
        <v>1</v>
      </c>
      <c r="K25" s="159" t="s">
        <v>230</v>
      </c>
      <c r="L25" s="159"/>
      <c r="M25" s="52">
        <v>1</v>
      </c>
      <c r="N25" s="143" t="s">
        <v>191</v>
      </c>
      <c r="O25" s="48">
        <v>95.7</v>
      </c>
      <c r="P25" s="48">
        <f>O25*M25</f>
        <v>95.7</v>
      </c>
      <c r="Q25" s="48">
        <v>0</v>
      </c>
      <c r="R25" s="48">
        <f>Q25+P25</f>
        <v>95.7</v>
      </c>
    </row>
    <row r="26" spans="1:19" ht="25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191</v>
      </c>
      <c r="O26" s="48">
        <v>18.75</v>
      </c>
      <c r="P26" s="48">
        <f t="shared" ref="P26:P27" si="1">O26*M26</f>
        <v>18.75</v>
      </c>
      <c r="Q26" s="48">
        <v>0</v>
      </c>
      <c r="R26" s="48">
        <f t="shared" ref="R26:R27" si="2">Q26+P26</f>
        <v>18.75</v>
      </c>
    </row>
    <row r="27" spans="1:19" ht="25" customHeight="1">
      <c r="A27" s="142"/>
      <c r="B27" s="147"/>
      <c r="C27" s="147"/>
      <c r="D27" s="52"/>
      <c r="E27" s="170"/>
      <c r="F27" s="48"/>
      <c r="G27" s="48"/>
      <c r="H27" s="48"/>
      <c r="I27" s="48"/>
      <c r="J27" s="143">
        <v>3</v>
      </c>
      <c r="K27" s="159" t="s">
        <v>326</v>
      </c>
      <c r="L27" s="159"/>
      <c r="M27" s="52">
        <v>1</v>
      </c>
      <c r="N27" s="143" t="s">
        <v>191</v>
      </c>
      <c r="O27" s="48">
        <v>691.5</v>
      </c>
      <c r="P27" s="48">
        <f t="shared" si="1"/>
        <v>691.5</v>
      </c>
      <c r="Q27" s="48">
        <v>0</v>
      </c>
      <c r="R27" s="48">
        <f t="shared" si="2"/>
        <v>691.5</v>
      </c>
    </row>
    <row r="28" spans="1:19" ht="9" customHeight="1" thickBot="1">
      <c r="A28" s="49"/>
      <c r="B28" s="252"/>
      <c r="C28" s="252"/>
      <c r="D28" s="53"/>
      <c r="E28" s="51"/>
      <c r="F28" s="50"/>
      <c r="G28" s="50"/>
      <c r="H28" s="50"/>
      <c r="I28" s="50"/>
      <c r="J28" s="49"/>
      <c r="K28" s="252"/>
      <c r="L28" s="252"/>
      <c r="M28" s="53"/>
      <c r="N28" s="51"/>
      <c r="O28" s="50"/>
      <c r="P28" s="50"/>
      <c r="Q28" s="50"/>
      <c r="R28" s="50"/>
    </row>
    <row r="29" spans="1:19" s="36" customFormat="1" ht="25" customHeight="1">
      <c r="C29" s="267" t="s">
        <v>163</v>
      </c>
      <c r="D29" s="267"/>
      <c r="E29" s="90" t="s">
        <v>162</v>
      </c>
      <c r="F29" s="262">
        <f>$I$29*G21</f>
        <v>810800</v>
      </c>
      <c r="G29" s="262"/>
      <c r="H29" s="93" t="s">
        <v>144</v>
      </c>
      <c r="I29" s="86">
        <f>SUM(G25:G28)</f>
        <v>200</v>
      </c>
      <c r="L29" s="267" t="s">
        <v>163</v>
      </c>
      <c r="M29" s="267"/>
      <c r="N29" s="267"/>
      <c r="O29" s="267"/>
      <c r="P29" s="267"/>
      <c r="Q29" s="93" t="s">
        <v>144</v>
      </c>
      <c r="R29" s="86">
        <f>SUM(R25:R28)</f>
        <v>805.95</v>
      </c>
    </row>
    <row r="30" spans="1:19" s="36" customFormat="1" ht="25" customHeight="1">
      <c r="C30" s="260" t="s">
        <v>161</v>
      </c>
      <c r="D30" s="260"/>
      <c r="E30" s="91" t="s">
        <v>162</v>
      </c>
      <c r="F30" s="263">
        <f>$I$30*$G$21</f>
        <v>81080</v>
      </c>
      <c r="G30" s="263"/>
      <c r="H30" s="94" t="s">
        <v>144</v>
      </c>
      <c r="I30" s="87">
        <f>ROUND(SUM(H25:H28),2)</f>
        <v>20</v>
      </c>
      <c r="L30" s="260" t="s">
        <v>171</v>
      </c>
      <c r="M30" s="260"/>
      <c r="N30" s="260"/>
      <c r="O30" s="260"/>
      <c r="P30" s="260"/>
      <c r="Q30" s="94" t="s">
        <v>144</v>
      </c>
      <c r="R30" s="87">
        <v>0</v>
      </c>
    </row>
    <row r="31" spans="1:19" ht="25" customHeight="1" thickBot="1">
      <c r="A31" s="88"/>
      <c r="B31" s="88"/>
      <c r="C31" s="261" t="s">
        <v>164</v>
      </c>
      <c r="D31" s="261"/>
      <c r="E31" s="92" t="s">
        <v>162</v>
      </c>
      <c r="F31" s="264">
        <f>I31*$G$21</f>
        <v>891880</v>
      </c>
      <c r="G31" s="264"/>
      <c r="H31" s="95" t="s">
        <v>144</v>
      </c>
      <c r="I31" s="89">
        <f>$I$29+$I$30</f>
        <v>220</v>
      </c>
      <c r="J31" s="88"/>
      <c r="K31" s="88"/>
      <c r="L31" s="261" t="s">
        <v>164</v>
      </c>
      <c r="M31" s="261"/>
      <c r="N31" s="261"/>
      <c r="O31" s="261"/>
      <c r="P31" s="261"/>
      <c r="Q31" s="95" t="s">
        <v>144</v>
      </c>
      <c r="R31" s="89">
        <f>SUM(R29:R30)</f>
        <v>805.95</v>
      </c>
      <c r="S31" s="165">
        <f>SUM(I31,R31)</f>
        <v>1025.95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0" s="67" customFormat="1" ht="14">
      <c r="A33" s="84" t="s">
        <v>128</v>
      </c>
      <c r="J33" s="84" t="s">
        <v>128</v>
      </c>
    </row>
    <row r="34" spans="1:10" s="67" customFormat="1" ht="14">
      <c r="A34" s="85" t="s">
        <v>98</v>
      </c>
      <c r="J34" s="85" t="s">
        <v>98</v>
      </c>
    </row>
    <row r="35" spans="1:10" s="67" customFormat="1" ht="14">
      <c r="A35" s="84" t="s">
        <v>129</v>
      </c>
      <c r="J35" s="84" t="s">
        <v>129</v>
      </c>
    </row>
    <row r="36" spans="1:10" s="67" customFormat="1" ht="14">
      <c r="A36" s="84" t="s">
        <v>130</v>
      </c>
      <c r="J36" s="84" t="s">
        <v>130</v>
      </c>
    </row>
    <row r="37" spans="1:10" s="67" customFormat="1" ht="14">
      <c r="A37" s="84" t="s">
        <v>160</v>
      </c>
      <c r="J37" s="84" t="s">
        <v>160</v>
      </c>
    </row>
    <row r="38" spans="1:10" s="67" customFormat="1" ht="14">
      <c r="A38" s="84" t="s">
        <v>131</v>
      </c>
      <c r="J38" s="84" t="s">
        <v>131</v>
      </c>
    </row>
    <row r="39" spans="1:10" s="67" customFormat="1" ht="14">
      <c r="A39" s="84"/>
      <c r="J39" s="84"/>
    </row>
    <row r="40" spans="1:10">
      <c r="A40" s="84"/>
      <c r="J40" s="84"/>
    </row>
    <row r="41" spans="1:10">
      <c r="A41" s="84"/>
      <c r="J41" s="84"/>
    </row>
    <row r="42" spans="1:10">
      <c r="A42" s="84"/>
      <c r="J42" s="84"/>
    </row>
    <row r="43" spans="1:10">
      <c r="A43" s="84"/>
      <c r="J43" s="84"/>
    </row>
    <row r="44" spans="1:10">
      <c r="A44" s="84"/>
      <c r="J44" s="84"/>
    </row>
    <row r="45" spans="1:10">
      <c r="A45" s="84"/>
      <c r="J45" s="84"/>
    </row>
    <row r="46" spans="1:10">
      <c r="A46" s="84"/>
      <c r="J46" s="84"/>
    </row>
    <row r="47" spans="1:10">
      <c r="A47" s="84"/>
      <c r="J47" s="84"/>
    </row>
    <row r="48" spans="1:10">
      <c r="A48" s="84"/>
      <c r="J48" s="84"/>
    </row>
    <row r="49" spans="1:18" ht="37.5" customHeight="1">
      <c r="A49" s="32" t="s">
        <v>99</v>
      </c>
      <c r="G49" s="32" t="s">
        <v>100</v>
      </c>
      <c r="J49" s="32" t="s">
        <v>99</v>
      </c>
      <c r="P49" s="32" t="s">
        <v>100</v>
      </c>
    </row>
    <row r="50" spans="1:18" ht="30">
      <c r="A50" s="63" t="s">
        <v>9</v>
      </c>
      <c r="B50" s="64"/>
      <c r="C50" s="55"/>
      <c r="D50" s="55"/>
      <c r="E50" s="55"/>
      <c r="F50" s="55"/>
      <c r="G50" s="61" t="s">
        <v>10</v>
      </c>
      <c r="H50" s="61"/>
      <c r="I50" s="61"/>
      <c r="J50" s="63" t="s">
        <v>9</v>
      </c>
      <c r="K50" s="64"/>
      <c r="L50" s="55"/>
      <c r="M50" s="55"/>
      <c r="N50" s="55"/>
      <c r="O50" s="55"/>
      <c r="P50" s="61" t="s">
        <v>10</v>
      </c>
      <c r="Q50" s="61"/>
      <c r="R50" s="61"/>
    </row>
    <row r="51" spans="1:18" ht="20.25" customHeight="1">
      <c r="A51" s="65" t="s">
        <v>114</v>
      </c>
      <c r="B51" s="66"/>
      <c r="C51" s="56"/>
      <c r="D51" s="55"/>
      <c r="E51" s="55"/>
      <c r="F51" s="55"/>
      <c r="G51" s="55"/>
      <c r="H51" s="55"/>
      <c r="I51" s="55"/>
      <c r="J51" s="65" t="s">
        <v>114</v>
      </c>
      <c r="K51" s="66"/>
      <c r="L51" s="56"/>
      <c r="M51" s="55"/>
      <c r="N51" s="55"/>
      <c r="O51" s="55"/>
      <c r="P51" s="55"/>
      <c r="Q51" s="55"/>
      <c r="R51" s="55"/>
    </row>
    <row r="52" spans="1:18" ht="18" customHeight="1">
      <c r="A52" s="58" t="s">
        <v>115</v>
      </c>
      <c r="B52" s="57"/>
      <c r="C52" s="55"/>
      <c r="D52" s="55"/>
      <c r="E52" s="55"/>
      <c r="F52" s="55"/>
      <c r="G52" s="55"/>
      <c r="H52" s="55"/>
      <c r="I52" s="55"/>
      <c r="J52" s="58" t="s">
        <v>115</v>
      </c>
      <c r="K52" s="57"/>
      <c r="L52" s="55"/>
      <c r="M52" s="55"/>
      <c r="N52" s="55"/>
      <c r="O52" s="55"/>
      <c r="P52" s="55"/>
      <c r="Q52" s="55"/>
      <c r="R52" s="55"/>
    </row>
    <row r="53" spans="1:18" ht="27.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</row>
    <row r="57" spans="1:18" ht="23">
      <c r="A57" s="39"/>
      <c r="J57" s="39"/>
    </row>
  </sheetData>
  <dataConsolidate/>
  <mergeCells count="44">
    <mergeCell ref="A2:I2"/>
    <mergeCell ref="J2:R2"/>
    <mergeCell ref="A3:I3"/>
    <mergeCell ref="J3:R3"/>
    <mergeCell ref="C4:G4"/>
    <mergeCell ref="L4:P4"/>
    <mergeCell ref="A5:I5"/>
    <mergeCell ref="J5:R5"/>
    <mergeCell ref="A6:I6"/>
    <mergeCell ref="J6:R6"/>
    <mergeCell ref="A9:I9"/>
    <mergeCell ref="J9:R9"/>
    <mergeCell ref="K19:L19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G21:I21"/>
    <mergeCell ref="P21:R21"/>
    <mergeCell ref="B22:C22"/>
    <mergeCell ref="K22:L22"/>
    <mergeCell ref="B23:C23"/>
    <mergeCell ref="K23:L23"/>
    <mergeCell ref="B25:C25"/>
    <mergeCell ref="B28:C28"/>
    <mergeCell ref="K28:L28"/>
    <mergeCell ref="C29:D29"/>
    <mergeCell ref="F29:G29"/>
    <mergeCell ref="L29:P29"/>
    <mergeCell ref="C30:D30"/>
    <mergeCell ref="F30:G30"/>
    <mergeCell ref="L30:P30"/>
    <mergeCell ref="C31:D31"/>
    <mergeCell ref="F31:G31"/>
    <mergeCell ref="L31:P31"/>
  </mergeCells>
  <conditionalFormatting sqref="S12">
    <cfRule type="duplicateValues" dxfId="9" priority="1"/>
    <cfRule type="duplicateValues" dxfId="8" priority="2"/>
  </conditionalFormatting>
  <dataValidations count="5">
    <dataValidation type="list" allowBlank="1" showInputMessage="1" showErrorMessage="1" sqref="A17" xr:uid="{00000000-0002-0000-0A00-000000000000}">
      <formula1>"លេខ អ ត ប (VATTIN)  : L001-901805758"</formula1>
    </dataValidation>
    <dataValidation type="list" allowBlank="1" showInputMessage="1" showErrorMessage="1" sqref="B25:C27" xr:uid="{00000000-0002-0000-0A00-000001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E25:E27" xr:uid="{00000000-0002-0000-0A00-000002000000}">
      <formula1>"SET,40H,20G,TRUCK,LCL"</formula1>
    </dataValidation>
    <dataValidation type="list" allowBlank="1" showInputMessage="1" showErrorMessage="1" sqref="I19" xr:uid="{00000000-0002-0000-0A00-000003000000}">
      <formula1>"TAIWAN,PNH IN'T,SHV PORT, PNH PORT,HK,JP,CHINA,VN,CA"</formula1>
    </dataValidation>
    <dataValidation type="list" allowBlank="1" showInputMessage="1" showErrorMessage="1" sqref="I20" xr:uid="{00000000-0002-0000-0A00-000004000000}">
      <formula1>"BRAZIL,UK,SHV PORT,PNH PORT,HLH,PNH IN'T,USA,OLAIR, CA,SPAIN,CANADA"</formula1>
    </dataValidation>
  </dataValidations>
  <printOptions horizontalCentered="1"/>
  <pageMargins left="0.2" right="0.2" top="0.25" bottom="0.1" header="0.05" footer="0.05"/>
  <pageSetup paperSize="9" scale="84" orientation="portrait" r:id="rId1"/>
  <rowBreaks count="1" manualBreakCount="1">
    <brk id="52" max="17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H51"/>
  <sheetViews>
    <sheetView view="pageBreakPreview" topLeftCell="A37" zoomScaleNormal="100" zoomScaleSheetLayoutView="100" workbookViewId="0">
      <selection activeCell="A51" sqref="A51:XFD51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8" ht="18">
      <c r="A1" s="276" t="s">
        <v>172</v>
      </c>
      <c r="B1" s="276"/>
      <c r="C1" s="276"/>
      <c r="D1" s="276"/>
      <c r="E1" s="276"/>
      <c r="F1" s="276"/>
      <c r="G1" s="276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295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'379'!I13</f>
        <v>46286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'379'!B19</f>
        <v>SHSIN6090084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'379'!I18</f>
        <v>24996.9</v>
      </c>
      <c r="D10" s="67"/>
      <c r="E10" s="67"/>
      <c r="F10" s="103" t="s">
        <v>158</v>
      </c>
      <c r="G10" s="104" t="str">
        <f>'379'!I19</f>
        <v>CHINA</v>
      </c>
    </row>
    <row r="11" spans="1:8">
      <c r="A11" s="103" t="s">
        <v>111</v>
      </c>
      <c r="B11" s="98" t="s">
        <v>119</v>
      </c>
      <c r="C11" s="105" t="str">
        <f>'379'!E19</f>
        <v>1X40'HQ</v>
      </c>
      <c r="D11" s="82"/>
      <c r="E11" s="82"/>
      <c r="F11" s="103" t="s">
        <v>159</v>
      </c>
      <c r="G11" s="104" t="str">
        <f>'379'!I20</f>
        <v>SHV PORT</v>
      </c>
    </row>
    <row r="12" spans="1:8">
      <c r="A12" s="103" t="s">
        <v>113</v>
      </c>
      <c r="B12" s="98" t="s">
        <v>119</v>
      </c>
      <c r="C12" s="106" t="str">
        <f>'379'!E20</f>
        <v>CSNU6862609</v>
      </c>
      <c r="D12" s="82"/>
      <c r="E12" s="82"/>
      <c r="F12" s="103" t="s">
        <v>116</v>
      </c>
      <c r="G12" s="107" t="str">
        <f>'379'!B20</f>
        <v>688 ROLLS</v>
      </c>
    </row>
    <row r="13" spans="1:8">
      <c r="A13" s="103" t="s">
        <v>136</v>
      </c>
      <c r="B13" s="98" t="s">
        <v>119</v>
      </c>
      <c r="C13" s="67" t="str">
        <f>'379'!C17</f>
        <v>SHANGHAI YONGYUE IMP. &amp;EXP. TRADING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67" t="str">
        <f>'379'!C18</f>
        <v>JR APPAREL CO., LTD.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7" t="s">
        <v>138</v>
      </c>
      <c r="B16" s="278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'379'!S12</f>
        <v>I 136243</v>
      </c>
    </row>
    <row r="17" spans="1:8" s="116" customFormat="1" ht="14">
      <c r="A17" s="281">
        <v>1</v>
      </c>
      <c r="B17" s="282"/>
      <c r="C17" s="144" t="s">
        <v>192</v>
      </c>
      <c r="D17" s="145">
        <v>1</v>
      </c>
      <c r="E17" s="150" t="s">
        <v>191</v>
      </c>
      <c r="F17" s="117">
        <v>360</v>
      </c>
      <c r="G17" s="118">
        <f>ROUND(F17*D17,2)</f>
        <v>360</v>
      </c>
    </row>
    <row r="18" spans="1:8">
      <c r="A18" s="281">
        <v>2</v>
      </c>
      <c r="B18" s="282"/>
      <c r="C18" s="144" t="s">
        <v>177</v>
      </c>
      <c r="D18" s="145">
        <v>1</v>
      </c>
      <c r="E18" s="150" t="s">
        <v>191</v>
      </c>
      <c r="F18" s="146">
        <v>35</v>
      </c>
      <c r="G18" s="118">
        <f t="shared" ref="G18:G28" si="0">ROUND(F18*D18,2)</f>
        <v>35</v>
      </c>
    </row>
    <row r="19" spans="1:8">
      <c r="A19" s="281">
        <v>3</v>
      </c>
      <c r="B19" s="282"/>
      <c r="C19" s="186" t="s">
        <v>212</v>
      </c>
      <c r="D19" s="145">
        <v>1</v>
      </c>
      <c r="E19" s="150" t="s">
        <v>207</v>
      </c>
      <c r="F19" s="146">
        <v>234</v>
      </c>
      <c r="G19" s="118">
        <f t="shared" si="0"/>
        <v>234</v>
      </c>
      <c r="H19" s="77">
        <f>F17*65%</f>
        <v>234</v>
      </c>
    </row>
    <row r="20" spans="1:8">
      <c r="A20" s="281">
        <v>4</v>
      </c>
      <c r="B20" s="282"/>
      <c r="C20" s="186" t="s">
        <v>327</v>
      </c>
      <c r="D20" s="145">
        <v>1</v>
      </c>
      <c r="E20" s="150" t="s">
        <v>191</v>
      </c>
      <c r="F20" s="146">
        <v>50</v>
      </c>
      <c r="G20" s="118">
        <f t="shared" si="0"/>
        <v>50</v>
      </c>
      <c r="H20" s="77"/>
    </row>
    <row r="21" spans="1:8">
      <c r="A21" s="281">
        <v>5</v>
      </c>
      <c r="B21" s="282"/>
      <c r="C21" s="144" t="s">
        <v>231</v>
      </c>
      <c r="D21" s="145">
        <v>1</v>
      </c>
      <c r="E21" s="150" t="s">
        <v>156</v>
      </c>
      <c r="F21" s="146">
        <v>20</v>
      </c>
      <c r="G21" s="118">
        <f t="shared" si="0"/>
        <v>20</v>
      </c>
    </row>
    <row r="22" spans="1:8">
      <c r="A22" s="281">
        <v>6</v>
      </c>
      <c r="B22" s="282"/>
      <c r="C22" s="144" t="s">
        <v>200</v>
      </c>
      <c r="D22" s="145">
        <v>1</v>
      </c>
      <c r="E22" s="150" t="s">
        <v>156</v>
      </c>
      <c r="F22" s="146">
        <v>25</v>
      </c>
      <c r="G22" s="118">
        <f t="shared" si="0"/>
        <v>25</v>
      </c>
      <c r="H22" s="77"/>
    </row>
    <row r="23" spans="1:8">
      <c r="A23" s="281">
        <v>7</v>
      </c>
      <c r="B23" s="282"/>
      <c r="C23" s="186" t="s">
        <v>201</v>
      </c>
      <c r="D23" s="206">
        <v>1</v>
      </c>
      <c r="E23" s="207" t="s">
        <v>203</v>
      </c>
      <c r="F23" s="210">
        <v>20</v>
      </c>
      <c r="G23" s="209">
        <f>ROUND(F23*D23,2)</f>
        <v>20</v>
      </c>
    </row>
    <row r="24" spans="1:8">
      <c r="A24" s="281">
        <v>8</v>
      </c>
      <c r="B24" s="282"/>
      <c r="C24" s="144" t="s">
        <v>328</v>
      </c>
      <c r="D24" s="145">
        <v>1</v>
      </c>
      <c r="E24" s="150" t="s">
        <v>156</v>
      </c>
      <c r="F24" s="146">
        <v>45</v>
      </c>
      <c r="G24" s="118">
        <f t="shared" ref="G24:G27" si="1">ROUND(F24*D24,2)</f>
        <v>45</v>
      </c>
    </row>
    <row r="25" spans="1:8">
      <c r="A25" s="281">
        <v>9</v>
      </c>
      <c r="B25" s="282"/>
      <c r="C25" s="144" t="s">
        <v>337</v>
      </c>
      <c r="D25" s="145">
        <v>1</v>
      </c>
      <c r="E25" s="150" t="s">
        <v>191</v>
      </c>
      <c r="F25" s="146">
        <v>50</v>
      </c>
      <c r="G25" s="118">
        <f t="shared" si="1"/>
        <v>50</v>
      </c>
    </row>
    <row r="26" spans="1:8">
      <c r="A26" s="281">
        <v>10</v>
      </c>
      <c r="B26" s="282"/>
      <c r="C26" s="144" t="s">
        <v>338</v>
      </c>
      <c r="D26" s="145">
        <v>1</v>
      </c>
      <c r="E26" s="150" t="s">
        <v>339</v>
      </c>
      <c r="F26" s="146">
        <v>70</v>
      </c>
      <c r="G26" s="118">
        <f t="shared" si="1"/>
        <v>70</v>
      </c>
    </row>
    <row r="27" spans="1:8">
      <c r="A27" s="281">
        <v>11</v>
      </c>
      <c r="B27" s="282"/>
      <c r="C27" s="144" t="s">
        <v>331</v>
      </c>
      <c r="D27" s="145">
        <v>4.99</v>
      </c>
      <c r="E27" s="150" t="s">
        <v>332</v>
      </c>
      <c r="F27" s="146">
        <v>50</v>
      </c>
      <c r="G27" s="118">
        <f t="shared" si="1"/>
        <v>249.5</v>
      </c>
    </row>
    <row r="28" spans="1:8">
      <c r="A28" s="281">
        <v>12</v>
      </c>
      <c r="B28" s="282"/>
      <c r="C28" s="144" t="s">
        <v>330</v>
      </c>
      <c r="D28" s="145">
        <v>1</v>
      </c>
      <c r="E28" s="150" t="s">
        <v>191</v>
      </c>
      <c r="F28" s="146">
        <v>24.75</v>
      </c>
      <c r="G28" s="118">
        <f t="shared" si="0"/>
        <v>24.75</v>
      </c>
    </row>
    <row r="29" spans="1:8">
      <c r="A29" s="67"/>
      <c r="B29" s="67"/>
      <c r="C29" s="67"/>
      <c r="D29" s="161" t="s">
        <v>143</v>
      </c>
      <c r="E29" s="161"/>
      <c r="F29" s="162" t="s">
        <v>144</v>
      </c>
      <c r="G29" s="163">
        <f>SUM(G17:G28)</f>
        <v>1183.25</v>
      </c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67"/>
      <c r="D31" s="67"/>
      <c r="E31" s="67"/>
      <c r="F31" s="67"/>
      <c r="G31" s="67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67"/>
      <c r="B50" s="67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5" t="s">
        <v>145</v>
      </c>
      <c r="F51" s="275"/>
      <c r="G51" s="275"/>
    </row>
  </sheetData>
  <mergeCells count="15">
    <mergeCell ref="A21:B21"/>
    <mergeCell ref="E51:G51"/>
    <mergeCell ref="A1:G1"/>
    <mergeCell ref="A16:B16"/>
    <mergeCell ref="A17:B17"/>
    <mergeCell ref="A18:B18"/>
    <mergeCell ref="A19:B19"/>
    <mergeCell ref="A22:B22"/>
    <mergeCell ref="A23:B23"/>
    <mergeCell ref="A24:B24"/>
    <mergeCell ref="A25:B25"/>
    <mergeCell ref="A27:B27"/>
    <mergeCell ref="A28:B28"/>
    <mergeCell ref="A20:B20"/>
    <mergeCell ref="A26:B26"/>
  </mergeCells>
  <printOptions horizontalCentered="1"/>
  <pageMargins left="0.45" right="0.45" top="0.75" bottom="0.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S57"/>
  <sheetViews>
    <sheetView view="pageBreakPreview" zoomScale="40" zoomScaleNormal="100" zoomScaleSheetLayoutView="100" workbookViewId="0">
      <selection activeCell="A47" sqref="A47:XFD47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5" style="32" customWidth="1"/>
    <col min="10" max="10" width="6.26953125" style="32" customWidth="1"/>
    <col min="11" max="11" width="13" style="32" customWidth="1"/>
    <col min="12" max="12" width="31.26953125" style="32" bestFit="1" customWidth="1"/>
    <col min="13" max="13" width="8.7265625" style="32" customWidth="1"/>
    <col min="14" max="14" width="7.453125" style="32" customWidth="1"/>
    <col min="15" max="15" width="12.26953125" style="32" customWidth="1"/>
    <col min="16" max="16" width="11" style="32" customWidth="1"/>
    <col min="17" max="17" width="14" style="32" bestFit="1" customWidth="1"/>
    <col min="18" max="18" width="13.7265625" style="32" bestFit="1" customWidth="1"/>
    <col min="19" max="19" width="9.54296875" style="32" bestFit="1" customWidth="1"/>
    <col min="20" max="16384" width="9.1796875" style="32"/>
  </cols>
  <sheetData>
    <row r="2" spans="1:19" ht="34.5" customHeight="1">
      <c r="A2" s="255" t="s">
        <v>97</v>
      </c>
      <c r="B2" s="255"/>
      <c r="C2" s="255"/>
      <c r="D2" s="255"/>
      <c r="E2" s="255"/>
      <c r="F2" s="255"/>
      <c r="G2" s="255"/>
      <c r="H2" s="255"/>
      <c r="I2" s="255"/>
      <c r="J2" s="255" t="s">
        <v>97</v>
      </c>
      <c r="K2" s="255"/>
      <c r="L2" s="255"/>
      <c r="M2" s="255"/>
      <c r="N2" s="255"/>
      <c r="O2" s="255"/>
      <c r="P2" s="255"/>
      <c r="Q2" s="255"/>
      <c r="R2" s="255"/>
    </row>
    <row r="3" spans="1:19" s="33" customFormat="1" ht="27.75" customHeight="1">
      <c r="A3" s="257" t="s">
        <v>98</v>
      </c>
      <c r="B3" s="257"/>
      <c r="C3" s="257"/>
      <c r="D3" s="257"/>
      <c r="E3" s="257"/>
      <c r="F3" s="257"/>
      <c r="G3" s="257"/>
      <c r="H3" s="257"/>
      <c r="I3" s="257"/>
      <c r="J3" s="257" t="s">
        <v>98</v>
      </c>
      <c r="K3" s="257"/>
      <c r="L3" s="257"/>
      <c r="M3" s="257"/>
      <c r="N3" s="257"/>
      <c r="O3" s="257"/>
      <c r="P3" s="257"/>
      <c r="Q3" s="257"/>
      <c r="R3" s="257"/>
    </row>
    <row r="4" spans="1:19" ht="19.5" customHeight="1">
      <c r="A4" s="59"/>
      <c r="B4" s="59"/>
      <c r="C4" s="258" t="s">
        <v>154</v>
      </c>
      <c r="D4" s="258"/>
      <c r="E4" s="258"/>
      <c r="F4" s="258"/>
      <c r="G4" s="258"/>
      <c r="H4" s="59"/>
      <c r="I4" s="59"/>
      <c r="J4" s="59"/>
      <c r="K4" s="59"/>
      <c r="L4" s="258" t="s">
        <v>154</v>
      </c>
      <c r="M4" s="258"/>
      <c r="N4" s="258"/>
      <c r="O4" s="258"/>
      <c r="P4" s="258"/>
      <c r="Q4" s="59"/>
      <c r="R4" s="59"/>
    </row>
    <row r="5" spans="1:19" s="34" customFormat="1" ht="25" customHeight="1">
      <c r="A5" s="259" t="s">
        <v>126</v>
      </c>
      <c r="B5" s="259"/>
      <c r="C5" s="259"/>
      <c r="D5" s="259"/>
      <c r="E5" s="259"/>
      <c r="F5" s="259"/>
      <c r="G5" s="259"/>
      <c r="H5" s="259"/>
      <c r="I5" s="259"/>
      <c r="J5" s="259" t="s">
        <v>126</v>
      </c>
      <c r="K5" s="259"/>
      <c r="L5" s="259"/>
      <c r="M5" s="259"/>
      <c r="N5" s="259"/>
      <c r="O5" s="259"/>
      <c r="P5" s="259"/>
      <c r="Q5" s="259"/>
      <c r="R5" s="259"/>
    </row>
    <row r="6" spans="1:19" s="34" customFormat="1" ht="22" customHeight="1">
      <c r="A6" s="259" t="s">
        <v>127</v>
      </c>
      <c r="B6" s="259"/>
      <c r="C6" s="259"/>
      <c r="D6" s="259"/>
      <c r="E6" s="259"/>
      <c r="F6" s="259"/>
      <c r="G6" s="259"/>
      <c r="H6" s="259"/>
      <c r="I6" s="259"/>
      <c r="J6" s="259" t="s">
        <v>127</v>
      </c>
      <c r="K6" s="259"/>
      <c r="L6" s="259"/>
      <c r="M6" s="259"/>
      <c r="N6" s="259"/>
      <c r="O6" s="259"/>
      <c r="P6" s="259"/>
      <c r="Q6" s="259"/>
      <c r="R6" s="259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72" t="s">
        <v>96</v>
      </c>
      <c r="B9" s="272"/>
      <c r="C9" s="272"/>
      <c r="D9" s="272"/>
      <c r="E9" s="272"/>
      <c r="F9" s="272"/>
      <c r="G9" s="272"/>
      <c r="H9" s="272"/>
      <c r="I9" s="272"/>
      <c r="J9" s="255" t="s">
        <v>168</v>
      </c>
      <c r="K9" s="255"/>
      <c r="L9" s="255"/>
      <c r="M9" s="255"/>
      <c r="N9" s="255"/>
      <c r="O9" s="255"/>
      <c r="P9" s="255"/>
      <c r="Q9" s="255"/>
      <c r="R9" s="255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6" t="s">
        <v>357</v>
      </c>
      <c r="B12" s="266"/>
      <c r="C12" s="266"/>
      <c r="D12" s="266"/>
      <c r="F12" s="253" t="s">
        <v>107</v>
      </c>
      <c r="G12" s="253"/>
      <c r="H12" s="253"/>
      <c r="I12" s="101" t="s">
        <v>353</v>
      </c>
      <c r="J12" s="124" t="str">
        <f t="shared" ref="J12:J19" si="0">A12</f>
        <v>ឈ្មោះអតិថិជន /Customer: ជេអ អឹភែរឹល ឯ.ក</v>
      </c>
      <c r="K12" s="38"/>
      <c r="O12" s="253" t="s">
        <v>194</v>
      </c>
      <c r="P12" s="253"/>
      <c r="Q12" s="253"/>
      <c r="R12" s="101" t="s">
        <v>296</v>
      </c>
      <c r="S12" s="160" t="s">
        <v>297</v>
      </c>
    </row>
    <row r="13" spans="1:19" ht="20.149999999999999" customHeight="1">
      <c r="A13" s="268" t="s">
        <v>189</v>
      </c>
      <c r="B13" s="268"/>
      <c r="C13" s="268"/>
      <c r="D13" s="268"/>
      <c r="E13" s="253" t="s">
        <v>106</v>
      </c>
      <c r="F13" s="253"/>
      <c r="G13" s="253"/>
      <c r="H13" s="253"/>
      <c r="I13" s="102">
        <v>46293</v>
      </c>
      <c r="J13" s="115" t="str">
        <f t="shared" si="0"/>
        <v>JR APPAREL CO.,LTD</v>
      </c>
      <c r="K13" s="35"/>
      <c r="N13" s="253" t="s">
        <v>195</v>
      </c>
      <c r="O13" s="253"/>
      <c r="P13" s="253"/>
      <c r="Q13" s="253"/>
      <c r="R13" s="123">
        <f>I13</f>
        <v>46293</v>
      </c>
    </row>
    <row r="14" spans="1:19" ht="25" customHeight="1">
      <c r="A14" s="269" t="s">
        <v>184</v>
      </c>
      <c r="B14" s="269"/>
      <c r="C14" s="269"/>
      <c r="D14" s="269"/>
      <c r="E14" s="269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43" t="s">
        <v>186</v>
      </c>
      <c r="B15" s="243"/>
      <c r="C15" s="243"/>
      <c r="D15" s="243"/>
      <c r="E15" s="243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5" t="s">
        <v>183</v>
      </c>
      <c r="B16" s="265"/>
      <c r="C16" s="265"/>
      <c r="D16" s="265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190</v>
      </c>
      <c r="H17" s="120"/>
      <c r="I17"/>
      <c r="J17" s="46" t="str">
        <f t="shared" si="0"/>
        <v>SHIPPER:</v>
      </c>
      <c r="L17" s="46" t="str">
        <f>C17</f>
        <v>JR APPAREL CO., LTD.</v>
      </c>
      <c r="Q17" s="120"/>
      <c r="R17" s="120"/>
    </row>
    <row r="18" spans="1:19" s="46" customFormat="1" ht="19.5" customHeight="1">
      <c r="A18" s="46" t="s">
        <v>110</v>
      </c>
      <c r="C18" s="46" t="s">
        <v>242</v>
      </c>
      <c r="G18" s="254" t="s">
        <v>157</v>
      </c>
      <c r="H18" s="254"/>
      <c r="I18" s="81">
        <v>14112.8</v>
      </c>
      <c r="J18" s="46" t="str">
        <f t="shared" si="0"/>
        <v>CONSIGNEE :</v>
      </c>
      <c r="L18" s="46" t="str">
        <f>C18</f>
        <v>CHAPTERONE SPORTSWEAR</v>
      </c>
      <c r="P18" s="254" t="str">
        <f>G18</f>
        <v>GROSS WEIGHT:</v>
      </c>
      <c r="Q18" s="254"/>
      <c r="R18" s="81">
        <f>I18</f>
        <v>14112.8</v>
      </c>
    </row>
    <row r="19" spans="1:19" s="46" customFormat="1" ht="19.5" customHeight="1">
      <c r="A19" s="46" t="s">
        <v>112</v>
      </c>
      <c r="B19" s="116" t="s">
        <v>364</v>
      </c>
      <c r="D19" s="58" t="s">
        <v>111</v>
      </c>
      <c r="E19" s="180" t="s">
        <v>272</v>
      </c>
      <c r="H19" s="80" t="s">
        <v>158</v>
      </c>
      <c r="I19" s="121" t="s">
        <v>202</v>
      </c>
      <c r="J19" s="46" t="str">
        <f t="shared" si="0"/>
        <v>HBL:</v>
      </c>
      <c r="K19" s="271" t="str">
        <f>B19</f>
        <v>COSU6464270740</v>
      </c>
      <c r="L19" s="271"/>
      <c r="M19" s="58" t="s">
        <v>111</v>
      </c>
      <c r="N19" s="148" t="str">
        <f>E19</f>
        <v>1X45'HQ</v>
      </c>
      <c r="Q19" s="80" t="s">
        <v>158</v>
      </c>
      <c r="R19" s="121" t="str">
        <f>I19</f>
        <v>PNH PORT</v>
      </c>
    </row>
    <row r="20" spans="1:19" s="46" customFormat="1" ht="19.5" customHeight="1">
      <c r="A20" s="58" t="s">
        <v>116</v>
      </c>
      <c r="B20" s="172" t="s">
        <v>340</v>
      </c>
      <c r="C20" s="96"/>
      <c r="D20" s="58" t="s">
        <v>113</v>
      </c>
      <c r="E20" s="148" t="s">
        <v>366</v>
      </c>
      <c r="H20" s="80" t="s">
        <v>159</v>
      </c>
      <c r="I20" s="73" t="s">
        <v>246</v>
      </c>
      <c r="J20" s="58" t="str">
        <f>A20</f>
        <v>PKGS:</v>
      </c>
      <c r="K20" s="172" t="str">
        <f>B20</f>
        <v>814 CTNS</v>
      </c>
      <c r="L20" s="96"/>
      <c r="M20" s="58" t="s">
        <v>113</v>
      </c>
      <c r="N20" s="148" t="str">
        <f>E20</f>
        <v>CSNU6327198</v>
      </c>
      <c r="Q20" s="80" t="s">
        <v>159</v>
      </c>
      <c r="R20" s="73" t="str">
        <f>I20</f>
        <v>USA</v>
      </c>
    </row>
    <row r="21" spans="1:19" ht="15" customHeight="1" thickBot="1">
      <c r="A21" s="44"/>
      <c r="B21" s="35"/>
      <c r="G21" s="249">
        <v>4057</v>
      </c>
      <c r="H21" s="249"/>
      <c r="I21" s="249"/>
      <c r="J21" s="44"/>
      <c r="K21" s="35"/>
      <c r="P21" s="249">
        <f>G21</f>
        <v>4057</v>
      </c>
      <c r="Q21" s="249"/>
      <c r="R21" s="249"/>
    </row>
    <row r="22" spans="1:19" s="36" customFormat="1" ht="30" customHeight="1">
      <c r="A22" s="78" t="s">
        <v>0</v>
      </c>
      <c r="B22" s="250" t="s">
        <v>1</v>
      </c>
      <c r="C22" s="250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0" t="s">
        <v>1</v>
      </c>
      <c r="L22" s="250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51" t="s">
        <v>6</v>
      </c>
      <c r="C23" s="251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51" t="s">
        <v>6</v>
      </c>
      <c r="L23" s="251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199</v>
      </c>
      <c r="C25" s="270"/>
      <c r="D25" s="52">
        <v>1</v>
      </c>
      <c r="E25" s="170" t="s">
        <v>274</v>
      </c>
      <c r="F25" s="48">
        <v>242</v>
      </c>
      <c r="G25" s="48">
        <f>ROUND(F25*D25,2)</f>
        <v>242</v>
      </c>
      <c r="H25" s="48">
        <f>G25*10%</f>
        <v>24.200000000000003</v>
      </c>
      <c r="I25" s="48">
        <f>H25+G25</f>
        <v>266.2</v>
      </c>
      <c r="J25" s="143">
        <v>1</v>
      </c>
      <c r="K25" s="159" t="s">
        <v>230</v>
      </c>
      <c r="L25" s="159"/>
      <c r="M25" s="52">
        <v>1</v>
      </c>
      <c r="N25" s="170" t="s">
        <v>274</v>
      </c>
      <c r="O25" s="48">
        <v>77</v>
      </c>
      <c r="P25" s="48">
        <f>O25*M25</f>
        <v>77</v>
      </c>
      <c r="Q25" s="48">
        <v>0</v>
      </c>
      <c r="R25" s="48">
        <f>Q25+P25</f>
        <v>77</v>
      </c>
    </row>
    <row r="26" spans="1:19" ht="25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M26" s="52">
        <v>1</v>
      </c>
      <c r="N26" s="170" t="s">
        <v>274</v>
      </c>
      <c r="O26" s="48">
        <v>21.25</v>
      </c>
      <c r="P26" s="48">
        <f>O26*M26</f>
        <v>21.25</v>
      </c>
      <c r="Q26" s="48">
        <v>0</v>
      </c>
      <c r="R26" s="48">
        <f>Q26+P26</f>
        <v>21.25</v>
      </c>
    </row>
    <row r="27" spans="1:19" ht="25" customHeight="1">
      <c r="A27" s="142"/>
      <c r="B27" s="147"/>
      <c r="C27" s="147"/>
      <c r="D27" s="52"/>
      <c r="E27" s="170"/>
      <c r="F27" s="48"/>
      <c r="G27" s="48"/>
      <c r="H27" s="48"/>
      <c r="I27" s="48"/>
      <c r="J27" s="143">
        <v>3</v>
      </c>
      <c r="K27" s="159" t="s">
        <v>205</v>
      </c>
      <c r="M27" s="52">
        <v>1</v>
      </c>
      <c r="N27" s="170" t="s">
        <v>274</v>
      </c>
      <c r="O27" s="48">
        <v>539</v>
      </c>
      <c r="P27" s="48">
        <f>O27*M27</f>
        <v>539</v>
      </c>
      <c r="Q27" s="48">
        <v>0</v>
      </c>
      <c r="R27" s="48">
        <f>Q27+P27</f>
        <v>539</v>
      </c>
    </row>
    <row r="28" spans="1:19" ht="9" customHeight="1" thickBot="1">
      <c r="A28" s="49"/>
      <c r="B28" s="252"/>
      <c r="C28" s="252"/>
      <c r="D28" s="53"/>
      <c r="E28" s="51"/>
      <c r="F28" s="50"/>
      <c r="G28" s="50"/>
      <c r="H28" s="50"/>
      <c r="I28" s="50"/>
      <c r="J28" s="49"/>
      <c r="K28" s="252"/>
      <c r="L28" s="252"/>
      <c r="M28" s="53"/>
      <c r="N28" s="51"/>
      <c r="O28" s="50"/>
      <c r="P28" s="50"/>
      <c r="Q28" s="50"/>
      <c r="R28" s="50"/>
    </row>
    <row r="29" spans="1:19" s="36" customFormat="1" ht="25" customHeight="1">
      <c r="C29" s="267" t="s">
        <v>163</v>
      </c>
      <c r="D29" s="267"/>
      <c r="E29" s="90" t="s">
        <v>162</v>
      </c>
      <c r="F29" s="262">
        <f>$I$29*G21</f>
        <v>981794</v>
      </c>
      <c r="G29" s="262"/>
      <c r="H29" s="93" t="s">
        <v>144</v>
      </c>
      <c r="I29" s="86">
        <f>SUM(G25:G28)</f>
        <v>242</v>
      </c>
      <c r="L29" s="267" t="s">
        <v>163</v>
      </c>
      <c r="M29" s="267"/>
      <c r="N29" s="267"/>
      <c r="O29" s="267"/>
      <c r="P29" s="267"/>
      <c r="Q29" s="93" t="s">
        <v>144</v>
      </c>
      <c r="R29" s="86">
        <f>SUM(R25:R28)</f>
        <v>637.25</v>
      </c>
    </row>
    <row r="30" spans="1:19" s="36" customFormat="1" ht="25" customHeight="1">
      <c r="C30" s="260" t="s">
        <v>161</v>
      </c>
      <c r="D30" s="260"/>
      <c r="E30" s="91" t="s">
        <v>162</v>
      </c>
      <c r="F30" s="263">
        <f>$I$30*$G$21</f>
        <v>98179.4</v>
      </c>
      <c r="G30" s="263"/>
      <c r="H30" s="94" t="s">
        <v>144</v>
      </c>
      <c r="I30" s="87">
        <f>ROUND(SUM(H25:H28),2)</f>
        <v>24.2</v>
      </c>
      <c r="L30" s="260" t="s">
        <v>171</v>
      </c>
      <c r="M30" s="260"/>
      <c r="N30" s="260"/>
      <c r="O30" s="260"/>
      <c r="P30" s="260"/>
      <c r="Q30" s="94" t="s">
        <v>144</v>
      </c>
      <c r="R30" s="87">
        <v>0</v>
      </c>
    </row>
    <row r="31" spans="1:19" ht="25" customHeight="1" thickBot="1">
      <c r="A31" s="88"/>
      <c r="B31" s="88"/>
      <c r="C31" s="261" t="s">
        <v>164</v>
      </c>
      <c r="D31" s="261"/>
      <c r="E31" s="92" t="s">
        <v>162</v>
      </c>
      <c r="F31" s="264">
        <f>I31*$G$21</f>
        <v>1079973.3999999999</v>
      </c>
      <c r="G31" s="264"/>
      <c r="H31" s="95" t="s">
        <v>144</v>
      </c>
      <c r="I31" s="89">
        <f>$I$29+$I$30</f>
        <v>266.2</v>
      </c>
      <c r="J31" s="88"/>
      <c r="K31" s="88"/>
      <c r="L31" s="261" t="s">
        <v>164</v>
      </c>
      <c r="M31" s="261"/>
      <c r="N31" s="261"/>
      <c r="O31" s="261"/>
      <c r="P31" s="261"/>
      <c r="Q31" s="95" t="s">
        <v>144</v>
      </c>
      <c r="R31" s="89">
        <f>SUM(R29:R30)</f>
        <v>637.25</v>
      </c>
      <c r="S31" s="165">
        <f>SUM(I31,R31)</f>
        <v>903.45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0" s="67" customFormat="1" ht="14">
      <c r="A33" s="84" t="s">
        <v>128</v>
      </c>
      <c r="J33" s="84" t="s">
        <v>128</v>
      </c>
    </row>
    <row r="34" spans="1:10" s="67" customFormat="1" ht="14">
      <c r="A34" s="85" t="s">
        <v>98</v>
      </c>
      <c r="J34" s="85" t="s">
        <v>98</v>
      </c>
    </row>
    <row r="35" spans="1:10" s="67" customFormat="1" ht="14">
      <c r="A35" s="84" t="s">
        <v>129</v>
      </c>
      <c r="J35" s="84" t="s">
        <v>129</v>
      </c>
    </row>
    <row r="36" spans="1:10" s="67" customFormat="1" ht="14">
      <c r="A36" s="84" t="s">
        <v>130</v>
      </c>
      <c r="J36" s="84" t="s">
        <v>130</v>
      </c>
    </row>
    <row r="37" spans="1:10" s="67" customFormat="1" ht="14">
      <c r="A37" s="84" t="s">
        <v>160</v>
      </c>
      <c r="J37" s="84" t="s">
        <v>160</v>
      </c>
    </row>
    <row r="38" spans="1:10" s="67" customFormat="1" ht="14">
      <c r="A38" s="84" t="s">
        <v>131</v>
      </c>
      <c r="J38" s="84" t="s">
        <v>131</v>
      </c>
    </row>
    <row r="39" spans="1:10" s="67" customFormat="1" ht="14">
      <c r="A39" s="84"/>
      <c r="J39" s="84"/>
    </row>
    <row r="40" spans="1:10">
      <c r="A40" s="84"/>
      <c r="J40" s="84"/>
    </row>
    <row r="41" spans="1:10">
      <c r="A41" s="84"/>
      <c r="J41" s="84"/>
    </row>
    <row r="42" spans="1:10">
      <c r="A42" s="84"/>
      <c r="J42" s="84"/>
    </row>
    <row r="43" spans="1:10">
      <c r="A43" s="84"/>
      <c r="J43" s="84"/>
    </row>
    <row r="44" spans="1:10">
      <c r="A44" s="84"/>
      <c r="J44" s="84"/>
    </row>
    <row r="45" spans="1:10">
      <c r="A45" s="84"/>
      <c r="J45" s="84"/>
    </row>
    <row r="46" spans="1:10">
      <c r="A46" s="84"/>
      <c r="J46" s="84"/>
    </row>
    <row r="47" spans="1:10">
      <c r="A47" s="84"/>
      <c r="J47" s="84"/>
    </row>
    <row r="48" spans="1:10">
      <c r="A48" s="84"/>
      <c r="J48" s="84"/>
    </row>
    <row r="49" spans="1:18" ht="37.5" customHeight="1">
      <c r="A49" s="32" t="s">
        <v>99</v>
      </c>
      <c r="G49" s="32" t="s">
        <v>100</v>
      </c>
      <c r="J49" s="32" t="s">
        <v>99</v>
      </c>
      <c r="P49" s="32" t="s">
        <v>100</v>
      </c>
    </row>
    <row r="50" spans="1:18" ht="30">
      <c r="A50" s="63" t="s">
        <v>9</v>
      </c>
      <c r="B50" s="64"/>
      <c r="C50" s="55"/>
      <c r="D50" s="55"/>
      <c r="E50" s="55"/>
      <c r="F50" s="55"/>
      <c r="G50" s="61" t="s">
        <v>10</v>
      </c>
      <c r="H50" s="61"/>
      <c r="I50" s="61"/>
      <c r="J50" s="63" t="s">
        <v>9</v>
      </c>
      <c r="K50" s="64"/>
      <c r="L50" s="55"/>
      <c r="M50" s="55"/>
      <c r="N50" s="55"/>
      <c r="O50" s="55"/>
      <c r="P50" s="61" t="s">
        <v>10</v>
      </c>
      <c r="Q50" s="61"/>
      <c r="R50" s="61"/>
    </row>
    <row r="51" spans="1:18" ht="20.149999999999999" customHeight="1">
      <c r="A51" s="65" t="s">
        <v>114</v>
      </c>
      <c r="B51" s="66"/>
      <c r="C51" s="56"/>
      <c r="D51" s="55"/>
      <c r="E51" s="55"/>
      <c r="F51" s="55"/>
      <c r="G51" s="55"/>
      <c r="H51" s="55"/>
      <c r="I51" s="55"/>
      <c r="J51" s="65" t="s">
        <v>114</v>
      </c>
      <c r="K51" s="66"/>
      <c r="L51" s="56"/>
      <c r="M51" s="55"/>
      <c r="N51" s="55"/>
      <c r="O51" s="55"/>
      <c r="P51" s="55"/>
      <c r="Q51" s="55"/>
      <c r="R51" s="55"/>
    </row>
    <row r="52" spans="1:18" ht="18" customHeight="1">
      <c r="A52" s="58" t="s">
        <v>115</v>
      </c>
      <c r="B52" s="57"/>
      <c r="C52" s="55"/>
      <c r="D52" s="55"/>
      <c r="E52" s="55"/>
      <c r="F52" s="55"/>
      <c r="G52" s="55"/>
      <c r="H52" s="55"/>
      <c r="I52" s="55"/>
      <c r="J52" s="58" t="s">
        <v>115</v>
      </c>
      <c r="K52" s="57"/>
      <c r="L52" s="55"/>
      <c r="M52" s="55"/>
      <c r="N52" s="55"/>
      <c r="O52" s="55"/>
      <c r="P52" s="55"/>
      <c r="Q52" s="55"/>
      <c r="R52" s="55"/>
    </row>
    <row r="53" spans="1:18" ht="27.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</row>
    <row r="57" spans="1:18" ht="23">
      <c r="A57" s="39"/>
      <c r="J57" s="39"/>
    </row>
  </sheetData>
  <dataConsolidate/>
  <mergeCells count="44">
    <mergeCell ref="C30:D30"/>
    <mergeCell ref="F30:G30"/>
    <mergeCell ref="L30:P30"/>
    <mergeCell ref="C31:D31"/>
    <mergeCell ref="F31:G31"/>
    <mergeCell ref="L31:P31"/>
    <mergeCell ref="B25:C25"/>
    <mergeCell ref="B28:C28"/>
    <mergeCell ref="K28:L28"/>
    <mergeCell ref="C29:D29"/>
    <mergeCell ref="F29:G29"/>
    <mergeCell ref="L29:P29"/>
    <mergeCell ref="G21:I21"/>
    <mergeCell ref="P21:R21"/>
    <mergeCell ref="B22:C22"/>
    <mergeCell ref="K22:L22"/>
    <mergeCell ref="B23:C23"/>
    <mergeCell ref="K23:L23"/>
    <mergeCell ref="K19:L19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A5:I5"/>
    <mergeCell ref="J5:R5"/>
    <mergeCell ref="A6:I6"/>
    <mergeCell ref="J6:R6"/>
    <mergeCell ref="A9:I9"/>
    <mergeCell ref="J9:R9"/>
    <mergeCell ref="A2:I2"/>
    <mergeCell ref="J2:R2"/>
    <mergeCell ref="A3:I3"/>
    <mergeCell ref="J3:R3"/>
    <mergeCell ref="C4:G4"/>
    <mergeCell ref="L4:P4"/>
  </mergeCells>
  <conditionalFormatting sqref="S12">
    <cfRule type="duplicateValues" dxfId="7" priority="1"/>
    <cfRule type="duplicateValues" dxfId="6" priority="2"/>
  </conditionalFormatting>
  <dataValidations count="9">
    <dataValidation type="list" allowBlank="1" showInputMessage="1" showErrorMessage="1" sqref="I20" xr:uid="{00000000-0002-0000-0C00-000000000000}">
      <formula1>"BRAZIL,UK,SHV PORT,PNH PORT,HLH,PNH IN'T,USA,OLAIR, CA,SPAIN,CANADA"</formula1>
    </dataValidation>
    <dataValidation type="list" allowBlank="1" showInputMessage="1" showErrorMessage="1" sqref="I19" xr:uid="{00000000-0002-0000-0C00-000001000000}">
      <formula1>"TAIWAN,PNH IN'T,SHV PORT, PNH PORT,HK,JP,CHINA,VN,CA"</formula1>
    </dataValidation>
    <dataValidation type="list" allowBlank="1" showInputMessage="1" showErrorMessage="1" sqref="E26:E27" xr:uid="{00000000-0002-0000-0C00-000002000000}">
      <formula1>"SET,40H,20G,TRUCK,LCL"</formula1>
    </dataValidation>
    <dataValidation type="list" allowBlank="1" showInputMessage="1" showErrorMessage="1" sqref="B25:C27" xr:uid="{00000000-0002-0000-0C00-000003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A17" xr:uid="{00000000-0002-0000-0C00-000004000000}">
      <formula1>"លេខ អ ត ប (VATTIN)  : L001-901805758"</formula1>
    </dataValidation>
    <dataValidation type="list" allowBlank="1" showInputMessage="1" showErrorMessage="1" sqref="E25 N25:N27" xr:uid="{00000000-0002-0000-0C00-000005000000}">
      <formula1>"SET,40H,20G,TRUCK,LCL,45H"</formula1>
    </dataValidation>
    <dataValidation type="list" allowBlank="1" showInputMessage="1" showErrorMessage="1" sqref="K27" xr:uid="{00000000-0002-0000-0C00-000006000000}">
      <formula1>"AWB FEE,STORAGE FEE,THC FEE,HBL FEE,WAREHOUSE FEE,CUSTOM PROCESSING FEE,LOLO AT PORT,LOLO EMPTY CONTAINER"</formula1>
    </dataValidation>
    <dataValidation type="list" allowBlank="1" showInputMessage="1" showErrorMessage="1" sqref="L25 K26" xr:uid="{00000000-0002-0000-0C00-000007000000}">
      <formula1>"AWB FEE,STORAGE FEE,THC FEE,WAREHOUSE FEE,LOLO AT PP PORT,CUSTOM PROCESSING FEE,LOLO AT PORT,LOLO EMPTY CONTAINER"</formula1>
    </dataValidation>
    <dataValidation type="list" allowBlank="1" showInputMessage="1" showErrorMessage="1" sqref="K25" xr:uid="{00000000-0002-0000-0C00-000008000000}">
      <formula1>"AWB FEE,STORAGE FEE,THC FEE,WAREHOUSE FEE,CUSTOM PROCESSING FEE,LOLO AT PORT,LOLO EMPTY CONTAINER"</formula1>
    </dataValidation>
  </dataValidations>
  <printOptions horizontalCentered="1"/>
  <pageMargins left="0.2" right="0.2" top="0.25" bottom="0.1" header="0.05" footer="0.05"/>
  <pageSetup paperSize="9" scale="84" orientation="portrait" r:id="rId1"/>
  <rowBreaks count="1" manualBreakCount="1">
    <brk id="52" min="9" max="17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H51"/>
  <sheetViews>
    <sheetView view="pageBreakPreview" topLeftCell="A34" zoomScaleNormal="100" zoomScaleSheetLayoutView="100" workbookViewId="0">
      <selection activeCell="A49" sqref="A49:XFD49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8" ht="18">
      <c r="A1" s="276" t="s">
        <v>172</v>
      </c>
      <c r="B1" s="276"/>
      <c r="C1" s="276"/>
      <c r="D1" s="276"/>
      <c r="E1" s="276"/>
      <c r="F1" s="276"/>
      <c r="G1" s="276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298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'387'!I13</f>
        <v>46293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'387'!B19</f>
        <v>COSU6464270740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'387'!I18</f>
        <v>14112.8</v>
      </c>
      <c r="D10" s="67"/>
      <c r="E10" s="67"/>
      <c r="F10" s="103" t="s">
        <v>158</v>
      </c>
      <c r="G10" s="104" t="str">
        <f>'387'!I19</f>
        <v>PNH PORT</v>
      </c>
    </row>
    <row r="11" spans="1:8">
      <c r="A11" s="103" t="s">
        <v>111</v>
      </c>
      <c r="B11" s="98" t="s">
        <v>119</v>
      </c>
      <c r="C11" s="105" t="str">
        <f>'387'!E19</f>
        <v>1X45'HQ</v>
      </c>
      <c r="D11" s="82"/>
      <c r="E11" s="82"/>
      <c r="F11" s="103" t="s">
        <v>159</v>
      </c>
      <c r="G11" s="104" t="str">
        <f>'387'!I20</f>
        <v>USA</v>
      </c>
    </row>
    <row r="12" spans="1:8">
      <c r="A12" s="103" t="s">
        <v>113</v>
      </c>
      <c r="B12" s="98" t="s">
        <v>119</v>
      </c>
      <c r="C12" s="106" t="str">
        <f>'387'!E20</f>
        <v>CSNU6327198</v>
      </c>
      <c r="D12" s="82"/>
      <c r="E12" s="82"/>
      <c r="F12" s="103" t="s">
        <v>116</v>
      </c>
      <c r="G12" s="107" t="str">
        <f>'387'!B20</f>
        <v>814 CTNS</v>
      </c>
    </row>
    <row r="13" spans="1:8">
      <c r="A13" s="103" t="s">
        <v>136</v>
      </c>
      <c r="B13" s="98" t="s">
        <v>119</v>
      </c>
      <c r="C13" s="67" t="str">
        <f>'387'!C17</f>
        <v>JR APPAREL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67" t="str">
        <f>'387'!C18</f>
        <v>CHAPTERONE SPORTSWEAR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7" t="s">
        <v>138</v>
      </c>
      <c r="B16" s="278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'387'!S12</f>
        <v>E 291340</v>
      </c>
    </row>
    <row r="17" spans="1:8" s="116" customFormat="1" ht="14">
      <c r="A17" s="281">
        <v>1</v>
      </c>
      <c r="B17" s="282"/>
      <c r="C17" s="144" t="s">
        <v>192</v>
      </c>
      <c r="D17" s="145">
        <v>1</v>
      </c>
      <c r="E17" s="150" t="s">
        <v>274</v>
      </c>
      <c r="F17" s="117">
        <v>260</v>
      </c>
      <c r="G17" s="118">
        <f>ROUND(F17*D17,2)</f>
        <v>260</v>
      </c>
    </row>
    <row r="18" spans="1:8">
      <c r="A18" s="281">
        <v>2</v>
      </c>
      <c r="B18" s="282"/>
      <c r="C18" s="144" t="s">
        <v>177</v>
      </c>
      <c r="D18" s="145">
        <v>1</v>
      </c>
      <c r="E18" s="150" t="s">
        <v>274</v>
      </c>
      <c r="F18" s="146">
        <v>35</v>
      </c>
      <c r="G18" s="118">
        <f t="shared" ref="G18:G27" si="0">ROUND(F18*D18,2)</f>
        <v>35</v>
      </c>
    </row>
    <row r="19" spans="1:8">
      <c r="A19" s="281">
        <v>3</v>
      </c>
      <c r="B19" s="282"/>
      <c r="C19" s="186" t="s">
        <v>212</v>
      </c>
      <c r="D19" s="145">
        <v>1</v>
      </c>
      <c r="E19" s="150" t="s">
        <v>207</v>
      </c>
      <c r="F19" s="146">
        <v>169</v>
      </c>
      <c r="G19" s="118">
        <f t="shared" si="0"/>
        <v>169</v>
      </c>
    </row>
    <row r="20" spans="1:8">
      <c r="A20" s="281">
        <v>4</v>
      </c>
      <c r="B20" s="282"/>
      <c r="C20" s="186" t="s">
        <v>362</v>
      </c>
      <c r="D20" s="145">
        <v>1</v>
      </c>
      <c r="E20" s="150" t="s">
        <v>237</v>
      </c>
      <c r="F20" s="146">
        <v>57.5</v>
      </c>
      <c r="G20" s="118">
        <f t="shared" si="0"/>
        <v>57.5</v>
      </c>
    </row>
    <row r="21" spans="1:8">
      <c r="A21" s="281">
        <v>5</v>
      </c>
      <c r="B21" s="282"/>
      <c r="C21" s="144" t="s">
        <v>200</v>
      </c>
      <c r="D21" s="145">
        <v>1</v>
      </c>
      <c r="E21" s="150" t="s">
        <v>156</v>
      </c>
      <c r="F21" s="146">
        <v>25</v>
      </c>
      <c r="G21" s="118">
        <f t="shared" si="0"/>
        <v>25</v>
      </c>
    </row>
    <row r="22" spans="1:8">
      <c r="A22" s="281">
        <v>6</v>
      </c>
      <c r="B22" s="282"/>
      <c r="C22" s="186" t="s">
        <v>201</v>
      </c>
      <c r="D22" s="206">
        <v>1</v>
      </c>
      <c r="E22" s="207" t="s">
        <v>203</v>
      </c>
      <c r="F22" s="210">
        <v>20</v>
      </c>
      <c r="G22" s="209">
        <f>ROUND(F22*D22,2)</f>
        <v>20</v>
      </c>
    </row>
    <row r="23" spans="1:8">
      <c r="A23" s="281">
        <v>7</v>
      </c>
      <c r="B23" s="282"/>
      <c r="C23" s="144" t="s">
        <v>179</v>
      </c>
      <c r="D23" s="145">
        <v>1</v>
      </c>
      <c r="E23" s="150" t="s">
        <v>274</v>
      </c>
      <c r="F23" s="146">
        <v>40</v>
      </c>
      <c r="G23" s="118">
        <f t="shared" si="0"/>
        <v>40</v>
      </c>
    </row>
    <row r="24" spans="1:8">
      <c r="A24" s="281">
        <v>8</v>
      </c>
      <c r="B24" s="282"/>
      <c r="C24" s="144" t="s">
        <v>333</v>
      </c>
      <c r="D24" s="145">
        <v>1</v>
      </c>
      <c r="E24" s="150" t="s">
        <v>274</v>
      </c>
      <c r="F24" s="146">
        <v>60</v>
      </c>
      <c r="G24" s="118">
        <f t="shared" si="0"/>
        <v>60</v>
      </c>
      <c r="H24" s="77"/>
    </row>
    <row r="25" spans="1:8">
      <c r="A25" s="281">
        <v>9</v>
      </c>
      <c r="B25" s="282"/>
      <c r="C25" s="144" t="s">
        <v>236</v>
      </c>
      <c r="D25" s="145">
        <v>1</v>
      </c>
      <c r="E25" s="150" t="s">
        <v>274</v>
      </c>
      <c r="F25" s="146">
        <v>49.5</v>
      </c>
      <c r="G25" s="118">
        <f t="shared" si="0"/>
        <v>49.5</v>
      </c>
    </row>
    <row r="26" spans="1:8">
      <c r="A26" s="281">
        <v>10</v>
      </c>
      <c r="B26" s="282"/>
      <c r="C26" s="144" t="s">
        <v>317</v>
      </c>
      <c r="D26" s="145">
        <v>1</v>
      </c>
      <c r="E26" s="150" t="s">
        <v>274</v>
      </c>
      <c r="F26" s="146">
        <v>15</v>
      </c>
      <c r="G26" s="118">
        <f t="shared" si="0"/>
        <v>15</v>
      </c>
    </row>
    <row r="27" spans="1:8">
      <c r="A27" s="281">
        <v>11</v>
      </c>
      <c r="B27" s="282"/>
      <c r="C27" s="144" t="s">
        <v>341</v>
      </c>
      <c r="D27" s="145">
        <v>1</v>
      </c>
      <c r="E27" s="150" t="s">
        <v>211</v>
      </c>
      <c r="F27" s="146">
        <v>40</v>
      </c>
      <c r="G27" s="118">
        <f t="shared" si="0"/>
        <v>40</v>
      </c>
    </row>
    <row r="28" spans="1:8">
      <c r="A28" s="67"/>
      <c r="B28" s="67"/>
      <c r="C28" s="67"/>
      <c r="D28" s="161" t="s">
        <v>143</v>
      </c>
      <c r="E28" s="161"/>
      <c r="F28" s="162" t="s">
        <v>144</v>
      </c>
      <c r="G28" s="163">
        <f>SUM(G17:G27)</f>
        <v>771</v>
      </c>
    </row>
    <row r="29" spans="1:8">
      <c r="A29" s="67"/>
      <c r="B29" s="67"/>
      <c r="C29" s="67"/>
      <c r="D29" s="67"/>
      <c r="E29" s="67"/>
      <c r="F29" s="67"/>
      <c r="G29" s="67"/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67"/>
      <c r="D31" s="67"/>
      <c r="E31" s="67"/>
      <c r="F31" s="67"/>
      <c r="G31" s="67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67"/>
      <c r="B50" s="67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5" t="s">
        <v>145</v>
      </c>
      <c r="F51" s="275"/>
      <c r="G51" s="275"/>
    </row>
  </sheetData>
  <mergeCells count="14">
    <mergeCell ref="E51:G51"/>
    <mergeCell ref="A1:G1"/>
    <mergeCell ref="A16:B16"/>
    <mergeCell ref="A17:B17"/>
    <mergeCell ref="A18:B18"/>
    <mergeCell ref="A19:B19"/>
    <mergeCell ref="A22:B22"/>
    <mergeCell ref="A20:B20"/>
    <mergeCell ref="A21:B21"/>
    <mergeCell ref="A23:B23"/>
    <mergeCell ref="A24:B24"/>
    <mergeCell ref="A25:B25"/>
    <mergeCell ref="A26:B26"/>
    <mergeCell ref="A27:B27"/>
  </mergeCells>
  <printOptions horizontalCentered="1"/>
  <pageMargins left="0.45" right="0.45" top="0.75" bottom="0.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S51"/>
  <sheetViews>
    <sheetView view="pageBreakPreview" topLeftCell="E22" zoomScale="80" zoomScaleNormal="100" zoomScaleSheetLayoutView="80" workbookViewId="0">
      <selection activeCell="S32" sqref="S32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5" style="32" customWidth="1"/>
    <col min="10" max="10" width="6.26953125" style="32" customWidth="1"/>
    <col min="11" max="11" width="13" style="32" customWidth="1"/>
    <col min="12" max="12" width="36.7265625" style="32" customWidth="1"/>
    <col min="13" max="13" width="8.7265625" style="32" customWidth="1"/>
    <col min="14" max="14" width="7" style="32" customWidth="1"/>
    <col min="15" max="15" width="11.1796875" style="32" customWidth="1"/>
    <col min="16" max="16" width="10" style="32" customWidth="1"/>
    <col min="17" max="17" width="10.453125" style="32" customWidth="1"/>
    <col min="18" max="18" width="14" style="32" bestFit="1" customWidth="1"/>
    <col min="19" max="16384" width="9.1796875" style="32"/>
  </cols>
  <sheetData>
    <row r="2" spans="1:19" ht="34.5" customHeight="1">
      <c r="A2" s="255" t="s">
        <v>97</v>
      </c>
      <c r="B2" s="255"/>
      <c r="C2" s="255"/>
      <c r="D2" s="255"/>
      <c r="E2" s="255"/>
      <c r="F2" s="255"/>
      <c r="G2" s="255"/>
      <c r="H2" s="255"/>
      <c r="I2" s="255"/>
      <c r="J2" s="255" t="s">
        <v>97</v>
      </c>
      <c r="K2" s="255"/>
      <c r="L2" s="255"/>
      <c r="M2" s="255"/>
      <c r="N2" s="255"/>
      <c r="O2" s="255"/>
      <c r="P2" s="255"/>
      <c r="Q2" s="255"/>
      <c r="R2" s="255"/>
    </row>
    <row r="3" spans="1:19" s="33" customFormat="1" ht="27.75" customHeight="1">
      <c r="A3" s="257" t="s">
        <v>98</v>
      </c>
      <c r="B3" s="257"/>
      <c r="C3" s="257"/>
      <c r="D3" s="257"/>
      <c r="E3" s="257"/>
      <c r="F3" s="257"/>
      <c r="G3" s="257"/>
      <c r="H3" s="257"/>
      <c r="I3" s="257"/>
      <c r="J3" s="257" t="s">
        <v>98</v>
      </c>
      <c r="K3" s="257"/>
      <c r="L3" s="257"/>
      <c r="M3" s="257"/>
      <c r="N3" s="257"/>
      <c r="O3" s="257"/>
      <c r="P3" s="257"/>
      <c r="Q3" s="257"/>
      <c r="R3" s="257"/>
    </row>
    <row r="4" spans="1:19" ht="19.5" customHeight="1">
      <c r="A4" s="59"/>
      <c r="B4" s="59"/>
      <c r="C4" s="258" t="s">
        <v>154</v>
      </c>
      <c r="D4" s="258"/>
      <c r="E4" s="258"/>
      <c r="F4" s="258"/>
      <c r="G4" s="258"/>
      <c r="H4" s="59"/>
      <c r="I4" s="59"/>
      <c r="J4" s="59"/>
      <c r="K4" s="59"/>
      <c r="L4" s="258" t="s">
        <v>154</v>
      </c>
      <c r="M4" s="258"/>
      <c r="N4" s="258"/>
      <c r="O4" s="258"/>
      <c r="P4" s="258"/>
      <c r="Q4" s="59"/>
      <c r="R4" s="59"/>
    </row>
    <row r="5" spans="1:19" s="34" customFormat="1" ht="25" customHeight="1">
      <c r="A5" s="259" t="s">
        <v>126</v>
      </c>
      <c r="B5" s="259"/>
      <c r="C5" s="259"/>
      <c r="D5" s="259"/>
      <c r="E5" s="259"/>
      <c r="F5" s="259"/>
      <c r="G5" s="259"/>
      <c r="H5" s="259"/>
      <c r="I5" s="259"/>
      <c r="J5" s="259" t="s">
        <v>126</v>
      </c>
      <c r="K5" s="259"/>
      <c r="L5" s="259"/>
      <c r="M5" s="259"/>
      <c r="N5" s="259"/>
      <c r="O5" s="259"/>
      <c r="P5" s="259"/>
      <c r="Q5" s="259"/>
      <c r="R5" s="259"/>
    </row>
    <row r="6" spans="1:19" s="34" customFormat="1" ht="22" customHeight="1">
      <c r="A6" s="259" t="s">
        <v>127</v>
      </c>
      <c r="B6" s="259"/>
      <c r="C6" s="259"/>
      <c r="D6" s="259"/>
      <c r="E6" s="259"/>
      <c r="F6" s="259"/>
      <c r="G6" s="259"/>
      <c r="H6" s="259"/>
      <c r="I6" s="259"/>
      <c r="J6" s="259" t="s">
        <v>127</v>
      </c>
      <c r="K6" s="259"/>
      <c r="L6" s="259"/>
      <c r="M6" s="259"/>
      <c r="N6" s="259"/>
      <c r="O6" s="259"/>
      <c r="P6" s="259"/>
      <c r="Q6" s="259"/>
      <c r="R6" s="259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72" t="s">
        <v>96</v>
      </c>
      <c r="B9" s="272"/>
      <c r="C9" s="272"/>
      <c r="D9" s="272"/>
      <c r="E9" s="272"/>
      <c r="F9" s="272"/>
      <c r="G9" s="272"/>
      <c r="H9" s="272"/>
      <c r="I9" s="272"/>
      <c r="J9" s="255" t="s">
        <v>168</v>
      </c>
      <c r="K9" s="255"/>
      <c r="L9" s="255"/>
      <c r="M9" s="255"/>
      <c r="N9" s="255"/>
      <c r="O9" s="255"/>
      <c r="P9" s="255"/>
      <c r="Q9" s="255"/>
      <c r="R9" s="255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6" t="s">
        <v>357</v>
      </c>
      <c r="B12" s="266"/>
      <c r="C12" s="266"/>
      <c r="D12" s="266"/>
      <c r="F12" s="253" t="s">
        <v>107</v>
      </c>
      <c r="G12" s="253"/>
      <c r="H12" s="253"/>
      <c r="I12" s="101" t="s">
        <v>299</v>
      </c>
      <c r="J12" s="124" t="str">
        <f t="shared" ref="J12:J19" si="0">A12</f>
        <v>ឈ្មោះអតិថិជន /Customer: ជេអ អឹភែរឹល ឯ.ក</v>
      </c>
      <c r="K12" s="38"/>
      <c r="O12" s="253" t="s">
        <v>194</v>
      </c>
      <c r="P12" s="253"/>
      <c r="Q12" s="253"/>
      <c r="R12" s="175" t="s">
        <v>300</v>
      </c>
      <c r="S12" s="160" t="s">
        <v>301</v>
      </c>
    </row>
    <row r="13" spans="1:19" ht="18.75" customHeight="1">
      <c r="A13" s="268" t="s">
        <v>189</v>
      </c>
      <c r="B13" s="268"/>
      <c r="C13" s="268"/>
      <c r="D13" s="268"/>
      <c r="E13" s="253" t="s">
        <v>106</v>
      </c>
      <c r="F13" s="253"/>
      <c r="G13" s="253"/>
      <c r="H13" s="253"/>
      <c r="I13" s="123">
        <v>46293</v>
      </c>
      <c r="J13" s="115" t="str">
        <f t="shared" si="0"/>
        <v>JR APPAREL CO.,LTD</v>
      </c>
      <c r="K13" s="35"/>
      <c r="N13" s="253" t="s">
        <v>195</v>
      </c>
      <c r="O13" s="253"/>
      <c r="P13" s="253"/>
      <c r="Q13" s="253"/>
      <c r="R13" s="123">
        <f>I13</f>
        <v>46293</v>
      </c>
    </row>
    <row r="14" spans="1:19" ht="25" customHeight="1">
      <c r="A14" s="269" t="s">
        <v>184</v>
      </c>
      <c r="B14" s="269"/>
      <c r="C14" s="269"/>
      <c r="D14" s="269"/>
      <c r="E14" s="269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43" t="s">
        <v>186</v>
      </c>
      <c r="B15" s="243"/>
      <c r="C15" s="243"/>
      <c r="D15" s="243"/>
      <c r="E15" s="243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5" t="s">
        <v>183</v>
      </c>
      <c r="B16" s="265"/>
      <c r="C16" s="265"/>
      <c r="D16" s="265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320</v>
      </c>
      <c r="H17" s="120"/>
      <c r="I17" s="120"/>
      <c r="J17" s="46" t="str">
        <f t="shared" si="0"/>
        <v>SHIPPER:</v>
      </c>
      <c r="L17" s="46" t="str">
        <f>C17</f>
        <v>SHANGHAI YONGYUE IMP. &amp;EXP. TRADING CO., LTD.</v>
      </c>
      <c r="Q17" s="120"/>
      <c r="R17" s="120"/>
    </row>
    <row r="18" spans="1:19" s="46" customFormat="1" ht="19.5" customHeight="1">
      <c r="A18" s="46" t="s">
        <v>110</v>
      </c>
      <c r="C18" s="46" t="s">
        <v>190</v>
      </c>
      <c r="G18" s="254" t="s">
        <v>157</v>
      </c>
      <c r="H18" s="254"/>
      <c r="I18" s="81">
        <v>11104.1</v>
      </c>
      <c r="J18" s="46" t="str">
        <f t="shared" si="0"/>
        <v>CONSIGNEE :</v>
      </c>
      <c r="L18" s="46" t="str">
        <f>C18</f>
        <v>JR APPAREL CO., LTD.</v>
      </c>
      <c r="P18" s="254" t="str">
        <f>G18</f>
        <v>GROSS WEIGHT:</v>
      </c>
      <c r="Q18" s="254"/>
      <c r="R18" s="81">
        <f>I18</f>
        <v>11104.1</v>
      </c>
    </row>
    <row r="19" spans="1:19" s="46" customFormat="1" ht="19.5" customHeight="1">
      <c r="A19" s="46" t="s">
        <v>112</v>
      </c>
      <c r="B19" s="46" t="s">
        <v>343</v>
      </c>
      <c r="D19" s="58" t="s">
        <v>111</v>
      </c>
      <c r="E19" s="180" t="s">
        <v>346</v>
      </c>
      <c r="H19" s="80" t="s">
        <v>158</v>
      </c>
      <c r="I19" s="121" t="s">
        <v>321</v>
      </c>
      <c r="J19" s="46" t="str">
        <f t="shared" si="0"/>
        <v>HBL:</v>
      </c>
      <c r="K19" s="46" t="str">
        <f>B19</f>
        <v>SHSIN6090113</v>
      </c>
      <c r="M19" s="58" t="s">
        <v>111</v>
      </c>
      <c r="N19" s="241" t="str">
        <f>E19</f>
        <v>1X20'GP</v>
      </c>
      <c r="Q19" s="80" t="s">
        <v>158</v>
      </c>
      <c r="R19" s="121" t="str">
        <f>I19</f>
        <v>CHINA</v>
      </c>
    </row>
    <row r="20" spans="1:19" s="46" customFormat="1" ht="19.5" customHeight="1">
      <c r="A20" s="58" t="s">
        <v>116</v>
      </c>
      <c r="B20" s="183" t="s">
        <v>342</v>
      </c>
      <c r="C20" s="96"/>
      <c r="D20" s="58" t="s">
        <v>113</v>
      </c>
      <c r="E20" s="148" t="s">
        <v>363</v>
      </c>
      <c r="H20" s="80" t="s">
        <v>159</v>
      </c>
      <c r="I20" s="73" t="s">
        <v>322</v>
      </c>
      <c r="J20" s="58" t="str">
        <f>A20</f>
        <v>PKGS:</v>
      </c>
      <c r="K20" s="183" t="str">
        <f>B20</f>
        <v>306 ROLLS</v>
      </c>
      <c r="L20" s="96"/>
      <c r="M20" s="58" t="s">
        <v>113</v>
      </c>
      <c r="N20" s="148" t="str">
        <f>E20</f>
        <v>SEKU1756681</v>
      </c>
      <c r="Q20" s="80" t="s">
        <v>159</v>
      </c>
      <c r="R20" s="73" t="str">
        <f>I20</f>
        <v>SHV PORT</v>
      </c>
    </row>
    <row r="21" spans="1:19" ht="15" customHeight="1" thickBot="1">
      <c r="A21" s="44"/>
      <c r="B21" s="35"/>
      <c r="G21" s="249">
        <v>4057</v>
      </c>
      <c r="H21" s="249"/>
      <c r="I21" s="249"/>
      <c r="J21" s="44"/>
      <c r="K21" s="35"/>
      <c r="P21" s="249">
        <f>G21</f>
        <v>4057</v>
      </c>
      <c r="Q21" s="249"/>
      <c r="R21" s="249"/>
    </row>
    <row r="22" spans="1:19" s="36" customFormat="1" ht="30" customHeight="1">
      <c r="A22" s="78" t="s">
        <v>0</v>
      </c>
      <c r="B22" s="250" t="s">
        <v>1</v>
      </c>
      <c r="C22" s="250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0" t="s">
        <v>1</v>
      </c>
      <c r="L22" s="250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51" t="s">
        <v>6</v>
      </c>
      <c r="C23" s="251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51" t="s">
        <v>6</v>
      </c>
      <c r="L23" s="251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  <c r="S23" s="82" t="s">
        <v>223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180</v>
      </c>
      <c r="C25" s="270"/>
      <c r="D25" s="52">
        <v>1</v>
      </c>
      <c r="E25" s="170" t="s">
        <v>196</v>
      </c>
      <c r="F25" s="48">
        <v>180</v>
      </c>
      <c r="G25" s="48">
        <f>ROUND(F25*D25,2)</f>
        <v>180</v>
      </c>
      <c r="H25" s="48">
        <f>G25*10%</f>
        <v>18</v>
      </c>
      <c r="I25" s="48">
        <f>H25+G25</f>
        <v>198</v>
      </c>
      <c r="J25" s="143">
        <v>1</v>
      </c>
      <c r="K25" s="159" t="s">
        <v>230</v>
      </c>
      <c r="L25" s="159"/>
      <c r="M25" s="52">
        <v>1</v>
      </c>
      <c r="N25" s="143" t="s">
        <v>196</v>
      </c>
      <c r="O25" s="48">
        <v>62.7</v>
      </c>
      <c r="P25" s="48">
        <f>O25*M25</f>
        <v>62.7</v>
      </c>
      <c r="Q25" s="48">
        <v>0</v>
      </c>
      <c r="R25" s="48">
        <f>Q25+P25</f>
        <v>62.7</v>
      </c>
    </row>
    <row r="26" spans="1:19" ht="25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196</v>
      </c>
      <c r="O26" s="48">
        <v>18.75</v>
      </c>
      <c r="P26" s="48">
        <f t="shared" ref="P26:P27" si="1">O26*M26</f>
        <v>18.75</v>
      </c>
      <c r="Q26" s="48">
        <v>0</v>
      </c>
      <c r="R26" s="48">
        <f t="shared" ref="R26:R27" si="2">Q26+P26</f>
        <v>18.75</v>
      </c>
    </row>
    <row r="27" spans="1:19" ht="25" customHeight="1">
      <c r="A27" s="142"/>
      <c r="B27" s="147"/>
      <c r="C27" s="147"/>
      <c r="D27" s="52"/>
      <c r="E27" s="170"/>
      <c r="F27" s="48"/>
      <c r="G27" s="48"/>
      <c r="H27" s="48"/>
      <c r="I27" s="48"/>
      <c r="J27" s="143">
        <v>3</v>
      </c>
      <c r="K27" s="159" t="s">
        <v>326</v>
      </c>
      <c r="L27" s="159"/>
      <c r="M27" s="52">
        <v>1</v>
      </c>
      <c r="N27" s="143" t="s">
        <v>196</v>
      </c>
      <c r="O27" s="48">
        <v>479.5</v>
      </c>
      <c r="P27" s="48">
        <f t="shared" si="1"/>
        <v>479.5</v>
      </c>
      <c r="Q27" s="48">
        <v>0</v>
      </c>
      <c r="R27" s="48">
        <f t="shared" si="2"/>
        <v>479.5</v>
      </c>
    </row>
    <row r="28" spans="1:19" ht="9" customHeight="1" thickBot="1">
      <c r="A28" s="49"/>
      <c r="B28" s="252"/>
      <c r="C28" s="252"/>
      <c r="D28" s="53"/>
      <c r="E28" s="51"/>
      <c r="F28" s="50"/>
      <c r="G28" s="50"/>
      <c r="H28" s="50"/>
      <c r="I28" s="50"/>
      <c r="J28" s="49"/>
      <c r="K28" s="252"/>
      <c r="L28" s="252"/>
      <c r="M28" s="53"/>
      <c r="N28" s="51"/>
      <c r="O28" s="50"/>
      <c r="P28" s="50"/>
      <c r="Q28" s="50"/>
      <c r="R28" s="50"/>
    </row>
    <row r="29" spans="1:19" s="36" customFormat="1" ht="25" customHeight="1">
      <c r="C29" s="267" t="s">
        <v>163</v>
      </c>
      <c r="D29" s="267"/>
      <c r="E29" s="90" t="s">
        <v>162</v>
      </c>
      <c r="F29" s="262">
        <f>$I$29*G21</f>
        <v>730260</v>
      </c>
      <c r="G29" s="262"/>
      <c r="H29" s="93" t="s">
        <v>144</v>
      </c>
      <c r="I29" s="86">
        <f>SUM(G25:G28)</f>
        <v>180</v>
      </c>
      <c r="L29" s="267" t="s">
        <v>163</v>
      </c>
      <c r="M29" s="267"/>
      <c r="N29" s="267"/>
      <c r="O29" s="267"/>
      <c r="P29" s="267"/>
      <c r="Q29" s="93" t="s">
        <v>144</v>
      </c>
      <c r="R29" s="86">
        <f>SUM(R24:R28)</f>
        <v>560.95000000000005</v>
      </c>
    </row>
    <row r="30" spans="1:19" s="36" customFormat="1" ht="25" customHeight="1">
      <c r="C30" s="260" t="s">
        <v>161</v>
      </c>
      <c r="D30" s="260"/>
      <c r="E30" s="91" t="s">
        <v>162</v>
      </c>
      <c r="F30" s="263">
        <f>$I$30*$G$21</f>
        <v>73026</v>
      </c>
      <c r="G30" s="263"/>
      <c r="H30" s="94" t="s">
        <v>144</v>
      </c>
      <c r="I30" s="87">
        <f>ROUND(SUM(H25:H28),2)</f>
        <v>18</v>
      </c>
      <c r="L30" s="260" t="s">
        <v>171</v>
      </c>
      <c r="M30" s="260"/>
      <c r="N30" s="260"/>
      <c r="O30" s="260"/>
      <c r="P30" s="260"/>
      <c r="Q30" s="94" t="s">
        <v>144</v>
      </c>
      <c r="R30" s="87">
        <v>0</v>
      </c>
    </row>
    <row r="31" spans="1:19" ht="25" customHeight="1" thickBot="1">
      <c r="A31" s="88"/>
      <c r="B31" s="88"/>
      <c r="C31" s="261" t="s">
        <v>164</v>
      </c>
      <c r="D31" s="261"/>
      <c r="E31" s="92" t="s">
        <v>162</v>
      </c>
      <c r="F31" s="264">
        <f>I31*$G$21</f>
        <v>803286</v>
      </c>
      <c r="G31" s="264"/>
      <c r="H31" s="95" t="s">
        <v>144</v>
      </c>
      <c r="I31" s="89">
        <f>$I$29+$I$30</f>
        <v>198</v>
      </c>
      <c r="J31" s="88"/>
      <c r="K31" s="88"/>
      <c r="L31" s="261" t="s">
        <v>164</v>
      </c>
      <c r="M31" s="261"/>
      <c r="N31" s="261"/>
      <c r="O31" s="261"/>
      <c r="P31" s="261"/>
      <c r="Q31" s="95" t="s">
        <v>144</v>
      </c>
      <c r="R31" s="89">
        <f>SUM(R29:R30)</f>
        <v>560.95000000000005</v>
      </c>
      <c r="S31" s="165">
        <f>SUM(I31,R31)</f>
        <v>758.95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6" s="67" customFormat="1" ht="14">
      <c r="A33" s="84" t="s">
        <v>128</v>
      </c>
      <c r="J33" s="84" t="s">
        <v>128</v>
      </c>
    </row>
    <row r="34" spans="1:16" s="67" customFormat="1" ht="14">
      <c r="A34" s="85" t="s">
        <v>98</v>
      </c>
      <c r="J34" s="85" t="s">
        <v>98</v>
      </c>
    </row>
    <row r="35" spans="1:16" s="67" customFormat="1" ht="14">
      <c r="A35" s="84" t="s">
        <v>129</v>
      </c>
      <c r="J35" s="84" t="s">
        <v>129</v>
      </c>
    </row>
    <row r="36" spans="1:16" s="67" customFormat="1" ht="14">
      <c r="A36" s="84" t="s">
        <v>130</v>
      </c>
      <c r="J36" s="84" t="s">
        <v>130</v>
      </c>
    </row>
    <row r="37" spans="1:16" s="67" customFormat="1" ht="14">
      <c r="A37" s="84" t="s">
        <v>160</v>
      </c>
      <c r="J37" s="84" t="s">
        <v>160</v>
      </c>
    </row>
    <row r="38" spans="1:16" s="67" customFormat="1" ht="14">
      <c r="A38" s="84" t="s">
        <v>131</v>
      </c>
      <c r="J38" s="84" t="s">
        <v>131</v>
      </c>
    </row>
    <row r="39" spans="1:16" s="67" customFormat="1" ht="14">
      <c r="A39" s="84"/>
      <c r="J39" s="84"/>
    </row>
    <row r="40" spans="1:16">
      <c r="A40" s="84"/>
      <c r="J40" s="84"/>
    </row>
    <row r="41" spans="1:16">
      <c r="A41" s="84"/>
      <c r="J41" s="84"/>
    </row>
    <row r="42" spans="1:16">
      <c r="A42" s="84"/>
      <c r="J42" s="84"/>
    </row>
    <row r="43" spans="1:16">
      <c r="A43" s="84"/>
      <c r="J43" s="84"/>
    </row>
    <row r="44" spans="1:16">
      <c r="A44" s="84"/>
      <c r="J44" s="84"/>
    </row>
    <row r="45" spans="1:16">
      <c r="A45" s="84"/>
      <c r="J45" s="84"/>
    </row>
    <row r="46" spans="1:16">
      <c r="A46" s="84"/>
      <c r="J46" s="84"/>
    </row>
    <row r="47" spans="1:16">
      <c r="A47" s="84"/>
      <c r="J47" s="84"/>
    </row>
    <row r="48" spans="1:16" ht="34.5" customHeight="1">
      <c r="A48" s="32" t="s">
        <v>99</v>
      </c>
      <c r="G48" s="32" t="s">
        <v>100</v>
      </c>
      <c r="J48" s="32" t="s">
        <v>99</v>
      </c>
      <c r="P48" s="32" t="s">
        <v>100</v>
      </c>
    </row>
    <row r="49" spans="1:18" ht="30">
      <c r="A49" s="63" t="s">
        <v>9</v>
      </c>
      <c r="B49" s="64"/>
      <c r="C49" s="55"/>
      <c r="D49" s="55"/>
      <c r="E49" s="55"/>
      <c r="F49" s="55"/>
      <c r="G49" s="61" t="s">
        <v>10</v>
      </c>
      <c r="H49" s="61"/>
      <c r="I49" s="61"/>
      <c r="J49" s="63" t="s">
        <v>9</v>
      </c>
      <c r="K49" s="64"/>
      <c r="L49" s="55"/>
      <c r="M49" s="55"/>
      <c r="N49" s="55"/>
      <c r="O49" s="55"/>
      <c r="P49" s="61" t="s">
        <v>10</v>
      </c>
      <c r="Q49" s="61"/>
      <c r="R49" s="61"/>
    </row>
    <row r="50" spans="1:18" ht="20.25" customHeight="1">
      <c r="A50" s="65" t="s">
        <v>114</v>
      </c>
      <c r="B50" s="66"/>
      <c r="C50" s="56"/>
      <c r="D50" s="55"/>
      <c r="E50" s="55"/>
      <c r="F50" s="55"/>
      <c r="G50" s="55"/>
      <c r="H50" s="55"/>
      <c r="I50" s="55"/>
      <c r="J50" s="65" t="s">
        <v>114</v>
      </c>
      <c r="K50" s="66"/>
      <c r="L50" s="56"/>
      <c r="M50" s="55"/>
      <c r="N50" s="55"/>
      <c r="O50" s="55"/>
      <c r="P50" s="55"/>
      <c r="Q50" s="55"/>
      <c r="R50" s="55"/>
    </row>
    <row r="51" spans="1:18" ht="18" customHeight="1">
      <c r="A51" s="58" t="s">
        <v>115</v>
      </c>
      <c r="B51" s="57"/>
      <c r="C51" s="55"/>
      <c r="D51" s="55"/>
      <c r="E51" s="55"/>
      <c r="F51" s="55"/>
      <c r="G51" s="55"/>
      <c r="H51" s="55"/>
      <c r="I51" s="55"/>
      <c r="J51" s="58" t="s">
        <v>115</v>
      </c>
      <c r="K51" s="57"/>
      <c r="L51" s="55"/>
      <c r="M51" s="55"/>
      <c r="N51" s="55"/>
      <c r="O51" s="55"/>
      <c r="P51" s="55"/>
      <c r="Q51" s="55"/>
      <c r="R51" s="55"/>
    </row>
  </sheetData>
  <dataConsolidate/>
  <mergeCells count="43">
    <mergeCell ref="C30:D30"/>
    <mergeCell ref="F30:G30"/>
    <mergeCell ref="L30:P30"/>
    <mergeCell ref="C31:D31"/>
    <mergeCell ref="F31:G31"/>
    <mergeCell ref="L31:P31"/>
    <mergeCell ref="B28:C28"/>
    <mergeCell ref="K28:L28"/>
    <mergeCell ref="C29:D29"/>
    <mergeCell ref="F29:G29"/>
    <mergeCell ref="L29:P29"/>
    <mergeCell ref="B22:C22"/>
    <mergeCell ref="K22:L22"/>
    <mergeCell ref="B23:C23"/>
    <mergeCell ref="K23:L23"/>
    <mergeCell ref="B25:C25"/>
    <mergeCell ref="A12:D12"/>
    <mergeCell ref="F12:H12"/>
    <mergeCell ref="O12:Q12"/>
    <mergeCell ref="G21:I21"/>
    <mergeCell ref="P21:R21"/>
    <mergeCell ref="A16:D16"/>
    <mergeCell ref="G18:H18"/>
    <mergeCell ref="P18:Q18"/>
    <mergeCell ref="A13:D13"/>
    <mergeCell ref="E13:H13"/>
    <mergeCell ref="N13:Q13"/>
    <mergeCell ref="A14:E14"/>
    <mergeCell ref="A15:E15"/>
    <mergeCell ref="A10:I10"/>
    <mergeCell ref="J10:R10"/>
    <mergeCell ref="A2:I2"/>
    <mergeCell ref="J2:R2"/>
    <mergeCell ref="A3:I3"/>
    <mergeCell ref="J3:R3"/>
    <mergeCell ref="C4:G4"/>
    <mergeCell ref="L4:P4"/>
    <mergeCell ref="A5:I5"/>
    <mergeCell ref="J5:R5"/>
    <mergeCell ref="A6:I6"/>
    <mergeCell ref="J6:R6"/>
    <mergeCell ref="A9:I9"/>
    <mergeCell ref="J9:R9"/>
  </mergeCells>
  <conditionalFormatting sqref="S12">
    <cfRule type="duplicateValues" dxfId="5" priority="1"/>
    <cfRule type="duplicateValues" dxfId="4" priority="2"/>
  </conditionalFormatting>
  <dataValidations count="6">
    <dataValidation type="list" allowBlank="1" showInputMessage="1" showErrorMessage="1" sqref="A17" xr:uid="{00000000-0002-0000-0E00-000000000000}">
      <formula1>"លេខ អ ត ប (VATTIN)  : L001-901805758"</formula1>
    </dataValidation>
    <dataValidation type="list" allowBlank="1" showInputMessage="1" showErrorMessage="1" sqref="B25:C27" xr:uid="{00000000-0002-0000-0E00-000001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E25:E27" xr:uid="{00000000-0002-0000-0E00-000002000000}">
      <formula1>"SET,40H,20G,TRUCK,LCL"</formula1>
    </dataValidation>
    <dataValidation type="list" allowBlank="1" showInputMessage="1" showErrorMessage="1" sqref="R19 I19" xr:uid="{00000000-0002-0000-0E00-000003000000}">
      <formula1>"TAIWAN,PNH IN'T,SHV PORT, PNH PORT,HK,JP,CHINA,VN,CA"</formula1>
    </dataValidation>
    <dataValidation type="list" allowBlank="1" showInputMessage="1" showErrorMessage="1" sqref="R20" xr:uid="{00000000-0002-0000-0E00-000004000000}">
      <formula1>"BRAZIL,UK,SHV PORT,PNH PORT,HLH,PNH IN'T,USA,OLAIR, CA,SPAIN"</formula1>
    </dataValidation>
    <dataValidation type="list" allowBlank="1" showInputMessage="1" showErrorMessage="1" sqref="I20" xr:uid="{00000000-0002-0000-0E00-000005000000}">
      <formula1>"BRAZIL,UK,SHV PORT,PNH PORT,HLH,AUSTRALIA,USA,OLAIR, CA,SPAIN,CANADA"</formula1>
    </dataValidation>
  </dataValidations>
  <printOptions horizontalCentered="1"/>
  <pageMargins left="0.2" right="0.2" top="0.25" bottom="0.1" header="0.05" footer="0.05"/>
  <pageSetup paperSize="9" scale="85" fitToWidth="0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H51"/>
  <sheetViews>
    <sheetView view="pageBreakPreview" topLeftCell="A32" zoomScaleNormal="100" zoomScaleSheetLayoutView="100" workbookViewId="0">
      <selection activeCell="A51" sqref="A51:XFD51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8" ht="18">
      <c r="A1" s="276" t="s">
        <v>172</v>
      </c>
      <c r="B1" s="276"/>
      <c r="C1" s="276"/>
      <c r="D1" s="276"/>
      <c r="E1" s="276"/>
      <c r="F1" s="276"/>
      <c r="G1" s="276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302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'388'!R13</f>
        <v>46293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236" t="str">
        <f>'388'!B19</f>
        <v>SHSIN6090113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'388'!I18</f>
        <v>11104.1</v>
      </c>
      <c r="D10" s="67"/>
      <c r="E10" s="67"/>
      <c r="F10" s="103" t="s">
        <v>158</v>
      </c>
      <c r="G10" s="104" t="str">
        <f>'388'!I19</f>
        <v>CHINA</v>
      </c>
    </row>
    <row r="11" spans="1:8">
      <c r="A11" s="103" t="s">
        <v>111</v>
      </c>
      <c r="B11" s="98" t="s">
        <v>119</v>
      </c>
      <c r="C11" s="105" t="str">
        <f>'388'!E19</f>
        <v>1X20'GP</v>
      </c>
      <c r="D11" s="82"/>
      <c r="E11" s="82"/>
      <c r="F11" s="103" t="s">
        <v>159</v>
      </c>
      <c r="G11" s="237" t="str">
        <f>'388'!I20</f>
        <v>SHV PORT</v>
      </c>
    </row>
    <row r="12" spans="1:8">
      <c r="A12" s="103" t="s">
        <v>113</v>
      </c>
      <c r="B12" s="98" t="s">
        <v>119</v>
      </c>
      <c r="C12" s="106" t="str">
        <f>'388'!E20</f>
        <v>SEKU1756681</v>
      </c>
      <c r="D12" s="82"/>
      <c r="E12" s="82"/>
      <c r="F12" s="103" t="s">
        <v>116</v>
      </c>
      <c r="G12" s="107" t="str">
        <f>'388'!B20</f>
        <v>306 ROLLS</v>
      </c>
    </row>
    <row r="13" spans="1:8">
      <c r="A13" s="103" t="s">
        <v>136</v>
      </c>
      <c r="B13" s="98" t="s">
        <v>119</v>
      </c>
      <c r="C13" s="67" t="str">
        <f>'388'!C17</f>
        <v>SHANGHAI YONGYUE IMP. &amp;EXP. TRADING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235" t="str">
        <f>'388'!C18</f>
        <v>JR APPAREL CO., LTD.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7" t="s">
        <v>138</v>
      </c>
      <c r="B16" s="278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'388'!S12</f>
        <v>I 138725</v>
      </c>
    </row>
    <row r="17" spans="1:8" s="116" customFormat="1" ht="16.5" customHeight="1">
      <c r="A17" s="279">
        <v>1</v>
      </c>
      <c r="B17" s="280"/>
      <c r="C17" s="186" t="s">
        <v>192</v>
      </c>
      <c r="D17" s="206">
        <v>1</v>
      </c>
      <c r="E17" s="207" t="s">
        <v>196</v>
      </c>
      <c r="F17" s="208">
        <v>280</v>
      </c>
      <c r="G17" s="209">
        <f>ROUND(F17*D17,2)</f>
        <v>280</v>
      </c>
    </row>
    <row r="18" spans="1:8">
      <c r="A18" s="279">
        <v>2</v>
      </c>
      <c r="B18" s="280"/>
      <c r="C18" s="186" t="s">
        <v>177</v>
      </c>
      <c r="D18" s="206">
        <v>1</v>
      </c>
      <c r="E18" s="207" t="s">
        <v>196</v>
      </c>
      <c r="F18" s="210">
        <v>35</v>
      </c>
      <c r="G18" s="209">
        <f t="shared" ref="G18:G22" si="0">ROUND(F18*D18,2)</f>
        <v>35</v>
      </c>
      <c r="H18" s="77"/>
    </row>
    <row r="19" spans="1:8">
      <c r="A19" s="279">
        <v>3</v>
      </c>
      <c r="B19" s="280"/>
      <c r="C19" s="186" t="s">
        <v>212</v>
      </c>
      <c r="D19" s="206">
        <v>1</v>
      </c>
      <c r="E19" s="207" t="s">
        <v>207</v>
      </c>
      <c r="F19" s="210">
        <v>182</v>
      </c>
      <c r="G19" s="209">
        <f t="shared" si="0"/>
        <v>182</v>
      </c>
      <c r="H19" s="77">
        <f>F17*65%</f>
        <v>182</v>
      </c>
    </row>
    <row r="20" spans="1:8">
      <c r="A20" s="279">
        <v>4</v>
      </c>
      <c r="B20" s="280"/>
      <c r="C20" s="186" t="s">
        <v>327</v>
      </c>
      <c r="D20" s="145">
        <v>1</v>
      </c>
      <c r="E20" s="150" t="s">
        <v>196</v>
      </c>
      <c r="F20" s="146">
        <v>50</v>
      </c>
      <c r="G20" s="118">
        <f t="shared" si="0"/>
        <v>50</v>
      </c>
      <c r="H20" s="77"/>
    </row>
    <row r="21" spans="1:8">
      <c r="A21" s="279">
        <v>5</v>
      </c>
      <c r="B21" s="280"/>
      <c r="C21" s="186" t="s">
        <v>328</v>
      </c>
      <c r="D21" s="145">
        <v>1</v>
      </c>
      <c r="E21" s="150" t="s">
        <v>156</v>
      </c>
      <c r="F21" s="146">
        <v>45</v>
      </c>
      <c r="G21" s="118">
        <f t="shared" si="0"/>
        <v>45</v>
      </c>
      <c r="H21" s="77"/>
    </row>
    <row r="22" spans="1:8">
      <c r="A22" s="279">
        <v>4</v>
      </c>
      <c r="B22" s="280"/>
      <c r="C22" s="186" t="s">
        <v>200</v>
      </c>
      <c r="D22" s="206">
        <v>1</v>
      </c>
      <c r="E22" s="207" t="s">
        <v>156</v>
      </c>
      <c r="F22" s="210">
        <v>25</v>
      </c>
      <c r="G22" s="209">
        <f t="shared" si="0"/>
        <v>25</v>
      </c>
    </row>
    <row r="23" spans="1:8">
      <c r="A23" s="279">
        <v>5</v>
      </c>
      <c r="B23" s="280"/>
      <c r="C23" s="186" t="s">
        <v>201</v>
      </c>
      <c r="D23" s="206">
        <v>1</v>
      </c>
      <c r="E23" s="207" t="s">
        <v>203</v>
      </c>
      <c r="F23" s="210">
        <v>20</v>
      </c>
      <c r="G23" s="209">
        <f>ROUND(F23*D23,2)</f>
        <v>20</v>
      </c>
    </row>
    <row r="24" spans="1:8">
      <c r="A24" s="279">
        <v>6</v>
      </c>
      <c r="B24" s="280"/>
      <c r="C24" s="186" t="s">
        <v>231</v>
      </c>
      <c r="D24" s="206">
        <v>1</v>
      </c>
      <c r="E24" s="207" t="s">
        <v>156</v>
      </c>
      <c r="F24" s="210">
        <v>20</v>
      </c>
      <c r="G24" s="209">
        <f t="shared" ref="G24:G26" si="1">ROUND(F24*D24,2)</f>
        <v>20</v>
      </c>
    </row>
    <row r="25" spans="1:8" s="32" customFormat="1">
      <c r="A25" s="279">
        <v>7</v>
      </c>
      <c r="B25" s="280"/>
      <c r="C25" s="186" t="s">
        <v>179</v>
      </c>
      <c r="D25" s="206">
        <v>1</v>
      </c>
      <c r="E25" s="207" t="s">
        <v>196</v>
      </c>
      <c r="F25" s="210">
        <v>30</v>
      </c>
      <c r="G25" s="209">
        <f t="shared" si="1"/>
        <v>30</v>
      </c>
    </row>
    <row r="26" spans="1:8" s="32" customFormat="1">
      <c r="A26" s="279">
        <v>9</v>
      </c>
      <c r="B26" s="280"/>
      <c r="C26" s="186" t="s">
        <v>330</v>
      </c>
      <c r="D26" s="206">
        <v>1</v>
      </c>
      <c r="E26" s="207" t="s">
        <v>196</v>
      </c>
      <c r="F26" s="210">
        <v>16.5</v>
      </c>
      <c r="G26" s="209">
        <f t="shared" si="1"/>
        <v>16.5</v>
      </c>
    </row>
    <row r="27" spans="1:8" s="32" customFormat="1">
      <c r="A27" s="67"/>
      <c r="B27" s="67"/>
      <c r="C27"/>
      <c r="D27" s="110" t="s">
        <v>143</v>
      </c>
      <c r="E27" s="110"/>
      <c r="F27" s="111" t="s">
        <v>144</v>
      </c>
      <c r="G27" s="112">
        <f>SUM(G17:G26)</f>
        <v>703.5</v>
      </c>
    </row>
    <row r="28" spans="1:8">
      <c r="A28" s="67"/>
      <c r="B28" s="67"/>
      <c r="C28" s="67"/>
      <c r="D28" s="67"/>
      <c r="E28" s="67"/>
      <c r="F28" s="67"/>
      <c r="G28" s="67"/>
    </row>
    <row r="29" spans="1:8">
      <c r="A29" s="67"/>
      <c r="B29" s="67"/>
      <c r="C29" s="67"/>
      <c r="D29" s="67"/>
      <c r="E29" s="67"/>
      <c r="F29" s="67"/>
      <c r="G29" s="67"/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67"/>
      <c r="D31" s="67"/>
      <c r="E31" s="67"/>
      <c r="F31" s="67"/>
      <c r="G31" s="67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113"/>
      <c r="F39" s="67"/>
      <c r="G39" s="113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67"/>
      <c r="B50" s="67"/>
      <c r="C50" s="67"/>
      <c r="D50" s="67"/>
      <c r="E50" s="67"/>
      <c r="F50" s="67"/>
      <c r="G50" s="67"/>
    </row>
    <row r="51" spans="1:7">
      <c r="A51" s="114" t="s">
        <v>146</v>
      </c>
      <c r="B51" s="114"/>
      <c r="D51" s="67"/>
      <c r="E51" s="275" t="s">
        <v>145</v>
      </c>
      <c r="F51" s="275"/>
      <c r="G51" s="275"/>
    </row>
  </sheetData>
  <mergeCells count="13">
    <mergeCell ref="E51:G51"/>
    <mergeCell ref="A1:G1"/>
    <mergeCell ref="A16:B16"/>
    <mergeCell ref="A17:B17"/>
    <mergeCell ref="A18:B18"/>
    <mergeCell ref="A19:B19"/>
    <mergeCell ref="A22:B22"/>
    <mergeCell ref="A25:B25"/>
    <mergeCell ref="A26:B26"/>
    <mergeCell ref="A23:B23"/>
    <mergeCell ref="A24:B24"/>
    <mergeCell ref="A20:B20"/>
    <mergeCell ref="A21:B21"/>
  </mergeCells>
  <printOptions horizontalCentered="1"/>
  <pageMargins left="0.45" right="0.45" top="0.75" bottom="0.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S51"/>
  <sheetViews>
    <sheetView view="pageBreakPreview" topLeftCell="D17" zoomScale="80" zoomScaleNormal="100" zoomScaleSheetLayoutView="80" workbookViewId="0">
      <selection activeCell="S32" sqref="S32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5" style="32" customWidth="1"/>
    <col min="10" max="10" width="6.26953125" style="32" customWidth="1"/>
    <col min="11" max="11" width="13" style="32" customWidth="1"/>
    <col min="12" max="12" width="36.7265625" style="32" customWidth="1"/>
    <col min="13" max="13" width="8.7265625" style="32" customWidth="1"/>
    <col min="14" max="14" width="7" style="32" customWidth="1"/>
    <col min="15" max="15" width="11.1796875" style="32" customWidth="1"/>
    <col min="16" max="16" width="10" style="32" customWidth="1"/>
    <col min="17" max="17" width="10.453125" style="32" customWidth="1"/>
    <col min="18" max="18" width="14" style="32" bestFit="1" customWidth="1"/>
    <col min="19" max="16384" width="9.1796875" style="32"/>
  </cols>
  <sheetData>
    <row r="2" spans="1:19" ht="34.5" customHeight="1">
      <c r="A2" s="255" t="s">
        <v>97</v>
      </c>
      <c r="B2" s="255"/>
      <c r="C2" s="255"/>
      <c r="D2" s="255"/>
      <c r="E2" s="255"/>
      <c r="F2" s="255"/>
      <c r="G2" s="255"/>
      <c r="H2" s="255"/>
      <c r="I2" s="255"/>
      <c r="J2" s="255" t="s">
        <v>97</v>
      </c>
      <c r="K2" s="255"/>
      <c r="L2" s="255"/>
      <c r="M2" s="255"/>
      <c r="N2" s="255"/>
      <c r="O2" s="255"/>
      <c r="P2" s="255"/>
      <c r="Q2" s="255"/>
      <c r="R2" s="255"/>
    </row>
    <row r="3" spans="1:19" s="33" customFormat="1" ht="27.75" customHeight="1">
      <c r="A3" s="257" t="s">
        <v>98</v>
      </c>
      <c r="B3" s="257"/>
      <c r="C3" s="257"/>
      <c r="D3" s="257"/>
      <c r="E3" s="257"/>
      <c r="F3" s="257"/>
      <c r="G3" s="257"/>
      <c r="H3" s="257"/>
      <c r="I3" s="257"/>
      <c r="J3" s="257" t="s">
        <v>98</v>
      </c>
      <c r="K3" s="257"/>
      <c r="L3" s="257"/>
      <c r="M3" s="257"/>
      <c r="N3" s="257"/>
      <c r="O3" s="257"/>
      <c r="P3" s="257"/>
      <c r="Q3" s="257"/>
      <c r="R3" s="257"/>
    </row>
    <row r="4" spans="1:19" ht="19.5" customHeight="1">
      <c r="A4" s="59"/>
      <c r="B4" s="59"/>
      <c r="C4" s="258" t="s">
        <v>154</v>
      </c>
      <c r="D4" s="258"/>
      <c r="E4" s="258"/>
      <c r="F4" s="258"/>
      <c r="G4" s="258"/>
      <c r="H4" s="59"/>
      <c r="I4" s="59"/>
      <c r="J4" s="59"/>
      <c r="K4" s="59"/>
      <c r="L4" s="258" t="s">
        <v>154</v>
      </c>
      <c r="M4" s="258"/>
      <c r="N4" s="258"/>
      <c r="O4" s="258"/>
      <c r="P4" s="258"/>
      <c r="Q4" s="59"/>
      <c r="R4" s="59"/>
    </row>
    <row r="5" spans="1:19" s="34" customFormat="1" ht="25" customHeight="1">
      <c r="A5" s="259" t="s">
        <v>126</v>
      </c>
      <c r="B5" s="259"/>
      <c r="C5" s="259"/>
      <c r="D5" s="259"/>
      <c r="E5" s="259"/>
      <c r="F5" s="259"/>
      <c r="G5" s="259"/>
      <c r="H5" s="259"/>
      <c r="I5" s="259"/>
      <c r="J5" s="259" t="s">
        <v>126</v>
      </c>
      <c r="K5" s="259"/>
      <c r="L5" s="259"/>
      <c r="M5" s="259"/>
      <c r="N5" s="259"/>
      <c r="O5" s="259"/>
      <c r="P5" s="259"/>
      <c r="Q5" s="259"/>
      <c r="R5" s="259"/>
    </row>
    <row r="6" spans="1:19" s="34" customFormat="1" ht="22" customHeight="1">
      <c r="A6" s="259" t="s">
        <v>127</v>
      </c>
      <c r="B6" s="259"/>
      <c r="C6" s="259"/>
      <c r="D6" s="259"/>
      <c r="E6" s="259"/>
      <c r="F6" s="259"/>
      <c r="G6" s="259"/>
      <c r="H6" s="259"/>
      <c r="I6" s="259"/>
      <c r="J6" s="259" t="s">
        <v>127</v>
      </c>
      <c r="K6" s="259"/>
      <c r="L6" s="259"/>
      <c r="M6" s="259"/>
      <c r="N6" s="259"/>
      <c r="O6" s="259"/>
      <c r="P6" s="259"/>
      <c r="Q6" s="259"/>
      <c r="R6" s="259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72" t="s">
        <v>96</v>
      </c>
      <c r="B9" s="272"/>
      <c r="C9" s="272"/>
      <c r="D9" s="272"/>
      <c r="E9" s="272"/>
      <c r="F9" s="272"/>
      <c r="G9" s="272"/>
      <c r="H9" s="272"/>
      <c r="I9" s="272"/>
      <c r="J9" s="255" t="s">
        <v>168</v>
      </c>
      <c r="K9" s="255"/>
      <c r="L9" s="255"/>
      <c r="M9" s="255"/>
      <c r="N9" s="255"/>
      <c r="O9" s="255"/>
      <c r="P9" s="255"/>
      <c r="Q9" s="255"/>
      <c r="R9" s="255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6" t="s">
        <v>357</v>
      </c>
      <c r="B12" s="266"/>
      <c r="C12" s="266"/>
      <c r="D12" s="266"/>
      <c r="F12" s="253" t="s">
        <v>107</v>
      </c>
      <c r="G12" s="253"/>
      <c r="H12" s="253"/>
      <c r="I12" s="101" t="s">
        <v>303</v>
      </c>
      <c r="J12" s="124" t="str">
        <f t="shared" ref="J12:J19" si="0">A12</f>
        <v>ឈ្មោះអតិថិជន /Customer: ជេអ អឹភែរឹល ឯ.ក</v>
      </c>
      <c r="K12" s="38"/>
      <c r="O12" s="253" t="s">
        <v>194</v>
      </c>
      <c r="P12" s="253"/>
      <c r="Q12" s="253"/>
      <c r="R12" s="175" t="s">
        <v>304</v>
      </c>
      <c r="S12" s="160" t="s">
        <v>305</v>
      </c>
    </row>
    <row r="13" spans="1:19" ht="18.75" customHeight="1">
      <c r="A13" s="268" t="s">
        <v>189</v>
      </c>
      <c r="B13" s="268"/>
      <c r="C13" s="268"/>
      <c r="D13" s="268"/>
      <c r="E13" s="253" t="s">
        <v>106</v>
      </c>
      <c r="F13" s="253"/>
      <c r="G13" s="253"/>
      <c r="H13" s="253"/>
      <c r="I13" s="123">
        <v>46293</v>
      </c>
      <c r="J13" s="115" t="str">
        <f t="shared" si="0"/>
        <v>JR APPAREL CO.,LTD</v>
      </c>
      <c r="K13" s="35"/>
      <c r="N13" s="253" t="s">
        <v>195</v>
      </c>
      <c r="O13" s="253"/>
      <c r="P13" s="253"/>
      <c r="Q13" s="253"/>
      <c r="R13" s="123">
        <f>I13</f>
        <v>46293</v>
      </c>
    </row>
    <row r="14" spans="1:19" ht="25" customHeight="1">
      <c r="A14" s="269" t="s">
        <v>184</v>
      </c>
      <c r="B14" s="269"/>
      <c r="C14" s="269"/>
      <c r="D14" s="269"/>
      <c r="E14" s="269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43" t="s">
        <v>186</v>
      </c>
      <c r="B15" s="243"/>
      <c r="C15" s="243"/>
      <c r="D15" s="243"/>
      <c r="E15" s="243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5" t="s">
        <v>183</v>
      </c>
      <c r="B16" s="265"/>
      <c r="C16" s="265"/>
      <c r="D16" s="265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320</v>
      </c>
      <c r="H17" s="120"/>
      <c r="I17" s="120"/>
      <c r="J17" s="46" t="str">
        <f t="shared" si="0"/>
        <v>SHIPPER:</v>
      </c>
      <c r="L17" s="46" t="str">
        <f>C17</f>
        <v>SHANGHAI YONGYUE IMP. &amp;EXP. TRADING CO., LTD.</v>
      </c>
      <c r="Q17" s="120"/>
      <c r="R17" s="120"/>
    </row>
    <row r="18" spans="1:19" s="46" customFormat="1" ht="19.5" customHeight="1">
      <c r="A18" s="46" t="s">
        <v>110</v>
      </c>
      <c r="C18" s="46" t="s">
        <v>190</v>
      </c>
      <c r="G18" s="254" t="s">
        <v>157</v>
      </c>
      <c r="H18" s="254"/>
      <c r="I18" s="81">
        <v>18809.5</v>
      </c>
      <c r="J18" s="46" t="str">
        <f t="shared" si="0"/>
        <v>CONSIGNEE :</v>
      </c>
      <c r="L18" s="46" t="str">
        <f>C18</f>
        <v>JR APPAREL CO., LTD.</v>
      </c>
      <c r="P18" s="254" t="str">
        <f>G18</f>
        <v>GROSS WEIGHT:</v>
      </c>
      <c r="Q18" s="254"/>
      <c r="R18" s="81">
        <f>I18</f>
        <v>18809.5</v>
      </c>
    </row>
    <row r="19" spans="1:19" s="46" customFormat="1" ht="19.5" customHeight="1">
      <c r="A19" s="46" t="s">
        <v>112</v>
      </c>
      <c r="B19" s="46" t="s">
        <v>344</v>
      </c>
      <c r="D19" s="58" t="s">
        <v>111</v>
      </c>
      <c r="E19" s="180" t="s">
        <v>224</v>
      </c>
      <c r="H19" s="80" t="s">
        <v>158</v>
      </c>
      <c r="I19" s="121" t="s">
        <v>321</v>
      </c>
      <c r="J19" s="46" t="str">
        <f t="shared" si="0"/>
        <v>HBL:</v>
      </c>
      <c r="K19" s="46" t="str">
        <f>B19</f>
        <v>SHSIN6090031</v>
      </c>
      <c r="M19" s="58" t="s">
        <v>111</v>
      </c>
      <c r="N19" s="234" t="str">
        <f>E19</f>
        <v>1X40'HQ</v>
      </c>
      <c r="O19" s="46">
        <f>F19</f>
        <v>0</v>
      </c>
      <c r="Q19" s="80" t="s">
        <v>158</v>
      </c>
      <c r="R19" s="121" t="str">
        <f>I19</f>
        <v>CHINA</v>
      </c>
    </row>
    <row r="20" spans="1:19" s="46" customFormat="1" ht="19.5" customHeight="1">
      <c r="A20" s="58" t="s">
        <v>116</v>
      </c>
      <c r="B20" s="183" t="s">
        <v>345</v>
      </c>
      <c r="C20" s="96"/>
      <c r="D20" s="58" t="s">
        <v>113</v>
      </c>
      <c r="E20" s="148" t="s">
        <v>347</v>
      </c>
      <c r="H20" s="80" t="s">
        <v>159</v>
      </c>
      <c r="I20" s="73" t="s">
        <v>322</v>
      </c>
      <c r="J20" s="58" t="str">
        <f>A20</f>
        <v>PKGS:</v>
      </c>
      <c r="K20" s="183" t="str">
        <f>B20</f>
        <v xml:space="preserve">635 ROLLS
</v>
      </c>
      <c r="L20" s="96"/>
      <c r="M20" s="58" t="s">
        <v>113</v>
      </c>
      <c r="N20" s="73" t="str">
        <f>E20</f>
        <v xml:space="preserve"> ZCSU7954124</v>
      </c>
      <c r="Q20" s="80" t="s">
        <v>159</v>
      </c>
      <c r="R20" s="73" t="str">
        <f>I20</f>
        <v>SHV PORT</v>
      </c>
    </row>
    <row r="21" spans="1:19" ht="15" customHeight="1" thickBot="1">
      <c r="A21" s="44"/>
      <c r="B21" s="35"/>
      <c r="G21" s="249">
        <v>4057</v>
      </c>
      <c r="H21" s="249"/>
      <c r="I21" s="249"/>
      <c r="J21" s="44"/>
      <c r="K21" s="35"/>
      <c r="P21" s="249">
        <f>G21</f>
        <v>4057</v>
      </c>
      <c r="Q21" s="249"/>
      <c r="R21" s="249"/>
    </row>
    <row r="22" spans="1:19" s="36" customFormat="1" ht="30" customHeight="1">
      <c r="A22" s="78" t="s">
        <v>0</v>
      </c>
      <c r="B22" s="250" t="s">
        <v>1</v>
      </c>
      <c r="C22" s="250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0" t="s">
        <v>1</v>
      </c>
      <c r="L22" s="250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51" t="s">
        <v>6</v>
      </c>
      <c r="C23" s="251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51" t="s">
        <v>6</v>
      </c>
      <c r="L23" s="251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  <c r="S23" s="82" t="s">
        <v>223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180</v>
      </c>
      <c r="C25" s="270"/>
      <c r="D25" s="52">
        <v>1</v>
      </c>
      <c r="E25" s="170" t="s">
        <v>191</v>
      </c>
      <c r="F25" s="48">
        <v>200</v>
      </c>
      <c r="G25" s="48">
        <f>ROUND(F25*D25,2)</f>
        <v>200</v>
      </c>
      <c r="H25" s="48">
        <f>G25*10%</f>
        <v>20</v>
      </c>
      <c r="I25" s="48">
        <f>H25+G25</f>
        <v>220</v>
      </c>
      <c r="J25" s="143">
        <v>1</v>
      </c>
      <c r="K25" s="159" t="s">
        <v>230</v>
      </c>
      <c r="L25" s="159"/>
      <c r="M25" s="52">
        <v>1</v>
      </c>
      <c r="N25" s="143" t="s">
        <v>191</v>
      </c>
      <c r="O25" s="48">
        <v>95.7</v>
      </c>
      <c r="P25" s="48">
        <f>O25*M25</f>
        <v>95.7</v>
      </c>
      <c r="Q25" s="48">
        <v>0</v>
      </c>
      <c r="R25" s="48">
        <f>Q25+P25</f>
        <v>95.7</v>
      </c>
    </row>
    <row r="26" spans="1:19" ht="25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191</v>
      </c>
      <c r="O26" s="48">
        <v>18.75</v>
      </c>
      <c r="P26" s="48">
        <f t="shared" ref="P26:P27" si="1">O26*M26</f>
        <v>18.75</v>
      </c>
      <c r="Q26" s="48">
        <v>0</v>
      </c>
      <c r="R26" s="48">
        <f t="shared" ref="R26:R27" si="2">Q26+P26</f>
        <v>18.75</v>
      </c>
    </row>
    <row r="27" spans="1:19" ht="25" customHeight="1">
      <c r="A27" s="142"/>
      <c r="B27" s="147"/>
      <c r="C27" s="147"/>
      <c r="D27" s="52"/>
      <c r="E27" s="170"/>
      <c r="F27" s="48"/>
      <c r="G27" s="48"/>
      <c r="H27" s="48"/>
      <c r="I27" s="48"/>
      <c r="J27" s="143">
        <v>3</v>
      </c>
      <c r="K27" s="159" t="s">
        <v>326</v>
      </c>
      <c r="L27" s="159"/>
      <c r="M27" s="52">
        <v>1</v>
      </c>
      <c r="N27" s="143" t="s">
        <v>191</v>
      </c>
      <c r="O27" s="48">
        <v>599.5</v>
      </c>
      <c r="P27" s="48">
        <f t="shared" si="1"/>
        <v>599.5</v>
      </c>
      <c r="Q27" s="48">
        <v>0</v>
      </c>
      <c r="R27" s="48">
        <f t="shared" si="2"/>
        <v>599.5</v>
      </c>
    </row>
    <row r="28" spans="1:19" ht="9" customHeight="1" thickBot="1">
      <c r="A28" s="49"/>
      <c r="B28" s="252"/>
      <c r="C28" s="252"/>
      <c r="D28" s="53"/>
      <c r="E28" s="51"/>
      <c r="F28" s="50"/>
      <c r="G28" s="50"/>
      <c r="H28" s="50"/>
      <c r="I28" s="50"/>
      <c r="J28" s="49"/>
      <c r="K28" s="252"/>
      <c r="L28" s="252"/>
      <c r="M28" s="53"/>
      <c r="N28" s="51"/>
      <c r="O28" s="50"/>
      <c r="P28" s="50"/>
      <c r="Q28" s="50"/>
      <c r="R28" s="50"/>
    </row>
    <row r="29" spans="1:19" s="36" customFormat="1" ht="25" customHeight="1">
      <c r="C29" s="267" t="s">
        <v>163</v>
      </c>
      <c r="D29" s="267"/>
      <c r="E29" s="90" t="s">
        <v>162</v>
      </c>
      <c r="F29" s="262">
        <f>$I$29*G21</f>
        <v>811400</v>
      </c>
      <c r="G29" s="262"/>
      <c r="H29" s="93" t="s">
        <v>144</v>
      </c>
      <c r="I29" s="86">
        <f>SUM(G25:G28)</f>
        <v>200</v>
      </c>
      <c r="L29" s="267" t="s">
        <v>163</v>
      </c>
      <c r="M29" s="267"/>
      <c r="N29" s="267"/>
      <c r="O29" s="267"/>
      <c r="P29" s="267"/>
      <c r="Q29" s="93" t="s">
        <v>144</v>
      </c>
      <c r="R29" s="86">
        <f>SUM(R24:R28)</f>
        <v>713.95</v>
      </c>
    </row>
    <row r="30" spans="1:19" s="36" customFormat="1" ht="25" customHeight="1">
      <c r="C30" s="260" t="s">
        <v>161</v>
      </c>
      <c r="D30" s="260"/>
      <c r="E30" s="91" t="s">
        <v>162</v>
      </c>
      <c r="F30" s="263">
        <f>$I$30*$G$21</f>
        <v>81140</v>
      </c>
      <c r="G30" s="263"/>
      <c r="H30" s="94" t="s">
        <v>144</v>
      </c>
      <c r="I30" s="87">
        <f>ROUND(SUM(H25:H28),2)</f>
        <v>20</v>
      </c>
      <c r="L30" s="260" t="s">
        <v>171</v>
      </c>
      <c r="M30" s="260"/>
      <c r="N30" s="260"/>
      <c r="O30" s="260"/>
      <c r="P30" s="260"/>
      <c r="Q30" s="94" t="s">
        <v>144</v>
      </c>
      <c r="R30" s="87">
        <v>0</v>
      </c>
    </row>
    <row r="31" spans="1:19" ht="25" customHeight="1" thickBot="1">
      <c r="A31" s="88"/>
      <c r="B31" s="88"/>
      <c r="C31" s="261" t="s">
        <v>164</v>
      </c>
      <c r="D31" s="261"/>
      <c r="E31" s="92" t="s">
        <v>162</v>
      </c>
      <c r="F31" s="264">
        <f>I31*$G$21</f>
        <v>892540</v>
      </c>
      <c r="G31" s="264"/>
      <c r="H31" s="95" t="s">
        <v>144</v>
      </c>
      <c r="I31" s="89">
        <f>$I$29+$I$30</f>
        <v>220</v>
      </c>
      <c r="J31" s="88"/>
      <c r="K31" s="88"/>
      <c r="L31" s="261" t="s">
        <v>164</v>
      </c>
      <c r="M31" s="261"/>
      <c r="N31" s="261"/>
      <c r="O31" s="261"/>
      <c r="P31" s="261"/>
      <c r="Q31" s="95" t="s">
        <v>144</v>
      </c>
      <c r="R31" s="89">
        <f>SUM(R29:R30)</f>
        <v>713.95</v>
      </c>
      <c r="S31" s="165">
        <f>SUM(I31,R31)</f>
        <v>933.95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6" s="67" customFormat="1" ht="14">
      <c r="A33" s="84" t="s">
        <v>128</v>
      </c>
      <c r="J33" s="84" t="s">
        <v>128</v>
      </c>
    </row>
    <row r="34" spans="1:16" s="67" customFormat="1" ht="14">
      <c r="A34" s="85" t="s">
        <v>98</v>
      </c>
      <c r="J34" s="85" t="s">
        <v>98</v>
      </c>
    </row>
    <row r="35" spans="1:16" s="67" customFormat="1" ht="14">
      <c r="A35" s="84" t="s">
        <v>129</v>
      </c>
      <c r="J35" s="84" t="s">
        <v>129</v>
      </c>
    </row>
    <row r="36" spans="1:16" s="67" customFormat="1" ht="14">
      <c r="A36" s="84" t="s">
        <v>130</v>
      </c>
      <c r="J36" s="84" t="s">
        <v>130</v>
      </c>
    </row>
    <row r="37" spans="1:16" s="67" customFormat="1" ht="14">
      <c r="A37" s="84" t="s">
        <v>160</v>
      </c>
      <c r="J37" s="84" t="s">
        <v>160</v>
      </c>
    </row>
    <row r="38" spans="1:16" s="67" customFormat="1" ht="14">
      <c r="A38" s="84" t="s">
        <v>131</v>
      </c>
      <c r="J38" s="84" t="s">
        <v>131</v>
      </c>
    </row>
    <row r="39" spans="1:16" s="67" customFormat="1" ht="14">
      <c r="A39" s="84"/>
      <c r="J39" s="84"/>
    </row>
    <row r="40" spans="1:16">
      <c r="A40" s="84"/>
      <c r="J40" s="84"/>
    </row>
    <row r="41" spans="1:16">
      <c r="A41" s="84"/>
      <c r="J41" s="84"/>
    </row>
    <row r="42" spans="1:16">
      <c r="A42" s="84"/>
      <c r="J42" s="84"/>
    </row>
    <row r="43" spans="1:16">
      <c r="A43" s="84"/>
      <c r="J43" s="84"/>
    </row>
    <row r="44" spans="1:16">
      <c r="A44" s="84"/>
      <c r="J44" s="84"/>
    </row>
    <row r="45" spans="1:16">
      <c r="A45" s="84"/>
      <c r="J45" s="84"/>
    </row>
    <row r="46" spans="1:16">
      <c r="A46" s="84"/>
      <c r="J46" s="84"/>
    </row>
    <row r="47" spans="1:16">
      <c r="A47" s="84"/>
      <c r="J47" s="84"/>
    </row>
    <row r="48" spans="1:16" ht="34.5" customHeight="1">
      <c r="A48" s="32" t="s">
        <v>99</v>
      </c>
      <c r="G48" s="32" t="s">
        <v>100</v>
      </c>
      <c r="J48" s="32" t="s">
        <v>99</v>
      </c>
      <c r="P48" s="32" t="s">
        <v>100</v>
      </c>
    </row>
    <row r="49" spans="1:18" ht="30">
      <c r="A49" s="63" t="s">
        <v>9</v>
      </c>
      <c r="B49" s="64"/>
      <c r="C49" s="55"/>
      <c r="D49" s="55"/>
      <c r="E49" s="55"/>
      <c r="F49" s="55"/>
      <c r="G49" s="61" t="s">
        <v>10</v>
      </c>
      <c r="H49" s="61"/>
      <c r="I49" s="61"/>
      <c r="J49" s="63" t="s">
        <v>9</v>
      </c>
      <c r="K49" s="64"/>
      <c r="L49" s="55"/>
      <c r="M49" s="55"/>
      <c r="N49" s="55"/>
      <c r="O49" s="55"/>
      <c r="P49" s="61" t="s">
        <v>10</v>
      </c>
      <c r="Q49" s="61"/>
      <c r="R49" s="61"/>
    </row>
    <row r="50" spans="1:18" ht="20.25" customHeight="1">
      <c r="A50" s="65" t="s">
        <v>114</v>
      </c>
      <c r="B50" s="66"/>
      <c r="C50" s="56"/>
      <c r="D50" s="55"/>
      <c r="E50" s="55"/>
      <c r="F50" s="55"/>
      <c r="G50" s="55"/>
      <c r="H50" s="55"/>
      <c r="I50" s="55"/>
      <c r="J50" s="65" t="s">
        <v>114</v>
      </c>
      <c r="K50" s="66"/>
      <c r="L50" s="56"/>
      <c r="M50" s="55"/>
      <c r="N50" s="55"/>
      <c r="O50" s="55"/>
      <c r="P50" s="55"/>
      <c r="Q50" s="55"/>
      <c r="R50" s="55"/>
    </row>
    <row r="51" spans="1:18" ht="18" customHeight="1">
      <c r="A51" s="58" t="s">
        <v>115</v>
      </c>
      <c r="B51" s="57"/>
      <c r="C51" s="55"/>
      <c r="D51" s="55"/>
      <c r="E51" s="55"/>
      <c r="F51" s="55"/>
      <c r="G51" s="55"/>
      <c r="H51" s="55"/>
      <c r="I51" s="55"/>
      <c r="J51" s="58" t="s">
        <v>115</v>
      </c>
      <c r="K51" s="57"/>
      <c r="L51" s="55"/>
      <c r="M51" s="55"/>
      <c r="N51" s="55"/>
      <c r="O51" s="55"/>
      <c r="P51" s="55"/>
      <c r="Q51" s="55"/>
      <c r="R51" s="55"/>
    </row>
  </sheetData>
  <dataConsolidate/>
  <mergeCells count="43">
    <mergeCell ref="A2:I2"/>
    <mergeCell ref="J2:R2"/>
    <mergeCell ref="A3:I3"/>
    <mergeCell ref="J3:R3"/>
    <mergeCell ref="C4:G4"/>
    <mergeCell ref="L4:P4"/>
    <mergeCell ref="A5:I5"/>
    <mergeCell ref="J5:R5"/>
    <mergeCell ref="A6:I6"/>
    <mergeCell ref="J6:R6"/>
    <mergeCell ref="A9:I9"/>
    <mergeCell ref="J9:R9"/>
    <mergeCell ref="G21:I21"/>
    <mergeCell ref="P21:R21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B22:C22"/>
    <mergeCell ref="K22:L22"/>
    <mergeCell ref="B23:C23"/>
    <mergeCell ref="K23:L23"/>
    <mergeCell ref="B25:C25"/>
    <mergeCell ref="C31:D31"/>
    <mergeCell ref="F31:G31"/>
    <mergeCell ref="L31:P31"/>
    <mergeCell ref="K28:L28"/>
    <mergeCell ref="B28:C28"/>
    <mergeCell ref="C29:D29"/>
    <mergeCell ref="F29:G29"/>
    <mergeCell ref="L29:P29"/>
    <mergeCell ref="C30:D30"/>
    <mergeCell ref="F30:G30"/>
    <mergeCell ref="L30:P30"/>
  </mergeCells>
  <conditionalFormatting sqref="S12">
    <cfRule type="duplicateValues" dxfId="3" priority="1"/>
    <cfRule type="duplicateValues" dxfId="2" priority="2"/>
  </conditionalFormatting>
  <dataValidations count="6">
    <dataValidation type="list" allowBlank="1" showInputMessage="1" showErrorMessage="1" sqref="I20" xr:uid="{00000000-0002-0000-1000-000000000000}">
      <formula1>"BRAZIL,UK,SHV PORT,PNH PORT,HLH,AUSTRALIA,USA,OLAIR, CA,SPAIN,CANADA"</formula1>
    </dataValidation>
    <dataValidation type="list" allowBlank="1" showInputMessage="1" showErrorMessage="1" sqref="R20" xr:uid="{00000000-0002-0000-1000-000001000000}">
      <formula1>"BRAZIL,UK,SHV PORT,PNH PORT,HLH,PNH IN'T,USA,OLAIR, CA,SPAIN"</formula1>
    </dataValidation>
    <dataValidation type="list" allowBlank="1" showInputMessage="1" showErrorMessage="1" sqref="R19 I19" xr:uid="{00000000-0002-0000-1000-000002000000}">
      <formula1>"TAIWAN,PNH IN'T,SHV PORT, PNH PORT,HK,JP,CHINA,VN,CA"</formula1>
    </dataValidation>
    <dataValidation type="list" allowBlank="1" showInputMessage="1" showErrorMessage="1" sqref="E25:E27" xr:uid="{00000000-0002-0000-1000-000003000000}">
      <formula1>"SET,40H,20G,TRUCK,LCL"</formula1>
    </dataValidation>
    <dataValidation type="list" allowBlank="1" showInputMessage="1" showErrorMessage="1" sqref="B25:C27" xr:uid="{00000000-0002-0000-1000-000004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A17" xr:uid="{00000000-0002-0000-1000-000005000000}">
      <formula1>"លេខ អ ត ប (VATTIN)  : L001-901805758"</formula1>
    </dataValidation>
  </dataValidations>
  <printOptions horizontalCentered="1"/>
  <pageMargins left="0.2" right="0.2" top="0.25" bottom="0.1" header="0.05" footer="0.05"/>
  <pageSetup paperSize="9" scale="85" fitToWidth="0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H51"/>
  <sheetViews>
    <sheetView view="pageBreakPreview" topLeftCell="A72" zoomScaleNormal="100" zoomScaleSheetLayoutView="100" workbookViewId="0">
      <selection activeCell="A45" sqref="A45:XFD45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8" ht="18">
      <c r="A1" s="276" t="s">
        <v>172</v>
      </c>
      <c r="B1" s="276"/>
      <c r="C1" s="276"/>
      <c r="D1" s="276"/>
      <c r="E1" s="276"/>
      <c r="F1" s="276"/>
      <c r="G1" s="276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308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'389'!R13</f>
        <v>46293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236" t="str">
        <f>'389'!B19</f>
        <v>SHSIN6090031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'389'!I18</f>
        <v>18809.5</v>
      </c>
      <c r="D10" s="67"/>
      <c r="E10" s="67"/>
      <c r="F10" s="103" t="s">
        <v>158</v>
      </c>
      <c r="G10" s="104" t="str">
        <f>'389'!I19</f>
        <v>CHINA</v>
      </c>
    </row>
    <row r="11" spans="1:8">
      <c r="A11" s="103" t="s">
        <v>111</v>
      </c>
      <c r="B11" s="98" t="s">
        <v>119</v>
      </c>
      <c r="C11" s="105" t="str">
        <f>'389'!E19</f>
        <v>1X40'HQ</v>
      </c>
      <c r="D11" s="82"/>
      <c r="E11" s="82"/>
      <c r="F11" s="103" t="s">
        <v>159</v>
      </c>
      <c r="G11" s="237" t="str">
        <f>'389'!I20</f>
        <v>SHV PORT</v>
      </c>
    </row>
    <row r="12" spans="1:8">
      <c r="A12" s="103" t="s">
        <v>113</v>
      </c>
      <c r="B12" s="98" t="s">
        <v>119</v>
      </c>
      <c r="C12" s="106" t="str">
        <f>'389'!E20</f>
        <v xml:space="preserve"> ZCSU7954124</v>
      </c>
      <c r="D12" s="82"/>
      <c r="E12" s="82"/>
      <c r="F12" s="103" t="s">
        <v>116</v>
      </c>
      <c r="G12" s="107" t="str">
        <f>'389'!B20</f>
        <v xml:space="preserve">635 ROLLS
</v>
      </c>
    </row>
    <row r="13" spans="1:8">
      <c r="A13" s="103" t="s">
        <v>136</v>
      </c>
      <c r="B13" s="98" t="s">
        <v>119</v>
      </c>
      <c r="C13" s="67" t="str">
        <f>'389'!C17</f>
        <v>SHANGHAI YONGYUE IMP. &amp;EXP. TRADING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235" t="str">
        <f>'389'!C18</f>
        <v>JR APPAREL CO., LTD.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7" t="s">
        <v>138</v>
      </c>
      <c r="B16" s="278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'389'!S12</f>
        <v>I 138735</v>
      </c>
    </row>
    <row r="17" spans="1:8" s="116" customFormat="1" ht="16.5" customHeight="1">
      <c r="A17" s="281">
        <v>1</v>
      </c>
      <c r="B17" s="282"/>
      <c r="C17" s="144" t="s">
        <v>192</v>
      </c>
      <c r="D17" s="145">
        <v>1</v>
      </c>
      <c r="E17" s="150" t="s">
        <v>191</v>
      </c>
      <c r="F17" s="117">
        <v>360</v>
      </c>
      <c r="G17" s="118">
        <f>ROUND(F17*D17,2)</f>
        <v>360</v>
      </c>
    </row>
    <row r="18" spans="1:8">
      <c r="A18" s="281">
        <v>2</v>
      </c>
      <c r="B18" s="282"/>
      <c r="C18" s="144" t="s">
        <v>177</v>
      </c>
      <c r="D18" s="145">
        <v>1</v>
      </c>
      <c r="E18" s="150" t="s">
        <v>191</v>
      </c>
      <c r="F18" s="146">
        <v>35</v>
      </c>
      <c r="G18" s="118">
        <f t="shared" ref="G18:G26" si="0">ROUND(F18*D18,2)</f>
        <v>35</v>
      </c>
      <c r="H18" s="77"/>
    </row>
    <row r="19" spans="1:8">
      <c r="A19" s="281">
        <v>3</v>
      </c>
      <c r="B19" s="282"/>
      <c r="C19" s="186" t="s">
        <v>212</v>
      </c>
      <c r="D19" s="145">
        <v>1</v>
      </c>
      <c r="E19" s="150" t="s">
        <v>207</v>
      </c>
      <c r="F19" s="146">
        <v>234</v>
      </c>
      <c r="G19" s="118">
        <f t="shared" si="0"/>
        <v>234</v>
      </c>
    </row>
    <row r="20" spans="1:8">
      <c r="A20" s="281">
        <v>4</v>
      </c>
      <c r="B20" s="282"/>
      <c r="C20" s="144" t="s">
        <v>231</v>
      </c>
      <c r="D20" s="145">
        <v>1</v>
      </c>
      <c r="E20" s="150" t="s">
        <v>156</v>
      </c>
      <c r="F20" s="146">
        <v>20</v>
      </c>
      <c r="G20" s="118">
        <f t="shared" si="0"/>
        <v>20</v>
      </c>
    </row>
    <row r="21" spans="1:8">
      <c r="A21" s="281">
        <v>5</v>
      </c>
      <c r="B21" s="282"/>
      <c r="C21" s="144" t="s">
        <v>200</v>
      </c>
      <c r="D21" s="145">
        <v>1</v>
      </c>
      <c r="E21" s="150" t="s">
        <v>156</v>
      </c>
      <c r="F21" s="146">
        <v>25</v>
      </c>
      <c r="G21" s="118">
        <f t="shared" si="0"/>
        <v>25</v>
      </c>
    </row>
    <row r="22" spans="1:8" s="32" customFormat="1">
      <c r="A22" s="281">
        <v>6</v>
      </c>
      <c r="B22" s="282"/>
      <c r="C22" s="186" t="s">
        <v>201</v>
      </c>
      <c r="D22" s="206">
        <v>1</v>
      </c>
      <c r="E22" s="207" t="s">
        <v>203</v>
      </c>
      <c r="F22" s="210">
        <v>20</v>
      </c>
      <c r="G22" s="209">
        <f>ROUND(F22*D22,2)</f>
        <v>20</v>
      </c>
    </row>
    <row r="23" spans="1:8" s="32" customFormat="1">
      <c r="A23" s="281">
        <v>7</v>
      </c>
      <c r="B23" s="282"/>
      <c r="C23" s="144" t="s">
        <v>328</v>
      </c>
      <c r="D23" s="145">
        <v>1</v>
      </c>
      <c r="E23" s="150" t="s">
        <v>156</v>
      </c>
      <c r="F23" s="146">
        <v>45</v>
      </c>
      <c r="G23" s="118">
        <f t="shared" ref="G23:G24" si="1">ROUND(F23*D23,2)</f>
        <v>45</v>
      </c>
    </row>
    <row r="24" spans="1:8" s="32" customFormat="1">
      <c r="A24" s="281">
        <v>8</v>
      </c>
      <c r="B24" s="282"/>
      <c r="C24" s="144" t="s">
        <v>337</v>
      </c>
      <c r="D24" s="145">
        <v>1</v>
      </c>
      <c r="E24" s="150" t="s">
        <v>191</v>
      </c>
      <c r="F24" s="146">
        <v>50</v>
      </c>
      <c r="G24" s="118">
        <f t="shared" si="1"/>
        <v>50</v>
      </c>
    </row>
    <row r="25" spans="1:8" s="32" customFormat="1">
      <c r="A25" s="281">
        <v>9</v>
      </c>
      <c r="B25" s="282"/>
      <c r="C25" s="144" t="s">
        <v>329</v>
      </c>
      <c r="D25" s="145">
        <v>1</v>
      </c>
      <c r="E25" s="150" t="s">
        <v>191</v>
      </c>
      <c r="F25" s="146">
        <v>100</v>
      </c>
      <c r="G25" s="118">
        <f t="shared" ref="G25" si="2">ROUND(F25*D25,2)</f>
        <v>100</v>
      </c>
    </row>
    <row r="26" spans="1:8">
      <c r="A26" s="281">
        <v>10</v>
      </c>
      <c r="B26" s="282"/>
      <c r="C26" s="144" t="s">
        <v>330</v>
      </c>
      <c r="D26" s="145">
        <v>1</v>
      </c>
      <c r="E26" s="150" t="s">
        <v>191</v>
      </c>
      <c r="F26" s="146">
        <v>24.75</v>
      </c>
      <c r="G26" s="118">
        <f t="shared" si="0"/>
        <v>24.75</v>
      </c>
    </row>
    <row r="27" spans="1:8">
      <c r="A27" s="67"/>
      <c r="B27" s="67"/>
      <c r="C27" s="67"/>
      <c r="D27" s="161" t="s">
        <v>143</v>
      </c>
      <c r="E27" s="161"/>
      <c r="F27" s="162" t="s">
        <v>144</v>
      </c>
      <c r="G27" s="163">
        <f>SUM(G17:G26)</f>
        <v>913.75</v>
      </c>
    </row>
    <row r="28" spans="1:8">
      <c r="A28" s="67"/>
      <c r="B28" s="67"/>
      <c r="C28" s="67"/>
      <c r="D28" s="67"/>
      <c r="E28" s="67"/>
      <c r="F28" s="67"/>
      <c r="G28" s="67"/>
    </row>
    <row r="29" spans="1:8">
      <c r="A29" s="67"/>
      <c r="B29" s="67"/>
      <c r="C29" s="67"/>
      <c r="D29" s="67"/>
      <c r="E29" s="67"/>
      <c r="F29" s="67"/>
      <c r="G29" s="67"/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67"/>
      <c r="D31" s="67"/>
      <c r="E31" s="67"/>
      <c r="F31" s="67"/>
      <c r="G31" s="67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113"/>
      <c r="F36" s="67"/>
      <c r="G36" s="113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114"/>
      <c r="B50" s="114"/>
      <c r="C50" s="67"/>
      <c r="D50" s="67"/>
      <c r="E50" s="67"/>
      <c r="F50" s="67"/>
      <c r="G50" s="67"/>
    </row>
    <row r="51" spans="1:7">
      <c r="A51" s="114" t="s">
        <v>146</v>
      </c>
      <c r="B51" s="114"/>
      <c r="D51" s="67"/>
      <c r="E51" s="275" t="s">
        <v>145</v>
      </c>
      <c r="F51" s="275"/>
      <c r="G51" s="275"/>
    </row>
  </sheetData>
  <mergeCells count="13">
    <mergeCell ref="A1:G1"/>
    <mergeCell ref="A16:B16"/>
    <mergeCell ref="A17:B17"/>
    <mergeCell ref="A18:B18"/>
    <mergeCell ref="A19:B19"/>
    <mergeCell ref="A20:B20"/>
    <mergeCell ref="A22:B22"/>
    <mergeCell ref="A23:B23"/>
    <mergeCell ref="A24:B24"/>
    <mergeCell ref="E51:G51"/>
    <mergeCell ref="A21:B21"/>
    <mergeCell ref="A26:B26"/>
    <mergeCell ref="A25:B25"/>
  </mergeCells>
  <printOptions horizontalCentered="1"/>
  <pageMargins left="0.45" right="0.45" top="0.75" bottom="0.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S52"/>
  <sheetViews>
    <sheetView view="pageBreakPreview" topLeftCell="D19" zoomScale="80" zoomScaleNormal="100" zoomScaleSheetLayoutView="80" workbookViewId="0">
      <selection activeCell="S30" sqref="S30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8.1796875" style="32" bestFit="1" customWidth="1"/>
    <col min="6" max="6" width="9.1796875" style="32" customWidth="1"/>
    <col min="7" max="7" width="10.7265625" style="32" customWidth="1"/>
    <col min="8" max="8" width="10.453125" style="32" customWidth="1"/>
    <col min="9" max="9" width="15" style="32" customWidth="1"/>
    <col min="10" max="10" width="6.26953125" style="32" customWidth="1"/>
    <col min="11" max="11" width="13" style="32" customWidth="1"/>
    <col min="12" max="12" width="36.7265625" style="32" customWidth="1"/>
    <col min="13" max="13" width="8.7265625" style="32" customWidth="1"/>
    <col min="14" max="14" width="7" style="32" customWidth="1"/>
    <col min="15" max="15" width="11.1796875" style="32" customWidth="1"/>
    <col min="16" max="16" width="10" style="32" customWidth="1"/>
    <col min="17" max="17" width="10.453125" style="32" customWidth="1"/>
    <col min="18" max="18" width="14" style="32" bestFit="1" customWidth="1"/>
    <col min="19" max="16384" width="9.1796875" style="32"/>
  </cols>
  <sheetData>
    <row r="2" spans="1:19" ht="34.5" customHeight="1">
      <c r="A2" s="255" t="s">
        <v>97</v>
      </c>
      <c r="B2" s="255"/>
      <c r="C2" s="255"/>
      <c r="D2" s="255"/>
      <c r="E2" s="255"/>
      <c r="F2" s="255"/>
      <c r="G2" s="255"/>
      <c r="H2" s="255"/>
      <c r="I2" s="255"/>
      <c r="J2" s="255" t="s">
        <v>97</v>
      </c>
      <c r="K2" s="255"/>
      <c r="L2" s="255"/>
      <c r="M2" s="255"/>
      <c r="N2" s="255"/>
      <c r="O2" s="255"/>
      <c r="P2" s="255"/>
      <c r="Q2" s="255"/>
      <c r="R2" s="255"/>
    </row>
    <row r="3" spans="1:19" s="33" customFormat="1" ht="27.75" customHeight="1">
      <c r="A3" s="257" t="s">
        <v>98</v>
      </c>
      <c r="B3" s="257"/>
      <c r="C3" s="257"/>
      <c r="D3" s="257"/>
      <c r="E3" s="257"/>
      <c r="F3" s="257"/>
      <c r="G3" s="257"/>
      <c r="H3" s="257"/>
      <c r="I3" s="257"/>
      <c r="J3" s="257" t="s">
        <v>98</v>
      </c>
      <c r="K3" s="257"/>
      <c r="L3" s="257"/>
      <c r="M3" s="257"/>
      <c r="N3" s="257"/>
      <c r="O3" s="257"/>
      <c r="P3" s="257"/>
      <c r="Q3" s="257"/>
      <c r="R3" s="257"/>
    </row>
    <row r="4" spans="1:19" ht="19.5" customHeight="1">
      <c r="A4" s="59"/>
      <c r="B4" s="59"/>
      <c r="C4" s="258" t="s">
        <v>154</v>
      </c>
      <c r="D4" s="258"/>
      <c r="E4" s="258"/>
      <c r="F4" s="258"/>
      <c r="G4" s="258"/>
      <c r="H4" s="59"/>
      <c r="I4" s="59"/>
      <c r="J4" s="59"/>
      <c r="K4" s="59"/>
      <c r="L4" s="258" t="s">
        <v>154</v>
      </c>
      <c r="M4" s="258"/>
      <c r="N4" s="258"/>
      <c r="O4" s="258"/>
      <c r="P4" s="258"/>
      <c r="Q4" s="59"/>
      <c r="R4" s="59"/>
    </row>
    <row r="5" spans="1:19" s="34" customFormat="1" ht="25" customHeight="1">
      <c r="A5" s="259" t="s">
        <v>126</v>
      </c>
      <c r="B5" s="259"/>
      <c r="C5" s="259"/>
      <c r="D5" s="259"/>
      <c r="E5" s="259"/>
      <c r="F5" s="259"/>
      <c r="G5" s="259"/>
      <c r="H5" s="259"/>
      <c r="I5" s="259"/>
      <c r="J5" s="259" t="s">
        <v>126</v>
      </c>
      <c r="K5" s="259"/>
      <c r="L5" s="259"/>
      <c r="M5" s="259"/>
      <c r="N5" s="259"/>
      <c r="O5" s="259"/>
      <c r="P5" s="259"/>
      <c r="Q5" s="259"/>
      <c r="R5" s="259"/>
    </row>
    <row r="6" spans="1:19" s="34" customFormat="1" ht="22" customHeight="1">
      <c r="A6" s="259" t="s">
        <v>127</v>
      </c>
      <c r="B6" s="259"/>
      <c r="C6" s="259"/>
      <c r="D6" s="259"/>
      <c r="E6" s="259"/>
      <c r="F6" s="259"/>
      <c r="G6" s="259"/>
      <c r="H6" s="259"/>
      <c r="I6" s="259"/>
      <c r="J6" s="259" t="s">
        <v>127</v>
      </c>
      <c r="K6" s="259"/>
      <c r="L6" s="259"/>
      <c r="M6" s="259"/>
      <c r="N6" s="259"/>
      <c r="O6" s="259"/>
      <c r="P6" s="259"/>
      <c r="Q6" s="259"/>
      <c r="R6" s="259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72" t="s">
        <v>96</v>
      </c>
      <c r="B9" s="272"/>
      <c r="C9" s="272"/>
      <c r="D9" s="272"/>
      <c r="E9" s="272"/>
      <c r="F9" s="272"/>
      <c r="G9" s="272"/>
      <c r="H9" s="272"/>
      <c r="I9" s="272"/>
      <c r="J9" s="255" t="s">
        <v>168</v>
      </c>
      <c r="K9" s="255"/>
      <c r="L9" s="255"/>
      <c r="M9" s="255"/>
      <c r="N9" s="255"/>
      <c r="O9" s="255"/>
      <c r="P9" s="255"/>
      <c r="Q9" s="255"/>
      <c r="R9" s="255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6" t="s">
        <v>357</v>
      </c>
      <c r="B12" s="266"/>
      <c r="C12" s="266"/>
      <c r="D12" s="266"/>
      <c r="F12" s="253" t="s">
        <v>107</v>
      </c>
      <c r="G12" s="253"/>
      <c r="H12" s="253"/>
      <c r="I12" s="101" t="s">
        <v>306</v>
      </c>
      <c r="J12" s="124" t="str">
        <f t="shared" ref="J12:J19" si="0">A12</f>
        <v>ឈ្មោះអតិថិជន /Customer: ជេអ អឹភែរឹល ឯ.ក</v>
      </c>
      <c r="K12" s="38"/>
      <c r="O12" s="253" t="s">
        <v>194</v>
      </c>
      <c r="P12" s="253"/>
      <c r="Q12" s="253"/>
      <c r="R12" s="175" t="s">
        <v>307</v>
      </c>
      <c r="S12" s="160"/>
    </row>
    <row r="13" spans="1:19" ht="18.75" customHeight="1">
      <c r="A13" s="268" t="s">
        <v>189</v>
      </c>
      <c r="B13" s="268"/>
      <c r="C13" s="268"/>
      <c r="D13" s="268"/>
      <c r="E13" s="253" t="s">
        <v>106</v>
      </c>
      <c r="F13" s="253"/>
      <c r="G13" s="253"/>
      <c r="H13" s="253"/>
      <c r="I13" s="123">
        <v>46295</v>
      </c>
      <c r="J13" s="115" t="str">
        <f t="shared" si="0"/>
        <v>JR APPAREL CO.,LTD</v>
      </c>
      <c r="K13" s="35"/>
      <c r="N13" s="253" t="s">
        <v>195</v>
      </c>
      <c r="O13" s="253"/>
      <c r="P13" s="253"/>
      <c r="Q13" s="253"/>
      <c r="R13" s="123">
        <f>I13</f>
        <v>46295</v>
      </c>
    </row>
    <row r="14" spans="1:19" ht="25" customHeight="1">
      <c r="A14" s="269" t="s">
        <v>184</v>
      </c>
      <c r="B14" s="269"/>
      <c r="C14" s="269"/>
      <c r="D14" s="269"/>
      <c r="E14" s="269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43" t="s">
        <v>186</v>
      </c>
      <c r="B15" s="243"/>
      <c r="C15" s="243"/>
      <c r="D15" s="243"/>
      <c r="E15" s="243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5" t="s">
        <v>183</v>
      </c>
      <c r="B16" s="265"/>
      <c r="C16" s="265"/>
      <c r="D16" s="265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190</v>
      </c>
      <c r="H17" s="120"/>
      <c r="I17" s="120"/>
      <c r="J17" s="46" t="str">
        <f t="shared" si="0"/>
        <v>SHIPPER:</v>
      </c>
      <c r="L17" s="46" t="str">
        <f>C17</f>
        <v>JR APPAREL CO., LTD.</v>
      </c>
      <c r="Q17" s="120"/>
      <c r="R17" s="120"/>
    </row>
    <row r="18" spans="1:19" s="46" customFormat="1" ht="19.5" customHeight="1">
      <c r="A18" s="46" t="s">
        <v>110</v>
      </c>
      <c r="C18" s="46" t="s">
        <v>242</v>
      </c>
      <c r="G18" s="254" t="s">
        <v>157</v>
      </c>
      <c r="H18" s="254"/>
      <c r="I18" s="81">
        <v>3577.5</v>
      </c>
      <c r="J18" s="46" t="str">
        <f t="shared" si="0"/>
        <v>CONSIGNEE :</v>
      </c>
      <c r="L18" s="46" t="str">
        <f>C18</f>
        <v>CHAPTERONE SPORTSWEAR</v>
      </c>
      <c r="P18" s="254" t="str">
        <f>G18</f>
        <v>GROSS WEIGHT:</v>
      </c>
      <c r="Q18" s="254"/>
      <c r="R18" s="81">
        <f>I18</f>
        <v>3577.5</v>
      </c>
    </row>
    <row r="19" spans="1:19" s="46" customFormat="1" ht="19.5" customHeight="1">
      <c r="A19" s="46" t="s">
        <v>112</v>
      </c>
      <c r="B19" s="46" t="s">
        <v>349</v>
      </c>
      <c r="D19" s="58" t="s">
        <v>111</v>
      </c>
      <c r="E19" s="200">
        <v>15.17</v>
      </c>
      <c r="F19" s="46" t="s">
        <v>204</v>
      </c>
      <c r="H19" s="80" t="s">
        <v>158</v>
      </c>
      <c r="I19" s="121" t="s">
        <v>202</v>
      </c>
      <c r="J19" s="46" t="str">
        <f t="shared" si="0"/>
        <v>HBL:</v>
      </c>
      <c r="K19" s="46" t="str">
        <f>B19</f>
        <v>KHS2609038</v>
      </c>
      <c r="M19" s="58" t="s">
        <v>111</v>
      </c>
      <c r="N19" s="234">
        <f>E19</f>
        <v>15.17</v>
      </c>
      <c r="O19" s="46" t="str">
        <f>F19</f>
        <v>CBM</v>
      </c>
      <c r="Q19" s="80" t="s">
        <v>158</v>
      </c>
      <c r="R19" s="121" t="str">
        <f>I19</f>
        <v>PNH PORT</v>
      </c>
    </row>
    <row r="20" spans="1:19" s="46" customFormat="1" ht="19.5" customHeight="1">
      <c r="A20" s="58" t="s">
        <v>116</v>
      </c>
      <c r="B20" s="183" t="s">
        <v>348</v>
      </c>
      <c r="C20" s="96"/>
      <c r="D20" s="58" t="s">
        <v>113</v>
      </c>
      <c r="E20" s="73" t="s">
        <v>206</v>
      </c>
      <c r="H20" s="80" t="s">
        <v>159</v>
      </c>
      <c r="I20" s="73" t="s">
        <v>355</v>
      </c>
      <c r="J20" s="58" t="str">
        <f>A20</f>
        <v>PKGS:</v>
      </c>
      <c r="K20" s="183" t="str">
        <f>B20</f>
        <v xml:space="preserve">195 CTNS
</v>
      </c>
      <c r="L20" s="96"/>
      <c r="M20" s="58" t="s">
        <v>113</v>
      </c>
      <c r="N20" s="73" t="str">
        <f>E20</f>
        <v>LCL</v>
      </c>
      <c r="Q20" s="80" t="s">
        <v>159</v>
      </c>
      <c r="R20" s="73" t="str">
        <f>I20</f>
        <v>CANADA</v>
      </c>
    </row>
    <row r="21" spans="1:19" ht="15" customHeight="1" thickBot="1">
      <c r="A21" s="44"/>
      <c r="B21" s="35"/>
      <c r="G21" s="249">
        <v>4055</v>
      </c>
      <c r="H21" s="249"/>
      <c r="I21" s="249"/>
      <c r="J21" s="44"/>
      <c r="K21" s="35"/>
      <c r="P21" s="249">
        <f>G21</f>
        <v>4055</v>
      </c>
      <c r="Q21" s="249"/>
      <c r="R21" s="249"/>
    </row>
    <row r="22" spans="1:19" s="36" customFormat="1" ht="30" customHeight="1">
      <c r="A22" s="78" t="s">
        <v>0</v>
      </c>
      <c r="B22" s="250" t="s">
        <v>1</v>
      </c>
      <c r="C22" s="250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0" t="s">
        <v>1</v>
      </c>
      <c r="L22" s="250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51" t="s">
        <v>6</v>
      </c>
      <c r="C23" s="251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51" t="s">
        <v>6</v>
      </c>
      <c r="L23" s="251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  <c r="S23" s="82" t="s">
        <v>223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180</v>
      </c>
      <c r="C25" s="270"/>
      <c r="D25" s="52">
        <v>1</v>
      </c>
      <c r="E25" s="170" t="s">
        <v>196</v>
      </c>
      <c r="F25" s="48">
        <v>180</v>
      </c>
      <c r="G25" s="48">
        <f>ROUND(F25*D25,2)</f>
        <v>180</v>
      </c>
      <c r="H25" s="48">
        <f>G25*10%</f>
        <v>18</v>
      </c>
      <c r="I25" s="48">
        <f>H25+G25</f>
        <v>198</v>
      </c>
      <c r="J25" s="143">
        <v>1</v>
      </c>
      <c r="K25" s="159" t="s">
        <v>205</v>
      </c>
      <c r="L25" s="159"/>
      <c r="M25" s="52">
        <v>1</v>
      </c>
      <c r="N25" s="143" t="s">
        <v>203</v>
      </c>
      <c r="O25" s="48">
        <v>703.26</v>
      </c>
      <c r="P25" s="48">
        <f>O25*M25</f>
        <v>703.26</v>
      </c>
      <c r="Q25" s="48">
        <v>0</v>
      </c>
      <c r="R25" s="48">
        <f>Q25+P25</f>
        <v>703.26</v>
      </c>
      <c r="S25" s="32">
        <f>235+231</f>
        <v>466</v>
      </c>
    </row>
    <row r="26" spans="1:19" ht="9" customHeight="1" thickBot="1">
      <c r="A26" s="49"/>
      <c r="B26" s="252"/>
      <c r="C26" s="252"/>
      <c r="D26" s="53"/>
      <c r="E26" s="51"/>
      <c r="F26" s="50"/>
      <c r="G26" s="50"/>
      <c r="H26" s="50"/>
      <c r="I26" s="50"/>
      <c r="J26" s="49"/>
      <c r="K26" s="252"/>
      <c r="L26" s="252"/>
      <c r="M26" s="53"/>
      <c r="N26" s="51"/>
      <c r="O26" s="50"/>
      <c r="P26" s="50"/>
      <c r="Q26" s="50"/>
      <c r="R26" s="50"/>
    </row>
    <row r="27" spans="1:19" s="36" customFormat="1" ht="25" customHeight="1">
      <c r="C27" s="267" t="s">
        <v>163</v>
      </c>
      <c r="D27" s="267"/>
      <c r="E27" s="90" t="s">
        <v>162</v>
      </c>
      <c r="F27" s="262">
        <f>$I$27*G21</f>
        <v>729900</v>
      </c>
      <c r="G27" s="262"/>
      <c r="H27" s="93" t="s">
        <v>144</v>
      </c>
      <c r="I27" s="86">
        <f>SUM(G25:G26)</f>
        <v>180</v>
      </c>
      <c r="L27" s="267" t="s">
        <v>163</v>
      </c>
      <c r="M27" s="267"/>
      <c r="N27" s="267"/>
      <c r="O27" s="267"/>
      <c r="P27" s="267"/>
      <c r="Q27" s="93" t="s">
        <v>144</v>
      </c>
      <c r="R27" s="86">
        <f>SUM(R24:R26)</f>
        <v>703.26</v>
      </c>
    </row>
    <row r="28" spans="1:19" s="36" customFormat="1" ht="25" customHeight="1">
      <c r="C28" s="260" t="s">
        <v>161</v>
      </c>
      <c r="D28" s="260"/>
      <c r="E28" s="91" t="s">
        <v>162</v>
      </c>
      <c r="F28" s="263">
        <f>$I$28*$G$21</f>
        <v>72990</v>
      </c>
      <c r="G28" s="263"/>
      <c r="H28" s="94" t="s">
        <v>144</v>
      </c>
      <c r="I28" s="87">
        <f>ROUND(SUM(H25:H26),2)</f>
        <v>18</v>
      </c>
      <c r="L28" s="260" t="s">
        <v>171</v>
      </c>
      <c r="M28" s="260"/>
      <c r="N28" s="260"/>
      <c r="O28" s="260"/>
      <c r="P28" s="260"/>
      <c r="Q28" s="94" t="s">
        <v>144</v>
      </c>
      <c r="R28" s="87">
        <v>0</v>
      </c>
    </row>
    <row r="29" spans="1:19" ht="25" customHeight="1" thickBot="1">
      <c r="A29" s="88"/>
      <c r="B29" s="88"/>
      <c r="C29" s="261" t="s">
        <v>164</v>
      </c>
      <c r="D29" s="261"/>
      <c r="E29" s="92" t="s">
        <v>162</v>
      </c>
      <c r="F29" s="264">
        <f>I29*$G$21</f>
        <v>802890</v>
      </c>
      <c r="G29" s="264"/>
      <c r="H29" s="95" t="s">
        <v>144</v>
      </c>
      <c r="I29" s="89">
        <f>$I$27+$I$28</f>
        <v>198</v>
      </c>
      <c r="J29" s="88"/>
      <c r="K29" s="88"/>
      <c r="L29" s="261" t="s">
        <v>164</v>
      </c>
      <c r="M29" s="261"/>
      <c r="N29" s="261"/>
      <c r="O29" s="261"/>
      <c r="P29" s="261"/>
      <c r="Q29" s="95" t="s">
        <v>144</v>
      </c>
      <c r="R29" s="89">
        <f>SUM(R27:R28)</f>
        <v>703.26</v>
      </c>
      <c r="S29" s="165">
        <f>SUM(I29,R29)</f>
        <v>901.26</v>
      </c>
    </row>
    <row r="30" spans="1:19" ht="5.15" customHeight="1" thickTop="1">
      <c r="C30" s="41"/>
      <c r="D30" s="41"/>
      <c r="E30" s="41"/>
      <c r="F30" s="41"/>
      <c r="G30" s="41"/>
      <c r="H30" s="41"/>
      <c r="I30" s="42"/>
      <c r="L30" s="41"/>
      <c r="M30" s="41"/>
      <c r="N30" s="41"/>
      <c r="O30" s="41"/>
      <c r="P30" s="41"/>
      <c r="Q30" s="41"/>
      <c r="R30" s="42"/>
    </row>
    <row r="31" spans="1:19" s="67" customFormat="1" ht="14">
      <c r="A31" s="84" t="s">
        <v>128</v>
      </c>
      <c r="J31" s="84" t="s">
        <v>128</v>
      </c>
    </row>
    <row r="32" spans="1:19" s="67" customFormat="1" ht="14">
      <c r="A32" s="85" t="s">
        <v>98</v>
      </c>
      <c r="J32" s="85" t="s">
        <v>98</v>
      </c>
    </row>
    <row r="33" spans="1:10" s="67" customFormat="1" ht="14">
      <c r="A33" s="84" t="s">
        <v>129</v>
      </c>
      <c r="J33" s="84" t="s">
        <v>129</v>
      </c>
    </row>
    <row r="34" spans="1:10" s="67" customFormat="1" ht="14">
      <c r="A34" s="84" t="s">
        <v>130</v>
      </c>
      <c r="J34" s="84" t="s">
        <v>130</v>
      </c>
    </row>
    <row r="35" spans="1:10" s="67" customFormat="1" ht="14">
      <c r="A35" s="84" t="s">
        <v>160</v>
      </c>
      <c r="J35" s="84" t="s">
        <v>160</v>
      </c>
    </row>
    <row r="36" spans="1:10" s="67" customFormat="1" ht="14">
      <c r="A36" s="84" t="s">
        <v>131</v>
      </c>
      <c r="J36" s="84" t="s">
        <v>131</v>
      </c>
    </row>
    <row r="37" spans="1:10" s="67" customFormat="1" ht="14">
      <c r="A37" s="84"/>
      <c r="J37" s="84"/>
    </row>
    <row r="38" spans="1:10">
      <c r="A38" s="84"/>
      <c r="J38" s="84"/>
    </row>
    <row r="39" spans="1:10">
      <c r="A39" s="84"/>
      <c r="J39" s="84"/>
    </row>
    <row r="40" spans="1:10">
      <c r="A40" s="84"/>
      <c r="J40" s="84"/>
    </row>
    <row r="41" spans="1:10">
      <c r="A41" s="84"/>
      <c r="J41" s="84"/>
    </row>
    <row r="42" spans="1:10">
      <c r="A42" s="84"/>
      <c r="J42" s="84"/>
    </row>
    <row r="43" spans="1:10">
      <c r="A43" s="84"/>
      <c r="J43" s="84"/>
    </row>
    <row r="44" spans="1:10">
      <c r="A44" s="84"/>
      <c r="J44" s="84"/>
    </row>
    <row r="45" spans="1:10">
      <c r="A45" s="84"/>
      <c r="J45" s="84"/>
    </row>
    <row r="46" spans="1:10">
      <c r="A46" s="84"/>
      <c r="J46" s="84"/>
    </row>
    <row r="47" spans="1:10">
      <c r="A47" s="84"/>
      <c r="J47" s="84"/>
    </row>
    <row r="48" spans="1:10">
      <c r="A48" s="84"/>
      <c r="J48" s="84"/>
    </row>
    <row r="49" spans="1:18" ht="34.5" customHeight="1">
      <c r="A49" s="32" t="s">
        <v>99</v>
      </c>
      <c r="G49" s="32" t="s">
        <v>100</v>
      </c>
      <c r="J49" s="32" t="s">
        <v>99</v>
      </c>
      <c r="P49" s="32" t="s">
        <v>100</v>
      </c>
    </row>
    <row r="50" spans="1:18" ht="30">
      <c r="A50" s="63" t="s">
        <v>9</v>
      </c>
      <c r="B50" s="64"/>
      <c r="C50" s="55"/>
      <c r="D50" s="55"/>
      <c r="E50" s="55"/>
      <c r="F50" s="55"/>
      <c r="G50" s="61" t="s">
        <v>10</v>
      </c>
      <c r="H50" s="61"/>
      <c r="I50" s="61"/>
      <c r="J50" s="63" t="s">
        <v>9</v>
      </c>
      <c r="K50" s="64"/>
      <c r="L50" s="55"/>
      <c r="M50" s="55"/>
      <c r="N50" s="55"/>
      <c r="O50" s="55"/>
      <c r="P50" s="61" t="s">
        <v>10</v>
      </c>
      <c r="Q50" s="61"/>
      <c r="R50" s="61"/>
    </row>
    <row r="51" spans="1:18" ht="20.25" customHeight="1">
      <c r="A51" s="65" t="s">
        <v>114</v>
      </c>
      <c r="B51" s="66"/>
      <c r="C51" s="56"/>
      <c r="D51" s="55"/>
      <c r="E51" s="55"/>
      <c r="F51" s="55"/>
      <c r="G51" s="55"/>
      <c r="H51" s="55"/>
      <c r="I51" s="55"/>
      <c r="J51" s="65" t="s">
        <v>114</v>
      </c>
      <c r="K51" s="66"/>
      <c r="L51" s="56"/>
      <c r="M51" s="55"/>
      <c r="N51" s="55"/>
      <c r="O51" s="55"/>
      <c r="P51" s="55"/>
      <c r="Q51" s="55"/>
      <c r="R51" s="55"/>
    </row>
    <row r="52" spans="1:18" ht="18" customHeight="1">
      <c r="A52" s="58" t="s">
        <v>115</v>
      </c>
      <c r="B52" s="57"/>
      <c r="C52" s="55"/>
      <c r="D52" s="55"/>
      <c r="E52" s="55"/>
      <c r="F52" s="55"/>
      <c r="G52" s="55"/>
      <c r="H52" s="55"/>
      <c r="I52" s="55"/>
      <c r="J52" s="58" t="s">
        <v>115</v>
      </c>
      <c r="K52" s="57"/>
      <c r="L52" s="55"/>
      <c r="M52" s="55"/>
      <c r="N52" s="55"/>
      <c r="O52" s="55"/>
      <c r="P52" s="55"/>
      <c r="Q52" s="55"/>
      <c r="R52" s="55"/>
    </row>
  </sheetData>
  <dataConsolidate/>
  <mergeCells count="43">
    <mergeCell ref="A2:I2"/>
    <mergeCell ref="J2:R2"/>
    <mergeCell ref="A3:I3"/>
    <mergeCell ref="J3:R3"/>
    <mergeCell ref="C4:G4"/>
    <mergeCell ref="L4:P4"/>
    <mergeCell ref="A5:I5"/>
    <mergeCell ref="J5:R5"/>
    <mergeCell ref="A6:I6"/>
    <mergeCell ref="J6:R6"/>
    <mergeCell ref="A9:I9"/>
    <mergeCell ref="J9:R9"/>
    <mergeCell ref="P18:Q18"/>
    <mergeCell ref="G21:I21"/>
    <mergeCell ref="P21:R21"/>
    <mergeCell ref="A10:I10"/>
    <mergeCell ref="J10:R10"/>
    <mergeCell ref="A12:D12"/>
    <mergeCell ref="F12:H12"/>
    <mergeCell ref="O12:Q12"/>
    <mergeCell ref="A13:D13"/>
    <mergeCell ref="E13:H13"/>
    <mergeCell ref="N13:Q13"/>
    <mergeCell ref="B26:C26"/>
    <mergeCell ref="K26:L26"/>
    <mergeCell ref="A14:E14"/>
    <mergeCell ref="A15:E15"/>
    <mergeCell ref="A16:D16"/>
    <mergeCell ref="G18:H18"/>
    <mergeCell ref="B22:C22"/>
    <mergeCell ref="K22:L22"/>
    <mergeCell ref="B23:C23"/>
    <mergeCell ref="K23:L23"/>
    <mergeCell ref="B25:C25"/>
    <mergeCell ref="C29:D29"/>
    <mergeCell ref="F29:G29"/>
    <mergeCell ref="L29:P29"/>
    <mergeCell ref="C27:D27"/>
    <mergeCell ref="F27:G27"/>
    <mergeCell ref="L27:P27"/>
    <mergeCell ref="C28:D28"/>
    <mergeCell ref="F28:G28"/>
    <mergeCell ref="L28:P28"/>
  </mergeCells>
  <conditionalFormatting sqref="S12">
    <cfRule type="duplicateValues" dxfId="1" priority="1"/>
    <cfRule type="duplicateValues" dxfId="0" priority="2"/>
  </conditionalFormatting>
  <dataValidations count="6">
    <dataValidation type="list" allowBlank="1" showInputMessage="1" showErrorMessage="1" sqref="A17" xr:uid="{00000000-0002-0000-1200-000000000000}">
      <formula1>"លេខ អ ត ប (VATTIN)  : L001-901805758"</formula1>
    </dataValidation>
    <dataValidation type="list" allowBlank="1" showInputMessage="1" showErrorMessage="1" sqref="B25:C25" xr:uid="{00000000-0002-0000-1200-000001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E25" xr:uid="{00000000-0002-0000-1200-000002000000}">
      <formula1>"SET,40H,20G,TRUCK,LCL"</formula1>
    </dataValidation>
    <dataValidation type="list" allowBlank="1" showInputMessage="1" showErrorMessage="1" sqref="R19 I19" xr:uid="{00000000-0002-0000-1200-000003000000}">
      <formula1>"TAIWAN,PNH IN'T,SHV PORT, PNH PORT,HK,JP,CHINA,VN,CA"</formula1>
    </dataValidation>
    <dataValidation type="list" allowBlank="1" showInputMessage="1" showErrorMessage="1" sqref="R20" xr:uid="{00000000-0002-0000-1200-000004000000}">
      <formula1>"BRAZIL,UK,SHV PORT,PNH PORT,HLH,PNH IN'T,USA,OLAIR, CA,SPAIN"</formula1>
    </dataValidation>
    <dataValidation type="list" allowBlank="1" showInputMessage="1" showErrorMessage="1" sqref="I20" xr:uid="{00000000-0002-0000-1200-000005000000}">
      <formula1>"BRAZIL,UK,SHV PORT,PNH PORT,HLH,AUSTRALIA,USA,OLAIR, CA,SPAIN,CANADA"</formula1>
    </dataValidation>
  </dataValidations>
  <printOptions horizontalCentered="1"/>
  <pageMargins left="0.2" right="0.2" top="0.25" bottom="0.1" header="0.05" footer="0.05"/>
  <pageSetup paperSize="9" scale="85" fitToWidth="0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H51"/>
  <sheetViews>
    <sheetView view="pageBreakPreview" topLeftCell="A17" zoomScale="85" zoomScaleNormal="100" zoomScaleSheetLayoutView="85" workbookViewId="0">
      <selection activeCell="C15" sqref="C15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8" ht="18">
      <c r="A1" s="276" t="s">
        <v>172</v>
      </c>
      <c r="B1" s="276"/>
      <c r="C1" s="276"/>
      <c r="D1" s="276"/>
      <c r="E1" s="276"/>
      <c r="F1" s="276"/>
      <c r="G1" s="276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309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'393'!R13</f>
        <v>46295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236" t="str">
        <f>'393'!B19</f>
        <v>KHS2609038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'393'!I18</f>
        <v>3577.5</v>
      </c>
      <c r="D10" s="67"/>
      <c r="E10" s="67"/>
      <c r="F10" s="103" t="s">
        <v>158</v>
      </c>
      <c r="G10" s="104" t="str">
        <f>'393'!I19</f>
        <v>PNH PORT</v>
      </c>
    </row>
    <row r="11" spans="1:8">
      <c r="A11" s="103" t="s">
        <v>111</v>
      </c>
      <c r="B11" s="98" t="s">
        <v>119</v>
      </c>
      <c r="C11" s="105">
        <f>'393'!E19</f>
        <v>15.17</v>
      </c>
      <c r="D11" s="82"/>
      <c r="E11" s="82"/>
      <c r="F11" s="103" t="s">
        <v>159</v>
      </c>
      <c r="G11" s="237" t="str">
        <f>'393'!I20</f>
        <v>CANADA</v>
      </c>
    </row>
    <row r="12" spans="1:8">
      <c r="A12" s="103" t="s">
        <v>113</v>
      </c>
      <c r="B12" s="98" t="s">
        <v>119</v>
      </c>
      <c r="C12" s="106" t="str">
        <f>'393'!E20</f>
        <v>LCL</v>
      </c>
      <c r="D12" s="82"/>
      <c r="E12" s="82"/>
      <c r="F12" s="103" t="s">
        <v>116</v>
      </c>
      <c r="G12" s="107" t="str">
        <f>'393'!B20</f>
        <v xml:space="preserve">195 CTNS
</v>
      </c>
    </row>
    <row r="13" spans="1:8">
      <c r="A13" s="103" t="s">
        <v>136</v>
      </c>
      <c r="B13" s="98" t="s">
        <v>119</v>
      </c>
      <c r="C13" s="67" t="str">
        <f>'393'!C17</f>
        <v>JR APPAREL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235" t="str">
        <f>'393'!C18</f>
        <v>CHAPTERONE SPORTSWEAR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7" t="s">
        <v>138</v>
      </c>
      <c r="B16" s="278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>
        <f>'393'!S12</f>
        <v>0</v>
      </c>
    </row>
    <row r="17" spans="1:8" s="116" customFormat="1" ht="16.5" customHeight="1">
      <c r="A17" s="283">
        <v>1</v>
      </c>
      <c r="B17" s="284"/>
      <c r="C17" s="144" t="s">
        <v>200</v>
      </c>
      <c r="D17" s="145">
        <v>1</v>
      </c>
      <c r="E17" s="150" t="s">
        <v>203</v>
      </c>
      <c r="F17" s="117">
        <v>25</v>
      </c>
      <c r="G17" s="118">
        <f>ROUND(F17*D17,2)</f>
        <v>25</v>
      </c>
    </row>
    <row r="18" spans="1:8">
      <c r="A18" s="285">
        <f>A17+1</f>
        <v>2</v>
      </c>
      <c r="B18" s="286"/>
      <c r="C18" s="144" t="s">
        <v>177</v>
      </c>
      <c r="D18" s="145">
        <v>1</v>
      </c>
      <c r="E18" s="150" t="s">
        <v>203</v>
      </c>
      <c r="F18" s="146">
        <v>35</v>
      </c>
      <c r="G18" s="118">
        <f t="shared" ref="G18:G21" si="0">ROUND(F18*D18,2)</f>
        <v>35</v>
      </c>
      <c r="H18" s="77"/>
    </row>
    <row r="19" spans="1:8">
      <c r="A19" s="285">
        <f t="shared" ref="A19" si="1">A18+1</f>
        <v>3</v>
      </c>
      <c r="B19" s="286"/>
      <c r="C19" s="186" t="s">
        <v>350</v>
      </c>
      <c r="D19" s="145">
        <v>1</v>
      </c>
      <c r="E19" s="150" t="s">
        <v>211</v>
      </c>
      <c r="F19" s="146">
        <v>40</v>
      </c>
      <c r="G19" s="118">
        <f t="shared" si="0"/>
        <v>40</v>
      </c>
    </row>
    <row r="20" spans="1:8">
      <c r="A20" s="285">
        <f>A19+1</f>
        <v>4</v>
      </c>
      <c r="B20" s="286"/>
      <c r="C20" s="144" t="s">
        <v>356</v>
      </c>
      <c r="D20" s="145">
        <v>1</v>
      </c>
      <c r="E20" s="150" t="s">
        <v>211</v>
      </c>
      <c r="F20" s="146">
        <v>54</v>
      </c>
      <c r="G20" s="118">
        <f t="shared" si="0"/>
        <v>54</v>
      </c>
    </row>
    <row r="21" spans="1:8">
      <c r="A21" s="285">
        <f>A20+1</f>
        <v>5</v>
      </c>
      <c r="B21" s="286"/>
      <c r="C21" s="144" t="s">
        <v>201</v>
      </c>
      <c r="D21" s="145">
        <v>1</v>
      </c>
      <c r="E21" s="150" t="s">
        <v>156</v>
      </c>
      <c r="F21" s="146">
        <v>20</v>
      </c>
      <c r="G21" s="118">
        <f t="shared" si="0"/>
        <v>20</v>
      </c>
    </row>
    <row r="22" spans="1:8">
      <c r="A22" s="67"/>
      <c r="B22" s="67"/>
      <c r="C22" s="67"/>
      <c r="D22" s="161" t="s">
        <v>143</v>
      </c>
      <c r="E22" s="161"/>
      <c r="F22" s="162" t="s">
        <v>144</v>
      </c>
      <c r="G22" s="163">
        <f>SUM(G17:G21)</f>
        <v>174</v>
      </c>
    </row>
    <row r="23" spans="1:8" s="32" customFormat="1">
      <c r="A23" s="287"/>
      <c r="B23" s="287"/>
      <c r="C23" s="82"/>
      <c r="D23" s="98"/>
      <c r="E23" s="143"/>
      <c r="F23" s="173"/>
      <c r="G23" s="174"/>
    </row>
    <row r="24" spans="1:8" s="32" customFormat="1">
      <c r="A24" s="287"/>
      <c r="B24" s="287"/>
      <c r="C24" s="82"/>
      <c r="D24" s="98"/>
      <c r="E24" s="143"/>
      <c r="F24" s="173"/>
      <c r="G24" s="174"/>
    </row>
    <row r="25" spans="1:8" s="32" customFormat="1">
      <c r="A25" s="287"/>
      <c r="B25" s="287"/>
      <c r="C25" s="82"/>
      <c r="D25" s="98"/>
      <c r="E25" s="143"/>
      <c r="F25" s="173"/>
      <c r="G25" s="174"/>
    </row>
    <row r="26" spans="1:8" s="32" customFormat="1">
      <c r="A26" s="67"/>
      <c r="B26" s="67"/>
      <c r="C26" s="67"/>
      <c r="D26" s="125"/>
      <c r="E26" s="125"/>
      <c r="F26" s="181"/>
      <c r="G26" s="182"/>
    </row>
    <row r="27" spans="1:8">
      <c r="A27" s="67"/>
      <c r="B27" s="67"/>
      <c r="C27" s="67"/>
      <c r="D27" s="67"/>
      <c r="E27" s="67"/>
      <c r="F27" s="67"/>
      <c r="G27" s="67"/>
    </row>
    <row r="28" spans="1:8">
      <c r="A28" s="67"/>
      <c r="B28" s="67"/>
      <c r="C28" s="67"/>
      <c r="D28" s="67"/>
      <c r="E28" s="67"/>
      <c r="F28" s="67"/>
      <c r="G28" s="67"/>
    </row>
    <row r="29" spans="1:8">
      <c r="A29" s="67"/>
      <c r="B29" s="67"/>
      <c r="C29" s="67"/>
      <c r="D29" s="67"/>
      <c r="E29" s="67"/>
      <c r="F29" s="67"/>
      <c r="G29" s="67"/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67"/>
      <c r="D31" s="67"/>
      <c r="E31" s="67"/>
      <c r="F31" s="67"/>
      <c r="G31" s="67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113"/>
      <c r="F38" s="67"/>
      <c r="G38" s="113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114"/>
      <c r="B50" s="114"/>
      <c r="C50" s="67"/>
      <c r="D50" s="67"/>
      <c r="E50" s="67"/>
      <c r="F50" s="67"/>
      <c r="G50" s="67"/>
    </row>
    <row r="51" spans="1:7">
      <c r="A51" s="114" t="s">
        <v>146</v>
      </c>
      <c r="B51" s="114"/>
      <c r="D51" s="67"/>
      <c r="E51" s="275" t="s">
        <v>145</v>
      </c>
      <c r="F51" s="275"/>
      <c r="G51" s="275"/>
    </row>
  </sheetData>
  <mergeCells count="11">
    <mergeCell ref="A20:B20"/>
    <mergeCell ref="A1:G1"/>
    <mergeCell ref="A16:B16"/>
    <mergeCell ref="A17:B17"/>
    <mergeCell ref="A18:B18"/>
    <mergeCell ref="A19:B19"/>
    <mergeCell ref="A21:B21"/>
    <mergeCell ref="A23:B23"/>
    <mergeCell ref="A24:B24"/>
    <mergeCell ref="A25:B25"/>
    <mergeCell ref="E51:G51"/>
  </mergeCells>
  <printOptions horizontalCentered="1"/>
  <pageMargins left="0.45" right="0.45" top="0.75" bottom="0.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G51"/>
  <sheetViews>
    <sheetView view="pageBreakPreview" topLeftCell="A45" zoomScaleNormal="100" zoomScaleSheetLayoutView="100" workbookViewId="0">
      <selection activeCell="H24" sqref="H24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7" ht="18">
      <c r="A1" s="276" t="s">
        <v>172</v>
      </c>
      <c r="B1" s="276"/>
      <c r="C1" s="276"/>
      <c r="D1" s="276"/>
      <c r="E1" s="276"/>
      <c r="F1" s="276"/>
      <c r="G1" s="276"/>
    </row>
    <row r="2" spans="1:7">
      <c r="A2" s="67"/>
      <c r="B2" s="67"/>
      <c r="C2" s="67"/>
      <c r="D2" s="67"/>
      <c r="E2" s="67"/>
      <c r="F2" s="67"/>
      <c r="G2" s="67"/>
    </row>
    <row r="3" spans="1:7">
      <c r="A3" s="67"/>
      <c r="B3" s="67"/>
      <c r="C3" s="67"/>
      <c r="D3" s="67"/>
      <c r="E3" s="67"/>
      <c r="F3" s="67"/>
      <c r="G3" s="67"/>
    </row>
    <row r="4" spans="1:7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310</v>
      </c>
    </row>
    <row r="5" spans="1:7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v>46295</v>
      </c>
    </row>
    <row r="6" spans="1:7">
      <c r="A6" s="67"/>
      <c r="B6" s="67"/>
      <c r="C6" s="67" t="s">
        <v>209</v>
      </c>
      <c r="D6" s="67"/>
      <c r="E6" s="103"/>
      <c r="F6" s="67"/>
      <c r="G6" s="67"/>
    </row>
    <row r="7" spans="1:7">
      <c r="A7" s="67"/>
      <c r="B7" s="67"/>
      <c r="C7" s="67" t="s">
        <v>210</v>
      </c>
      <c r="D7" s="67"/>
      <c r="E7" s="67"/>
      <c r="F7" s="67"/>
      <c r="G7" s="67"/>
    </row>
    <row r="8" spans="1:7">
      <c r="A8" s="67"/>
      <c r="B8" s="67"/>
      <c r="C8" s="67"/>
      <c r="D8" s="67"/>
      <c r="E8" s="67"/>
      <c r="F8" s="67"/>
      <c r="G8" s="67"/>
    </row>
    <row r="9" spans="1:7">
      <c r="B9" s="32"/>
      <c r="D9" s="67"/>
      <c r="E9" s="67"/>
      <c r="F9" s="103"/>
      <c r="G9" s="67"/>
    </row>
    <row r="10" spans="1:7">
      <c r="A10" s="103" t="s">
        <v>247</v>
      </c>
      <c r="B10" s="98" t="s">
        <v>119</v>
      </c>
      <c r="C10" s="99" t="s">
        <v>284</v>
      </c>
      <c r="D10" s="67"/>
      <c r="E10" s="67"/>
      <c r="F10" s="103"/>
      <c r="G10" s="104"/>
    </row>
    <row r="11" spans="1:7">
      <c r="A11" s="103"/>
      <c r="B11" s="98"/>
      <c r="C11" s="105"/>
      <c r="D11" s="82"/>
      <c r="E11" s="82"/>
      <c r="F11" s="103"/>
      <c r="G11" s="104"/>
    </row>
    <row r="12" spans="1:7">
      <c r="A12" s="103"/>
      <c r="B12" s="98"/>
      <c r="C12" s="106"/>
      <c r="D12" s="82"/>
      <c r="E12" s="82"/>
      <c r="F12" s="103"/>
      <c r="G12" s="107"/>
    </row>
    <row r="13" spans="1:7">
      <c r="A13" s="103"/>
      <c r="B13" s="98"/>
      <c r="C13" s="67"/>
      <c r="D13" s="67"/>
      <c r="E13" s="67"/>
      <c r="F13" s="67"/>
      <c r="G13" s="67"/>
    </row>
    <row r="14" spans="1:7">
      <c r="A14" s="103"/>
      <c r="B14" s="98"/>
      <c r="C14" s="67"/>
      <c r="D14" s="67"/>
      <c r="E14" s="67"/>
      <c r="F14" s="67"/>
      <c r="G14" s="67"/>
    </row>
    <row r="15" spans="1:7">
      <c r="A15" s="67"/>
      <c r="B15" s="67"/>
      <c r="C15" s="67"/>
      <c r="D15" s="67"/>
      <c r="E15" s="67"/>
      <c r="F15" s="67"/>
      <c r="G15" s="67"/>
    </row>
    <row r="16" spans="1:7">
      <c r="A16" s="277" t="s">
        <v>138</v>
      </c>
      <c r="B16" s="278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</row>
    <row r="17" spans="1:7" s="116" customFormat="1" ht="14.25" customHeight="1">
      <c r="A17" s="283">
        <v>1</v>
      </c>
      <c r="B17" s="284"/>
      <c r="C17" s="186" t="s">
        <v>285</v>
      </c>
      <c r="D17" s="145">
        <v>1</v>
      </c>
      <c r="E17" s="150" t="s">
        <v>248</v>
      </c>
      <c r="F17" s="146">
        <v>30</v>
      </c>
      <c r="G17" s="118">
        <f>ROUND(F17*D17,2)</f>
        <v>30</v>
      </c>
    </row>
    <row r="18" spans="1:7" s="116" customFormat="1" ht="14.25" customHeight="1">
      <c r="A18" s="283">
        <v>2</v>
      </c>
      <c r="B18" s="284"/>
      <c r="C18" s="186" t="s">
        <v>286</v>
      </c>
      <c r="D18" s="145">
        <v>2</v>
      </c>
      <c r="E18" s="150" t="s">
        <v>248</v>
      </c>
      <c r="F18" s="146">
        <v>25</v>
      </c>
      <c r="G18" s="118">
        <f>ROUND(F18*D18,2)</f>
        <v>50</v>
      </c>
    </row>
    <row r="19" spans="1:7">
      <c r="A19" s="67"/>
      <c r="B19" s="67"/>
      <c r="C19" s="67"/>
      <c r="D19" s="161" t="s">
        <v>143</v>
      </c>
      <c r="E19" s="161"/>
      <c r="F19" s="162" t="s">
        <v>144</v>
      </c>
      <c r="G19" s="163">
        <f>SUM(G17:G18)</f>
        <v>80</v>
      </c>
    </row>
    <row r="20" spans="1:7">
      <c r="A20" s="67"/>
      <c r="B20" s="67"/>
      <c r="C20" s="67"/>
      <c r="D20" s="67"/>
      <c r="E20" s="67"/>
      <c r="F20" s="67"/>
      <c r="G20" s="67"/>
    </row>
    <row r="21" spans="1:7">
      <c r="A21" s="67"/>
      <c r="B21" s="67"/>
      <c r="C21" s="67"/>
      <c r="D21" s="67"/>
      <c r="E21" s="67"/>
      <c r="F21" s="67"/>
      <c r="G21" s="67"/>
    </row>
    <row r="22" spans="1:7">
      <c r="A22" s="67"/>
      <c r="B22" s="67"/>
      <c r="C22" s="67"/>
      <c r="D22" s="67"/>
      <c r="E22" s="67"/>
      <c r="F22" s="67"/>
      <c r="G22" s="67"/>
    </row>
    <row r="23" spans="1:7">
      <c r="A23" s="67"/>
      <c r="B23" s="67"/>
      <c r="C23" s="67"/>
      <c r="D23" s="67"/>
      <c r="E23" s="67"/>
      <c r="F23" s="67"/>
      <c r="G23" s="67"/>
    </row>
    <row r="24" spans="1:7">
      <c r="A24" s="67"/>
      <c r="B24" s="67"/>
      <c r="C24" s="67"/>
      <c r="D24" s="67"/>
      <c r="E24" s="67"/>
      <c r="F24" s="67"/>
      <c r="G24" s="67"/>
    </row>
    <row r="25" spans="1:7">
      <c r="A25" s="67"/>
      <c r="B25" s="67"/>
      <c r="C25" s="67"/>
      <c r="D25" s="67"/>
      <c r="E25" s="67"/>
      <c r="F25" s="67"/>
      <c r="G25" s="67"/>
    </row>
    <row r="26" spans="1:7">
      <c r="A26" s="67"/>
      <c r="B26" s="67"/>
      <c r="C26" s="67"/>
      <c r="D26" s="67"/>
      <c r="E26" s="67"/>
      <c r="F26" s="67"/>
      <c r="G26" s="67"/>
    </row>
    <row r="27" spans="1:7">
      <c r="A27" s="67"/>
      <c r="B27" s="67"/>
      <c r="C27" s="67"/>
      <c r="D27" s="67"/>
      <c r="E27" s="67"/>
      <c r="F27" s="67"/>
      <c r="G27" s="67"/>
    </row>
    <row r="28" spans="1:7">
      <c r="A28" s="67"/>
      <c r="B28" s="67"/>
      <c r="C28" s="67"/>
      <c r="D28" s="67"/>
      <c r="E28" s="67"/>
      <c r="F28" s="67"/>
      <c r="G28" s="67"/>
    </row>
    <row r="29" spans="1:7">
      <c r="A29" s="67"/>
      <c r="B29" s="67"/>
      <c r="C29" s="67"/>
      <c r="D29" s="67"/>
      <c r="E29" s="67"/>
      <c r="F29" s="67"/>
      <c r="G29" s="67"/>
    </row>
    <row r="30" spans="1:7">
      <c r="A30" s="67"/>
      <c r="B30" s="67"/>
      <c r="C30" s="67"/>
      <c r="D30" s="67"/>
      <c r="E30" s="67"/>
      <c r="F30" s="67"/>
      <c r="G30" s="67"/>
    </row>
    <row r="31" spans="1:7">
      <c r="A31" s="67"/>
      <c r="B31" s="67"/>
      <c r="C31" s="67"/>
      <c r="D31" s="67"/>
      <c r="E31" s="67"/>
      <c r="F31" s="67"/>
      <c r="G31" s="67"/>
    </row>
    <row r="32" spans="1:7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113"/>
      <c r="F42" s="67"/>
      <c r="G42" s="113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113"/>
      <c r="F46" s="67"/>
      <c r="G46" s="113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114"/>
      <c r="B50" s="114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5" t="s">
        <v>145</v>
      </c>
      <c r="F51" s="275"/>
      <c r="G51" s="275"/>
    </row>
  </sheetData>
  <mergeCells count="5">
    <mergeCell ref="E51:G51"/>
    <mergeCell ref="A1:G1"/>
    <mergeCell ref="A16:B16"/>
    <mergeCell ref="A17:B17"/>
    <mergeCell ref="A18:B18"/>
  </mergeCells>
  <printOptions horizontalCentered="1"/>
  <pageMargins left="0.45" right="0.45" top="0.75" bottom="0.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K30"/>
  <sheetViews>
    <sheetView tabSelected="1" view="pageBreakPreview" zoomScaleNormal="100" zoomScaleSheetLayoutView="100" workbookViewId="0">
      <selection activeCell="K35" sqref="K35"/>
    </sheetView>
  </sheetViews>
  <sheetFormatPr defaultColWidth="8.81640625" defaultRowHeight="14.5"/>
  <cols>
    <col min="1" max="1" width="6.81640625" style="32" customWidth="1"/>
    <col min="2" max="2" width="13.1796875" style="32" customWidth="1"/>
    <col min="3" max="3" width="16.7265625" style="32" customWidth="1"/>
    <col min="4" max="4" width="16" style="32" customWidth="1"/>
    <col min="5" max="5" width="24.1796875" style="32" customWidth="1"/>
    <col min="6" max="6" width="9" style="32" customWidth="1"/>
    <col min="7" max="7" width="14" style="32" customWidth="1"/>
    <col min="8" max="9" width="8.81640625" style="32"/>
    <col min="10" max="10" width="12.7265625" style="32" bestFit="1" customWidth="1"/>
    <col min="11" max="11" width="12.453125" style="32" bestFit="1" customWidth="1"/>
    <col min="12" max="16384" width="8.81640625" style="32"/>
  </cols>
  <sheetData>
    <row r="2" spans="1:7" ht="31.5">
      <c r="A2" s="74"/>
      <c r="B2" s="246" t="s">
        <v>97</v>
      </c>
      <c r="C2" s="246"/>
      <c r="D2" s="246"/>
      <c r="E2" s="246"/>
      <c r="F2" s="246"/>
      <c r="G2" s="246"/>
    </row>
    <row r="3" spans="1:7" ht="19.5">
      <c r="A3" s="75"/>
      <c r="B3" s="247" t="s">
        <v>98</v>
      </c>
      <c r="C3" s="247"/>
      <c r="D3" s="247"/>
      <c r="E3" s="247"/>
      <c r="F3" s="247"/>
      <c r="G3" s="247"/>
    </row>
    <row r="4" spans="1:7" ht="19">
      <c r="A4" s="76"/>
      <c r="B4" s="248" t="s">
        <v>154</v>
      </c>
      <c r="C4" s="248"/>
      <c r="D4" s="248"/>
      <c r="E4" s="248"/>
      <c r="F4" s="248"/>
      <c r="G4" s="248"/>
    </row>
    <row r="6" spans="1:7" s="67" customFormat="1" ht="28">
      <c r="A6" s="244" t="s">
        <v>147</v>
      </c>
      <c r="B6" s="244"/>
      <c r="C6" s="244"/>
      <c r="D6" s="244"/>
      <c r="E6" s="244"/>
      <c r="F6" s="244"/>
      <c r="G6" s="244"/>
    </row>
    <row r="7" spans="1:7" s="67" customFormat="1" ht="10" customHeight="1">
      <c r="A7" s="149"/>
      <c r="B7" s="149"/>
      <c r="C7" s="149"/>
      <c r="D7" s="149"/>
      <c r="E7" s="149"/>
      <c r="F7" s="149"/>
      <c r="G7" s="149"/>
    </row>
    <row r="8" spans="1:7" s="67" customFormat="1" ht="18">
      <c r="A8" s="245" t="s">
        <v>282</v>
      </c>
      <c r="B8" s="245"/>
      <c r="C8" s="245"/>
      <c r="D8" s="245"/>
      <c r="E8" s="245"/>
      <c r="F8" s="245"/>
      <c r="G8" s="245"/>
    </row>
    <row r="9" spans="1:7" s="67" customFormat="1" ht="14"/>
    <row r="10" spans="1:7" s="67" customFormat="1" ht="14">
      <c r="A10" s="125" t="str">
        <f>'360'!A13:D13</f>
        <v>JR APPAREL CO.,LTD</v>
      </c>
      <c r="B10" s="82"/>
      <c r="C10" s="82"/>
      <c r="D10" s="82"/>
      <c r="E10" s="82"/>
      <c r="F10" s="82"/>
      <c r="G10" s="82"/>
    </row>
    <row r="11" spans="1:7" s="67" customFormat="1" ht="14">
      <c r="A11" s="153" t="s">
        <v>187</v>
      </c>
    </row>
    <row r="12" spans="1:7" s="67" customFormat="1" ht="14">
      <c r="A12" s="243" t="s">
        <v>185</v>
      </c>
      <c r="B12" s="243"/>
      <c r="C12" s="243"/>
      <c r="D12" s="243"/>
      <c r="E12" s="243"/>
    </row>
    <row r="13" spans="1:7" s="67" customFormat="1" ht="14">
      <c r="A13" s="67" t="s">
        <v>188</v>
      </c>
    </row>
    <row r="14" spans="1:7" s="67" customFormat="1" ht="14"/>
    <row r="15" spans="1:7" s="67" customFormat="1" ht="14">
      <c r="A15" s="103"/>
      <c r="B15" s="103"/>
      <c r="C15" s="103"/>
      <c r="D15" s="103"/>
      <c r="E15" s="103"/>
      <c r="F15" s="103"/>
      <c r="G15" s="103"/>
    </row>
    <row r="16" spans="1:7" s="154" customFormat="1" ht="14">
      <c r="A16" s="136" t="s">
        <v>148</v>
      </c>
      <c r="B16" s="136" t="s">
        <v>149</v>
      </c>
      <c r="C16" s="136" t="s">
        <v>155</v>
      </c>
      <c r="D16" s="136" t="s">
        <v>197</v>
      </c>
      <c r="E16" s="136" t="s">
        <v>165</v>
      </c>
      <c r="F16" s="136" t="s">
        <v>150</v>
      </c>
      <c r="G16" s="136" t="s">
        <v>8</v>
      </c>
    </row>
    <row r="17" spans="1:11" s="67" customFormat="1" ht="5.5" customHeight="1">
      <c r="A17" s="129"/>
      <c r="B17" s="130"/>
      <c r="C17" s="130"/>
      <c r="D17" s="130"/>
      <c r="E17" s="130"/>
      <c r="F17" s="130"/>
      <c r="G17" s="131"/>
    </row>
    <row r="18" spans="1:11" s="67" customFormat="1" ht="14">
      <c r="A18" s="132">
        <v>1</v>
      </c>
      <c r="B18" s="139">
        <f>'360'!I13</f>
        <v>46268</v>
      </c>
      <c r="C18" s="140" t="str">
        <f>'360'!I12</f>
        <v>GS26-360</v>
      </c>
      <c r="D18" s="140" t="str">
        <f>'360'!R12</f>
        <v>DIS403</v>
      </c>
      <c r="E18" s="140" t="str">
        <f>'360'!B19</f>
        <v>COSU6464276980</v>
      </c>
      <c r="F18" s="140" t="s">
        <v>144</v>
      </c>
      <c r="G18" s="205">
        <f>SUM('360'!I31,'360'!R31)</f>
        <v>903.45</v>
      </c>
      <c r="J18" s="220">
        <f t="shared" ref="J18:J20" si="0">G18-H18-I18</f>
        <v>903.45</v>
      </c>
      <c r="K18" s="155"/>
    </row>
    <row r="19" spans="1:11" s="67" customFormat="1" ht="14">
      <c r="A19" s="132">
        <f>A18+1</f>
        <v>2</v>
      </c>
      <c r="B19" s="139">
        <f>'366'!I13</f>
        <v>46275</v>
      </c>
      <c r="C19" s="140" t="str">
        <f>'366'!I12</f>
        <v>GS26-366</v>
      </c>
      <c r="D19" s="140" t="str">
        <f>'366'!R12</f>
        <v>DIS409</v>
      </c>
      <c r="E19" s="140" t="str">
        <f>'366'!B19</f>
        <v>COSU6464270110</v>
      </c>
      <c r="F19" s="140" t="s">
        <v>144</v>
      </c>
      <c r="G19" s="205">
        <f>SUM('366'!I31,'366'!R31)</f>
        <v>903.45</v>
      </c>
      <c r="J19" s="220">
        <f t="shared" si="0"/>
        <v>903.45</v>
      </c>
      <c r="K19" s="155"/>
    </row>
    <row r="20" spans="1:11" s="67" customFormat="1" ht="14">
      <c r="A20" s="132">
        <f t="shared" ref="A20:A23" si="1">A19+1</f>
        <v>3</v>
      </c>
      <c r="B20" s="139">
        <f>'370'!I13</f>
        <v>46279</v>
      </c>
      <c r="C20" s="140" t="str">
        <f>'370'!I12</f>
        <v>GS26-370</v>
      </c>
      <c r="D20" s="140" t="str">
        <f>'370'!R12</f>
        <v>DIS413</v>
      </c>
      <c r="E20" s="140" t="str">
        <f>'370'!B19</f>
        <v>COSU6464270310</v>
      </c>
      <c r="F20" s="140" t="s">
        <v>144</v>
      </c>
      <c r="G20" s="205">
        <f>SUM('370'!I31,'370'!R31)</f>
        <v>903.45</v>
      </c>
      <c r="J20" s="220">
        <f t="shared" si="0"/>
        <v>903.45</v>
      </c>
      <c r="K20" s="155"/>
    </row>
    <row r="21" spans="1:11" s="67" customFormat="1" ht="14">
      <c r="A21" s="132">
        <f t="shared" si="1"/>
        <v>4</v>
      </c>
      <c r="B21" s="139">
        <f>'375'!I13</f>
        <v>46286</v>
      </c>
      <c r="C21" s="140" t="str">
        <f>'375'!I12</f>
        <v>GS26-375</v>
      </c>
      <c r="D21" s="140" t="str">
        <f>'375'!R12</f>
        <v>DIS418</v>
      </c>
      <c r="E21" s="204" t="str">
        <f>'375'!B19</f>
        <v>COSU6464808450</v>
      </c>
      <c r="F21" s="140" t="s">
        <v>144</v>
      </c>
      <c r="G21" s="205">
        <f>SUM('375'!I32,'375'!R32)</f>
        <v>916.65000000000009</v>
      </c>
      <c r="J21" s="220">
        <f>G21-H21-I21</f>
        <v>916.65000000000009</v>
      </c>
      <c r="K21" s="155"/>
    </row>
    <row r="22" spans="1:11" s="67" customFormat="1" ht="14">
      <c r="A22" s="132">
        <f t="shared" si="1"/>
        <v>5</v>
      </c>
      <c r="B22" s="139">
        <f>'377'!I13</f>
        <v>46286</v>
      </c>
      <c r="C22" s="140" t="str">
        <f>'377'!I12</f>
        <v>GS26-377</v>
      </c>
      <c r="D22" s="140" t="str">
        <f>'377'!R12</f>
        <v>DIS420</v>
      </c>
      <c r="E22" s="140" t="str">
        <f>'377'!B19</f>
        <v>SHSIN6090083</v>
      </c>
      <c r="F22" s="140" t="s">
        <v>144</v>
      </c>
      <c r="G22" s="205">
        <f>SUM('377'!I31,'377'!R31)</f>
        <v>1025.95</v>
      </c>
      <c r="J22" s="220">
        <f>G22-H22-I22</f>
        <v>1025.95</v>
      </c>
      <c r="K22" s="155"/>
    </row>
    <row r="23" spans="1:11" s="67" customFormat="1" ht="14">
      <c r="A23" s="132">
        <f t="shared" si="1"/>
        <v>6</v>
      </c>
      <c r="B23" s="222">
        <f>'379'!I13</f>
        <v>46286</v>
      </c>
      <c r="C23" s="128" t="str">
        <f>'379'!I12</f>
        <v>GS26-379</v>
      </c>
      <c r="D23" s="128" t="str">
        <f>'379'!R12</f>
        <v>DIS422</v>
      </c>
      <c r="E23" s="128" t="str">
        <f>'379'!B19</f>
        <v>SHSIN6090084</v>
      </c>
      <c r="F23" s="140" t="s">
        <v>144</v>
      </c>
      <c r="G23" s="226">
        <f>SUM('379'!I31,'379'!R31)</f>
        <v>1025.95</v>
      </c>
      <c r="J23" s="220">
        <f t="shared" ref="J23:J24" si="2">G23-H23-I23</f>
        <v>1025.95</v>
      </c>
      <c r="K23" s="155"/>
    </row>
    <row r="24" spans="1:11" s="67" customFormat="1" ht="14">
      <c r="A24" s="132">
        <f>A23+1</f>
        <v>7</v>
      </c>
      <c r="B24" s="139">
        <f>'387'!I13</f>
        <v>46293</v>
      </c>
      <c r="C24" s="140" t="str">
        <f>'387'!I12</f>
        <v>GS26-387</v>
      </c>
      <c r="D24" s="140" t="str">
        <f>'387'!R12</f>
        <v>DIS430</v>
      </c>
      <c r="E24" s="140" t="str">
        <f>'387'!B19</f>
        <v>COSU6464270740</v>
      </c>
      <c r="F24" s="140" t="s">
        <v>144</v>
      </c>
      <c r="G24" s="205">
        <f>SUM('387'!I31,'387'!R31)</f>
        <v>903.45</v>
      </c>
      <c r="J24" s="220">
        <f t="shared" si="2"/>
        <v>903.45</v>
      </c>
      <c r="K24" s="155"/>
    </row>
    <row r="25" spans="1:11" s="67" customFormat="1" ht="14">
      <c r="A25" s="132">
        <f>A24+1</f>
        <v>8</v>
      </c>
      <c r="B25" s="139">
        <f>'388'!I13</f>
        <v>46293</v>
      </c>
      <c r="C25" s="140" t="str">
        <f>'388'!I12</f>
        <v>GS26-388</v>
      </c>
      <c r="D25" s="140" t="str">
        <f>'388'!R12</f>
        <v>DIS431</v>
      </c>
      <c r="E25" s="140" t="str">
        <f>'388'!B19</f>
        <v>SHSIN6090113</v>
      </c>
      <c r="F25" s="140" t="s">
        <v>144</v>
      </c>
      <c r="G25" s="205">
        <f>SUM('388'!I31,'388'!R31)</f>
        <v>758.95</v>
      </c>
      <c r="J25" s="220">
        <f>G25-H25-I25</f>
        <v>758.95</v>
      </c>
      <c r="K25" s="155"/>
    </row>
    <row r="26" spans="1:11" s="67" customFormat="1" ht="14">
      <c r="A26" s="132">
        <f t="shared" ref="A26:A27" si="3">A25+1</f>
        <v>9</v>
      </c>
      <c r="B26" s="139">
        <f>'389'!I13</f>
        <v>46293</v>
      </c>
      <c r="C26" s="140" t="str">
        <f>'389'!I12</f>
        <v>GS26-389</v>
      </c>
      <c r="D26" s="140" t="str">
        <f>'389'!R12</f>
        <v>DIS432</v>
      </c>
      <c r="E26" s="140" t="str">
        <f>'389'!B19</f>
        <v>SHSIN6090031</v>
      </c>
      <c r="F26" s="140" t="s">
        <v>144</v>
      </c>
      <c r="G26" s="205">
        <f>SUM('389'!I31,'389'!R31)</f>
        <v>933.95</v>
      </c>
      <c r="J26" s="220">
        <f t="shared" ref="J26:J27" si="4">G26-H26-I26</f>
        <v>933.95</v>
      </c>
      <c r="K26" s="155"/>
    </row>
    <row r="27" spans="1:11" s="67" customFormat="1" ht="14">
      <c r="A27" s="132">
        <f t="shared" si="3"/>
        <v>10</v>
      </c>
      <c r="B27" s="139">
        <f>'393'!I13</f>
        <v>46295</v>
      </c>
      <c r="C27" s="140" t="str">
        <f>'393'!I12</f>
        <v>GS26-393</v>
      </c>
      <c r="D27" s="140" t="str">
        <f>'393'!R12</f>
        <v>DIS436</v>
      </c>
      <c r="E27" s="140" t="str">
        <f>'393'!B19</f>
        <v>KHS2609038</v>
      </c>
      <c r="F27" s="140" t="s">
        <v>144</v>
      </c>
      <c r="G27" s="205">
        <f>SUM('393'!R29)</f>
        <v>703.26</v>
      </c>
      <c r="J27" s="220">
        <f t="shared" si="4"/>
        <v>703.26</v>
      </c>
      <c r="K27" s="155"/>
    </row>
    <row r="28" spans="1:11" s="67" customFormat="1" ht="14">
      <c r="A28" s="132"/>
      <c r="B28" s="139"/>
      <c r="C28" s="140"/>
      <c r="D28" s="140"/>
      <c r="E28" s="140"/>
      <c r="F28" s="140"/>
      <c r="G28" s="152"/>
    </row>
    <row r="29" spans="1:11" s="67" customFormat="1" thickBot="1">
      <c r="A29" s="213" t="s">
        <v>151</v>
      </c>
      <c r="B29" s="138" t="s">
        <v>152</v>
      </c>
      <c r="C29" s="177" t="s">
        <v>283</v>
      </c>
      <c r="D29" s="134"/>
      <c r="E29" s="133"/>
      <c r="F29" s="133"/>
      <c r="G29" s="214">
        <f>SUM(G18:G28)</f>
        <v>8978.51</v>
      </c>
      <c r="H29" s="67">
        <f>SUM(H18:H28)</f>
        <v>0</v>
      </c>
      <c r="I29" s="67">
        <f>SUM(I18:I28)</f>
        <v>0</v>
      </c>
      <c r="J29" s="164">
        <f>SUM(H29:I29)</f>
        <v>0</v>
      </c>
    </row>
    <row r="30" spans="1:11" s="67" customFormat="1" ht="14">
      <c r="A30" s="128"/>
      <c r="B30" s="227"/>
      <c r="C30" s="228"/>
      <c r="D30" s="229"/>
      <c r="E30" s="128"/>
      <c r="F30" s="128"/>
      <c r="G30" s="164"/>
      <c r="J30" s="164"/>
    </row>
  </sheetData>
  <mergeCells count="6">
    <mergeCell ref="A12:E12"/>
    <mergeCell ref="A6:G6"/>
    <mergeCell ref="A8:G8"/>
    <mergeCell ref="B2:G2"/>
    <mergeCell ref="B3:G3"/>
    <mergeCell ref="B4:G4"/>
  </mergeCells>
  <printOptions horizontalCentered="1"/>
  <pageMargins left="0.2" right="0.2" top="0.75" bottom="0.75" header="0.3" footer="0.3"/>
  <pageSetup paperSize="9" scale="9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H26"/>
  <sheetViews>
    <sheetView view="pageBreakPreview" topLeftCell="A13" zoomScaleNormal="100" zoomScaleSheetLayoutView="100" workbookViewId="0">
      <selection activeCell="P36" sqref="P36"/>
    </sheetView>
  </sheetViews>
  <sheetFormatPr defaultColWidth="8.81640625" defaultRowHeight="14"/>
  <cols>
    <col min="1" max="1" width="6.81640625" style="67" customWidth="1"/>
    <col min="2" max="2" width="12.7265625" style="67" customWidth="1"/>
    <col min="3" max="3" width="17.1796875" style="67" customWidth="1"/>
    <col min="4" max="4" width="25.1796875" style="67" customWidth="1"/>
    <col min="5" max="5" width="10.453125" style="67" customWidth="1"/>
    <col min="6" max="6" width="15" style="67" customWidth="1"/>
    <col min="7" max="7" width="12.81640625" style="67" customWidth="1"/>
    <col min="8" max="8" width="11.1796875" style="67" bestFit="1" customWidth="1"/>
    <col min="9" max="16384" width="8.81640625" style="67"/>
  </cols>
  <sheetData>
    <row r="2" spans="1:8" ht="28">
      <c r="A2" s="244" t="s">
        <v>147</v>
      </c>
      <c r="B2" s="244"/>
      <c r="C2" s="244"/>
      <c r="D2" s="244"/>
      <c r="E2" s="244"/>
      <c r="F2" s="244"/>
    </row>
    <row r="3" spans="1:8" ht="20.149999999999999" customHeight="1">
      <c r="A3" s="288" t="str">
        <f>'ST-INV'!A8:G8</f>
        <v>Date: 01-09-2026 ~ 30-09-2026</v>
      </c>
      <c r="B3" s="288"/>
      <c r="C3" s="288"/>
      <c r="D3" s="288"/>
      <c r="E3" s="288"/>
      <c r="F3" s="288"/>
    </row>
    <row r="4" spans="1:8">
      <c r="A4" s="128"/>
      <c r="B4" s="128"/>
      <c r="C4" s="128"/>
      <c r="D4" s="128"/>
      <c r="E4" s="128"/>
      <c r="F4" s="128"/>
    </row>
    <row r="6" spans="1:8">
      <c r="A6" s="125" t="str">
        <f>'ST-INV'!A10</f>
        <v>JR APPAREL CO.,LTD</v>
      </c>
      <c r="B6" s="82"/>
      <c r="C6" s="82"/>
      <c r="D6" s="82"/>
      <c r="E6" s="82"/>
      <c r="F6" s="82"/>
    </row>
    <row r="7" spans="1:8">
      <c r="A7" s="153" t="s">
        <v>187</v>
      </c>
    </row>
    <row r="8" spans="1:8">
      <c r="A8" s="243" t="s">
        <v>185</v>
      </c>
      <c r="B8" s="243"/>
      <c r="C8" s="243"/>
      <c r="D8" s="243"/>
      <c r="E8" s="243"/>
    </row>
    <row r="9" spans="1:8">
      <c r="A9" s="67" t="s">
        <v>188</v>
      </c>
    </row>
    <row r="11" spans="1:8">
      <c r="A11" s="103"/>
      <c r="B11" s="103"/>
      <c r="C11" s="103"/>
      <c r="D11" s="103"/>
      <c r="E11" s="103"/>
      <c r="F11" s="103"/>
    </row>
    <row r="12" spans="1:8" s="156" customFormat="1">
      <c r="A12" s="137" t="s">
        <v>173</v>
      </c>
      <c r="B12" s="137" t="s">
        <v>135</v>
      </c>
      <c r="C12" s="137" t="s">
        <v>174</v>
      </c>
      <c r="D12" s="137" t="s">
        <v>166</v>
      </c>
      <c r="E12" s="137" t="s">
        <v>175</v>
      </c>
      <c r="F12" s="137" t="s">
        <v>176</v>
      </c>
    </row>
    <row r="13" spans="1:8" ht="5.15" customHeight="1">
      <c r="A13" s="129"/>
      <c r="B13" s="130"/>
      <c r="C13" s="130"/>
      <c r="D13" s="130"/>
      <c r="E13" s="130"/>
      <c r="F13" s="131"/>
    </row>
    <row r="14" spans="1:8">
      <c r="A14" s="132">
        <v>1</v>
      </c>
      <c r="B14" s="211">
        <f>'ST-INV'!B18</f>
        <v>46268</v>
      </c>
      <c r="C14" s="140" t="str">
        <f>'D001'!G4</f>
        <v>JR2609001</v>
      </c>
      <c r="D14" s="140" t="str">
        <f>'ST-INV'!E18</f>
        <v>COSU6464276980</v>
      </c>
      <c r="E14" s="140" t="s">
        <v>144</v>
      </c>
      <c r="F14" s="223">
        <f>'D001'!G26</f>
        <v>707.5</v>
      </c>
      <c r="G14" s="67">
        <v>921.5</v>
      </c>
      <c r="H14" s="158">
        <f>G14-F14</f>
        <v>214</v>
      </c>
    </row>
    <row r="15" spans="1:8">
      <c r="A15" s="132">
        <v>2</v>
      </c>
      <c r="B15" s="211">
        <f>'ST-INV'!B19</f>
        <v>46275</v>
      </c>
      <c r="C15" s="140" t="str">
        <f>'D002'!G4</f>
        <v>JR2609002</v>
      </c>
      <c r="D15" s="140" t="str">
        <f>'ST-INV'!E19</f>
        <v>COSU6464270110</v>
      </c>
      <c r="E15" s="140" t="s">
        <v>144</v>
      </c>
      <c r="F15" s="223">
        <f>'D002'!G26</f>
        <v>707.5</v>
      </c>
      <c r="G15" s="141">
        <v>950.5</v>
      </c>
      <c r="H15" s="158">
        <f t="shared" ref="H15:H22" si="0">G15-F15</f>
        <v>243</v>
      </c>
    </row>
    <row r="16" spans="1:8">
      <c r="A16" s="132">
        <v>3</v>
      </c>
      <c r="B16" s="211">
        <f>'ST-INV'!B20</f>
        <v>46279</v>
      </c>
      <c r="C16" s="140" t="str">
        <f>'D003'!G4</f>
        <v>JR2609003</v>
      </c>
      <c r="D16" s="140" t="str">
        <f>'ST-INV'!E20</f>
        <v>COSU6464270310</v>
      </c>
      <c r="E16" s="140" t="s">
        <v>144</v>
      </c>
      <c r="F16" s="223">
        <f>'D003'!G26</f>
        <v>707.5</v>
      </c>
      <c r="G16" s="141">
        <v>939</v>
      </c>
      <c r="H16" s="158">
        <f t="shared" si="0"/>
        <v>231.5</v>
      </c>
    </row>
    <row r="17" spans="1:8">
      <c r="A17" s="132">
        <v>4</v>
      </c>
      <c r="B17" s="211">
        <f>'ST-INV'!B21</f>
        <v>46286</v>
      </c>
      <c r="C17" s="140" t="str">
        <f>'D004'!G4</f>
        <v>JR2609004</v>
      </c>
      <c r="D17" s="140" t="str">
        <f>'ST-INV'!E21</f>
        <v>COSU6464808450</v>
      </c>
      <c r="E17" s="140" t="s">
        <v>144</v>
      </c>
      <c r="F17" s="223">
        <f>'D004'!G29</f>
        <v>851</v>
      </c>
      <c r="G17" s="67">
        <v>899</v>
      </c>
      <c r="H17" s="158">
        <f t="shared" si="0"/>
        <v>48</v>
      </c>
    </row>
    <row r="18" spans="1:8">
      <c r="A18" s="132">
        <v>5</v>
      </c>
      <c r="B18" s="211">
        <f>'ST-INV'!B22</f>
        <v>46286</v>
      </c>
      <c r="C18" s="140" t="str">
        <f>'D005'!G4</f>
        <v>JR2609005</v>
      </c>
      <c r="D18" s="140" t="str">
        <f>'ST-INV'!E22</f>
        <v>SHSIN6090083</v>
      </c>
      <c r="E18" s="140" t="s">
        <v>144</v>
      </c>
      <c r="F18" s="223">
        <f>'D005'!G28</f>
        <v>1038.75</v>
      </c>
      <c r="G18" s="141">
        <v>871.5</v>
      </c>
      <c r="H18" s="158">
        <f t="shared" si="0"/>
        <v>-167.25</v>
      </c>
    </row>
    <row r="19" spans="1:8">
      <c r="A19" s="132">
        <v>6</v>
      </c>
      <c r="B19" s="211">
        <f>'ST-INV'!B23</f>
        <v>46286</v>
      </c>
      <c r="C19" s="128" t="str">
        <f>'D006'!G4</f>
        <v>JR2609006</v>
      </c>
      <c r="D19" s="140" t="str">
        <f>'ST-INV'!E23</f>
        <v>SHSIN6090084</v>
      </c>
      <c r="E19" s="140" t="s">
        <v>144</v>
      </c>
      <c r="F19" s="223">
        <f>'D006'!G29</f>
        <v>1183.25</v>
      </c>
      <c r="G19" s="141">
        <v>174</v>
      </c>
      <c r="H19" s="158">
        <f t="shared" si="0"/>
        <v>-1009.25</v>
      </c>
    </row>
    <row r="20" spans="1:8">
      <c r="A20" s="132">
        <v>7</v>
      </c>
      <c r="B20" s="211">
        <f>'ST-INV'!B24</f>
        <v>46293</v>
      </c>
      <c r="C20" s="140" t="str">
        <f>'D007'!G4</f>
        <v>JR2609007</v>
      </c>
      <c r="D20" s="140" t="str">
        <f>'ST-INV'!E24</f>
        <v>COSU6464270740</v>
      </c>
      <c r="E20" s="140" t="s">
        <v>144</v>
      </c>
      <c r="F20" s="223">
        <f>'D007'!G28</f>
        <v>771</v>
      </c>
      <c r="G20" s="141">
        <v>174</v>
      </c>
      <c r="H20" s="158">
        <f t="shared" si="0"/>
        <v>-597</v>
      </c>
    </row>
    <row r="21" spans="1:8">
      <c r="A21" s="132">
        <v>8</v>
      </c>
      <c r="B21" s="211">
        <f>'ST-INV'!B25</f>
        <v>46293</v>
      </c>
      <c r="C21" s="140" t="str">
        <f>'D008'!G4</f>
        <v>JR2609008</v>
      </c>
      <c r="D21" s="140" t="str">
        <f>'ST-INV'!E25</f>
        <v>SHSIN6090113</v>
      </c>
      <c r="E21" s="140" t="s">
        <v>144</v>
      </c>
      <c r="F21" s="223">
        <f>'D008'!G27</f>
        <v>703.5</v>
      </c>
      <c r="G21" s="141">
        <v>141.5</v>
      </c>
      <c r="H21" s="158">
        <f t="shared" si="0"/>
        <v>-562</v>
      </c>
    </row>
    <row r="22" spans="1:8">
      <c r="A22" s="132">
        <v>9</v>
      </c>
      <c r="B22" s="211">
        <f>'ST-INV'!B26</f>
        <v>46293</v>
      </c>
      <c r="C22" s="140" t="str">
        <f>'D009'!G4</f>
        <v>JR2609009</v>
      </c>
      <c r="D22" s="140" t="str">
        <f>'ST-INV'!E26</f>
        <v>SHSIN6090031</v>
      </c>
      <c r="E22" s="140" t="s">
        <v>144</v>
      </c>
      <c r="F22" s="223">
        <f>'D009'!G27</f>
        <v>913.75</v>
      </c>
      <c r="G22" s="141">
        <v>141.5</v>
      </c>
      <c r="H22" s="158">
        <f t="shared" si="0"/>
        <v>-772.25</v>
      </c>
    </row>
    <row r="23" spans="1:8">
      <c r="A23" s="132">
        <v>10</v>
      </c>
      <c r="B23" s="211">
        <f>'ST-INV'!B27</f>
        <v>46295</v>
      </c>
      <c r="C23" s="140" t="str">
        <f>'D010'!G4</f>
        <v>JR2609010</v>
      </c>
      <c r="D23" s="140" t="str">
        <f>'ST-INV'!E27</f>
        <v>KHS2609038</v>
      </c>
      <c r="E23" s="140" t="s">
        <v>144</v>
      </c>
      <c r="F23" s="223">
        <f>'D010'!G22</f>
        <v>174</v>
      </c>
      <c r="G23" s="141"/>
      <c r="H23" s="158"/>
    </row>
    <row r="24" spans="1:8">
      <c r="A24" s="132">
        <v>11</v>
      </c>
      <c r="B24" s="211">
        <f>'D011'!G5</f>
        <v>46295</v>
      </c>
      <c r="C24" s="140" t="str">
        <f>'D011'!G4</f>
        <v>JR2609011</v>
      </c>
      <c r="D24" s="140" t="s">
        <v>198</v>
      </c>
      <c r="E24" s="140" t="s">
        <v>144</v>
      </c>
      <c r="F24" s="223">
        <f>'D011'!G19</f>
        <v>80</v>
      </c>
      <c r="G24" s="141"/>
      <c r="H24" s="158"/>
    </row>
    <row r="25" spans="1:8">
      <c r="A25" s="132"/>
      <c r="B25" s="139"/>
      <c r="D25" s="141"/>
      <c r="F25" s="212"/>
      <c r="H25" s="158"/>
    </row>
    <row r="26" spans="1:8" ht="14.5" thickBot="1">
      <c r="A26" s="213" t="s">
        <v>151</v>
      </c>
      <c r="B26" s="138" t="s">
        <v>152</v>
      </c>
      <c r="C26" s="177" t="str">
        <f>'ST-INV'!$C$29</f>
        <v>SEP-2026</v>
      </c>
      <c r="D26" s="133"/>
      <c r="E26" s="133"/>
      <c r="F26" s="214">
        <f>SUM(F14:F25)</f>
        <v>7837.75</v>
      </c>
      <c r="G26" s="135">
        <f>SUM(G13:G25)</f>
        <v>5212.5</v>
      </c>
    </row>
  </sheetData>
  <mergeCells count="3">
    <mergeCell ref="A2:F2"/>
    <mergeCell ref="A3:F3"/>
    <mergeCell ref="A8:E8"/>
  </mergeCells>
  <phoneticPr fontId="73" type="noConversion"/>
  <printOptions horizontalCentered="1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4"/>
  <sheetViews>
    <sheetView view="pageBreakPreview" topLeftCell="A5" zoomScale="102" zoomScaleNormal="130" zoomScaleSheetLayoutView="130" workbookViewId="0">
      <selection activeCell="L28" sqref="L28"/>
    </sheetView>
  </sheetViews>
  <sheetFormatPr defaultColWidth="8.81640625" defaultRowHeight="14.5"/>
  <cols>
    <col min="1" max="1" width="15.1796875" customWidth="1"/>
    <col min="2" max="2" width="1.1796875" customWidth="1"/>
    <col min="3" max="3" width="10.1796875" bestFit="1" customWidth="1"/>
    <col min="7" max="7" width="5" customWidth="1"/>
    <col min="8" max="8" width="7.81640625" customWidth="1"/>
    <col min="9" max="9" width="11.1796875" customWidth="1"/>
  </cols>
  <sheetData>
    <row r="1" spans="1:10" ht="15" customHeight="1">
      <c r="A1" s="32"/>
      <c r="B1" s="32"/>
      <c r="C1" s="293" t="s">
        <v>98</v>
      </c>
      <c r="D1" s="293"/>
      <c r="E1" s="293"/>
      <c r="F1" s="293"/>
      <c r="G1" s="293"/>
      <c r="H1" s="293"/>
      <c r="I1" s="293"/>
      <c r="J1" s="293"/>
    </row>
    <row r="2" spans="1:10" ht="15" customHeight="1">
      <c r="A2" s="32"/>
      <c r="B2" s="32"/>
      <c r="C2" s="293"/>
      <c r="D2" s="293"/>
      <c r="E2" s="293"/>
      <c r="F2" s="293"/>
      <c r="G2" s="293"/>
      <c r="H2" s="293"/>
      <c r="I2" s="293"/>
      <c r="J2" s="293"/>
    </row>
    <row r="3" spans="1:10" ht="22.5" customHeight="1">
      <c r="A3" s="32"/>
      <c r="B3" s="32"/>
      <c r="C3" s="294" t="s">
        <v>153</v>
      </c>
      <c r="D3" s="294"/>
      <c r="E3" s="294"/>
      <c r="F3" s="294"/>
      <c r="G3" s="294"/>
      <c r="H3" s="294"/>
      <c r="I3" s="294"/>
      <c r="J3" s="294"/>
    </row>
    <row r="4" spans="1:10" ht="15" customHeight="1">
      <c r="A4" s="32"/>
      <c r="B4" s="32"/>
      <c r="C4" s="294"/>
      <c r="D4" s="294"/>
      <c r="E4" s="294"/>
      <c r="F4" s="294"/>
      <c r="G4" s="294"/>
      <c r="H4" s="294"/>
      <c r="I4" s="294"/>
      <c r="J4" s="294"/>
    </row>
    <row r="5" spans="1:10" ht="26">
      <c r="A5" s="295" t="s">
        <v>117</v>
      </c>
      <c r="B5" s="295"/>
      <c r="C5" s="295"/>
      <c r="D5" s="295"/>
      <c r="E5" s="295"/>
      <c r="F5" s="295"/>
      <c r="G5" s="295"/>
      <c r="H5" s="295"/>
      <c r="I5" s="295"/>
      <c r="J5" s="295"/>
    </row>
    <row r="6" spans="1:10">
      <c r="A6" s="32"/>
      <c r="B6" s="32"/>
      <c r="C6" s="32"/>
      <c r="D6" s="32"/>
      <c r="E6" s="32"/>
      <c r="F6" s="32"/>
      <c r="G6" s="32"/>
      <c r="H6" s="32"/>
      <c r="I6" s="32"/>
      <c r="J6" s="32"/>
    </row>
    <row r="7" spans="1:10">
      <c r="A7" s="32" t="s">
        <v>118</v>
      </c>
      <c r="B7" s="32" t="s">
        <v>119</v>
      </c>
      <c r="C7" s="68" t="str">
        <f>'ST-INV'!A10</f>
        <v>JR APPAREL CO.,LTD</v>
      </c>
      <c r="D7" s="68"/>
      <c r="E7" s="68"/>
      <c r="F7" s="68"/>
      <c r="G7" s="32"/>
      <c r="H7" s="69" t="s">
        <v>120</v>
      </c>
      <c r="I7" s="178">
        <v>46295</v>
      </c>
      <c r="J7" s="32"/>
    </row>
    <row r="8" spans="1:10" ht="25" customHeight="1">
      <c r="A8" s="32" t="s">
        <v>8</v>
      </c>
      <c r="B8" s="32" t="s">
        <v>119</v>
      </c>
      <c r="C8" s="296">
        <f>'ST-INV'!G29</f>
        <v>8978.51</v>
      </c>
      <c r="D8" s="296"/>
      <c r="E8" s="70"/>
      <c r="F8" s="70"/>
      <c r="G8" s="32"/>
      <c r="H8" s="32"/>
      <c r="I8" s="32"/>
      <c r="J8" s="32"/>
    </row>
    <row r="9" spans="1:10" ht="25" customHeight="1">
      <c r="A9" s="32" t="s">
        <v>121</v>
      </c>
      <c r="B9" s="32" t="s">
        <v>119</v>
      </c>
      <c r="C9" s="297" t="s">
        <v>226</v>
      </c>
      <c r="D9" s="297"/>
      <c r="E9" s="297"/>
      <c r="F9" s="297"/>
      <c r="G9" s="297"/>
      <c r="H9" s="297"/>
      <c r="I9" s="297"/>
      <c r="J9" s="297"/>
    </row>
    <row r="10" spans="1:10">
      <c r="A10" s="32"/>
      <c r="B10" s="32"/>
      <c r="C10" s="32"/>
      <c r="D10" s="32"/>
      <c r="E10" s="32"/>
      <c r="F10" s="32"/>
      <c r="G10" s="32"/>
      <c r="H10" s="32"/>
      <c r="I10" s="32"/>
      <c r="J10" s="32"/>
    </row>
    <row r="11" spans="1:10">
      <c r="A11" s="32" t="s">
        <v>122</v>
      </c>
      <c r="B11" s="32" t="s">
        <v>119</v>
      </c>
      <c r="C11" s="179" t="str">
        <f>'ST-INV'!C29</f>
        <v>SEP-2026</v>
      </c>
      <c r="D11" s="68"/>
      <c r="E11" s="32"/>
      <c r="F11" s="32"/>
      <c r="G11" s="32"/>
      <c r="H11" s="32"/>
      <c r="I11" s="32"/>
      <c r="J11" s="32"/>
    </row>
    <row r="12" spans="1:10">
      <c r="A12" s="32"/>
      <c r="B12" s="32"/>
      <c r="C12" s="32"/>
      <c r="D12" s="32"/>
      <c r="E12" s="32"/>
      <c r="F12" s="32"/>
      <c r="G12" s="32"/>
      <c r="H12" s="32"/>
      <c r="I12" s="32"/>
      <c r="J12" s="32"/>
    </row>
    <row r="13" spans="1:10">
      <c r="A13" s="32" t="s">
        <v>123</v>
      </c>
      <c r="B13" s="32" t="s">
        <v>119</v>
      </c>
      <c r="C13" s="68"/>
      <c r="D13" s="69"/>
      <c r="E13" s="71"/>
      <c r="F13" s="68"/>
      <c r="G13" s="68"/>
      <c r="H13" s="68"/>
      <c r="I13" s="68"/>
      <c r="J13" s="32"/>
    </row>
    <row r="14" spans="1:10" ht="10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</row>
    <row r="15" spans="1:10">
      <c r="A15" s="68"/>
      <c r="B15" s="68"/>
      <c r="C15" s="68"/>
      <c r="D15" s="68"/>
      <c r="E15" s="68"/>
      <c r="F15" s="68"/>
      <c r="G15" s="68"/>
      <c r="H15" s="68"/>
      <c r="I15" s="68"/>
      <c r="J15" s="68"/>
    </row>
    <row r="16" spans="1:10">
      <c r="A16" s="32"/>
      <c r="B16" s="32"/>
      <c r="C16" s="32"/>
      <c r="D16" s="32"/>
      <c r="E16" s="32"/>
      <c r="F16" s="32"/>
      <c r="G16" s="32"/>
      <c r="H16" s="32"/>
      <c r="I16" s="32"/>
      <c r="J16" s="32"/>
    </row>
    <row r="17" spans="1:10" ht="15.5">
      <c r="A17" s="32"/>
      <c r="B17" s="32"/>
      <c r="C17" s="32"/>
      <c r="D17" s="32"/>
      <c r="E17" s="32"/>
      <c r="F17" s="32"/>
      <c r="G17" s="32"/>
      <c r="H17" s="292" t="s">
        <v>124</v>
      </c>
      <c r="I17" s="292"/>
      <c r="J17" s="32"/>
    </row>
    <row r="18" spans="1:10">
      <c r="A18" s="32"/>
      <c r="B18" s="32"/>
      <c r="C18" s="32"/>
      <c r="D18" s="32"/>
      <c r="E18" s="32"/>
      <c r="F18" s="32"/>
      <c r="G18" s="32"/>
      <c r="H18" s="32"/>
      <c r="I18" s="32"/>
      <c r="J18" s="32"/>
    </row>
    <row r="19" spans="1:10">
      <c r="A19" s="32"/>
      <c r="B19" s="32"/>
      <c r="C19" s="32"/>
      <c r="D19" s="32"/>
      <c r="E19" s="32"/>
      <c r="F19" s="32"/>
      <c r="G19" s="32"/>
      <c r="H19" s="32"/>
      <c r="I19" s="32"/>
      <c r="J19" s="32"/>
    </row>
    <row r="20" spans="1:10">
      <c r="A20" s="32"/>
      <c r="B20" s="32"/>
      <c r="C20" s="32"/>
      <c r="D20" s="32"/>
      <c r="E20" s="32"/>
      <c r="F20" s="32"/>
      <c r="G20" s="32"/>
      <c r="H20" s="32"/>
      <c r="I20" s="32"/>
      <c r="J20" s="32"/>
    </row>
    <row r="21" spans="1:10">
      <c r="A21" s="32"/>
      <c r="B21" s="32"/>
      <c r="C21" s="32"/>
      <c r="D21" s="32"/>
      <c r="E21" s="32"/>
      <c r="F21" s="32"/>
      <c r="G21" s="32"/>
      <c r="H21" s="32"/>
      <c r="I21" s="32"/>
      <c r="J21" s="32"/>
    </row>
    <row r="22" spans="1:10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spans="1:10" ht="18.5">
      <c r="A23" s="32"/>
      <c r="B23" s="32"/>
      <c r="C23" s="32"/>
      <c r="D23" s="32"/>
      <c r="E23" s="32"/>
      <c r="F23" s="32"/>
      <c r="G23" s="32"/>
      <c r="H23" s="126" t="s">
        <v>125</v>
      </c>
      <c r="I23" s="127"/>
      <c r="J23" s="127"/>
    </row>
    <row r="24" spans="1:10" ht="21">
      <c r="A24" s="289" t="s">
        <v>117</v>
      </c>
      <c r="B24" s="289"/>
      <c r="C24" s="289"/>
      <c r="D24" s="289"/>
      <c r="E24" s="289"/>
      <c r="F24" s="289"/>
      <c r="G24" s="289"/>
      <c r="H24" s="289"/>
      <c r="I24" s="289"/>
      <c r="J24" s="289"/>
    </row>
    <row r="25" spans="1:10" ht="15" customHeight="1">
      <c r="A25" s="119"/>
      <c r="B25" s="119"/>
      <c r="C25" s="119"/>
      <c r="D25" s="119"/>
      <c r="E25" s="119"/>
      <c r="F25" s="119"/>
      <c r="G25" s="119"/>
      <c r="H25" s="119"/>
      <c r="I25" s="119"/>
      <c r="J25" s="119"/>
    </row>
    <row r="26" spans="1:10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>
      <c r="A27" s="32" t="s">
        <v>118</v>
      </c>
      <c r="B27" s="32" t="s">
        <v>119</v>
      </c>
      <c r="C27" s="68" t="str">
        <f>C7</f>
        <v>JR APPAREL CO.,LTD</v>
      </c>
      <c r="D27" s="68"/>
      <c r="E27" s="68"/>
      <c r="F27" s="68"/>
      <c r="G27" s="32"/>
      <c r="H27" s="69" t="s">
        <v>120</v>
      </c>
      <c r="I27" s="178">
        <f>I7</f>
        <v>46295</v>
      </c>
      <c r="J27" s="32"/>
    </row>
    <row r="28" spans="1:10" ht="25" customHeight="1">
      <c r="A28" s="32" t="s">
        <v>8</v>
      </c>
      <c r="B28" s="32" t="s">
        <v>119</v>
      </c>
      <c r="C28" s="290">
        <f>'STA-DN'!F26</f>
        <v>7837.75</v>
      </c>
      <c r="D28" s="290">
        <v>3576.0200000000004</v>
      </c>
      <c r="E28" s="70"/>
      <c r="F28" s="70"/>
      <c r="G28" s="32"/>
      <c r="H28" s="32"/>
      <c r="I28" s="32"/>
      <c r="J28" s="32"/>
    </row>
    <row r="29" spans="1:10" ht="25" customHeight="1">
      <c r="A29" s="32" t="s">
        <v>121</v>
      </c>
      <c r="B29" s="32" t="s">
        <v>119</v>
      </c>
      <c r="C29" s="184" t="s">
        <v>227</v>
      </c>
      <c r="D29" s="68"/>
      <c r="E29" s="68"/>
      <c r="F29" s="68"/>
      <c r="G29" s="68"/>
      <c r="H29" s="68"/>
      <c r="I29" s="68"/>
      <c r="J29" s="68"/>
    </row>
    <row r="30" spans="1:10">
      <c r="A30" s="32"/>
      <c r="B30" s="32"/>
      <c r="C30" s="32"/>
      <c r="D30" s="32"/>
      <c r="E30" s="32"/>
      <c r="F30" s="32"/>
      <c r="G30" s="32"/>
      <c r="H30" s="32"/>
      <c r="I30" s="32"/>
      <c r="J30" s="32"/>
    </row>
    <row r="31" spans="1:10">
      <c r="A31" s="32" t="s">
        <v>122</v>
      </c>
      <c r="B31" s="32" t="s">
        <v>119</v>
      </c>
      <c r="C31" s="179" t="str">
        <f>C11</f>
        <v>SEP-2026</v>
      </c>
      <c r="D31" s="68"/>
      <c r="E31" s="32"/>
      <c r="F31" s="32"/>
      <c r="G31" s="32"/>
      <c r="H31" s="32"/>
      <c r="I31" s="32"/>
      <c r="J31" s="32"/>
    </row>
    <row r="32" spans="1:10">
      <c r="A32" s="32"/>
      <c r="B32" s="32"/>
      <c r="C32" s="32"/>
      <c r="D32" s="32"/>
      <c r="E32" s="32"/>
      <c r="F32" s="32"/>
      <c r="G32" s="32"/>
      <c r="H32" s="32"/>
      <c r="I32" s="32"/>
      <c r="J32" s="32"/>
    </row>
    <row r="33" spans="1:10">
      <c r="A33" s="32" t="s">
        <v>123</v>
      </c>
      <c r="B33" s="32" t="s">
        <v>119</v>
      </c>
      <c r="C33" s="68"/>
      <c r="D33" s="69"/>
      <c r="E33" s="71"/>
      <c r="F33" s="68"/>
      <c r="G33" s="68"/>
      <c r="H33" s="68"/>
      <c r="I33" s="68"/>
      <c r="J33" s="32"/>
    </row>
    <row r="34" spans="1:10">
      <c r="A34" s="32"/>
      <c r="B34" s="32"/>
      <c r="C34" s="32"/>
      <c r="D34" s="32"/>
      <c r="E34" s="32"/>
      <c r="F34" s="32"/>
      <c r="G34" s="32"/>
      <c r="H34" s="32"/>
      <c r="I34" s="32"/>
      <c r="J34" s="32"/>
    </row>
    <row r="35" spans="1:10">
      <c r="A35" s="68"/>
      <c r="B35" s="68"/>
      <c r="C35" s="68"/>
      <c r="D35" s="68"/>
      <c r="E35" s="68"/>
      <c r="F35" s="68"/>
      <c r="G35" s="68"/>
      <c r="H35" s="68"/>
      <c r="I35" s="68"/>
      <c r="J35" s="68"/>
    </row>
    <row r="36" spans="1:10">
      <c r="A36" s="32"/>
      <c r="B36" s="32"/>
      <c r="C36" s="32"/>
      <c r="D36" s="32"/>
      <c r="E36" s="32"/>
      <c r="F36" s="32"/>
      <c r="G36" s="32"/>
      <c r="H36" s="32"/>
      <c r="I36" s="32"/>
      <c r="J36" s="32"/>
    </row>
    <row r="37" spans="1:10" ht="15.5">
      <c r="A37" s="32"/>
      <c r="B37" s="32"/>
      <c r="C37" s="32"/>
      <c r="D37" s="32"/>
      <c r="E37" s="32"/>
      <c r="F37" s="32"/>
      <c r="G37" s="32"/>
      <c r="H37" s="291" t="s">
        <v>124</v>
      </c>
      <c r="I37" s="291"/>
      <c r="J37" s="32"/>
    </row>
    <row r="38" spans="1:10">
      <c r="A38" s="32"/>
      <c r="B38" s="32"/>
      <c r="C38" s="32"/>
      <c r="D38" s="32"/>
      <c r="E38" s="32"/>
      <c r="F38" s="32"/>
      <c r="G38" s="32"/>
      <c r="H38" s="32"/>
      <c r="I38" s="32"/>
      <c r="J38" s="32"/>
    </row>
    <row r="39" spans="1:10">
      <c r="A39" s="32"/>
      <c r="B39" s="32"/>
      <c r="C39" s="32"/>
      <c r="D39" s="32"/>
      <c r="E39" s="32"/>
      <c r="F39" s="32"/>
      <c r="G39" s="32"/>
      <c r="H39" s="32"/>
      <c r="I39" s="32"/>
      <c r="J39" s="32"/>
    </row>
    <row r="40" spans="1:10">
      <c r="A40" s="32"/>
      <c r="B40" s="32"/>
      <c r="C40" s="32"/>
      <c r="D40" s="32"/>
      <c r="E40" s="32"/>
      <c r="F40" s="32"/>
      <c r="G40" s="32"/>
      <c r="H40" s="32"/>
      <c r="I40" s="32"/>
      <c r="J40" s="32"/>
    </row>
    <row r="41" spans="1:10">
      <c r="A41" s="32"/>
      <c r="B41" s="32"/>
      <c r="C41" s="32"/>
      <c r="D41" s="32"/>
      <c r="E41" s="32"/>
      <c r="F41" s="32"/>
      <c r="G41" s="32"/>
      <c r="H41" s="32"/>
      <c r="I41" s="32"/>
      <c r="J41" s="32"/>
    </row>
    <row r="42" spans="1:10">
      <c r="A42" s="32"/>
      <c r="B42" s="32"/>
      <c r="C42" s="32"/>
      <c r="D42" s="32"/>
      <c r="E42" s="32"/>
      <c r="F42" s="32"/>
      <c r="G42" s="32"/>
      <c r="H42" s="32"/>
      <c r="I42" s="32"/>
      <c r="J42" s="32"/>
    </row>
    <row r="43" spans="1:10">
      <c r="A43" s="32"/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15.5">
      <c r="A44" s="32"/>
      <c r="B44" s="32"/>
      <c r="C44" s="32"/>
      <c r="D44" s="32"/>
      <c r="E44" s="32"/>
      <c r="F44" s="32"/>
      <c r="G44" s="32"/>
      <c r="H44" s="72" t="s">
        <v>125</v>
      </c>
      <c r="I44" s="68"/>
      <c r="J44" s="32"/>
    </row>
  </sheetData>
  <mergeCells count="10">
    <mergeCell ref="A24:J24"/>
    <mergeCell ref="C28:D28"/>
    <mergeCell ref="H37:I37"/>
    <mergeCell ref="H17:I17"/>
    <mergeCell ref="C1:J2"/>
    <mergeCell ref="C3:J3"/>
    <mergeCell ref="C4:J4"/>
    <mergeCell ref="A5:J5"/>
    <mergeCell ref="C8:D8"/>
    <mergeCell ref="C9:J9"/>
  </mergeCells>
  <printOptions horizontalCentered="1" verticalCentered="1"/>
  <pageMargins left="0.2" right="0.2" top="0.25" bottom="0.25" header="0.3" footer="0.3"/>
  <pageSetup paperSize="11" scale="81" orientation="landscape" r:id="rId1"/>
  <rowBreaks count="1" manualBreakCount="1">
    <brk id="23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88900</xdr:colOff>
                    <xdr:row>11</xdr:row>
                    <xdr:rowOff>69850</xdr:rowOff>
                  </from>
                  <to>
                    <xdr:col>3</xdr:col>
                    <xdr:colOff>304800</xdr:colOff>
                    <xdr:row>13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3</xdr:col>
                    <xdr:colOff>222250</xdr:colOff>
                    <xdr:row>11</xdr:row>
                    <xdr:rowOff>107950</xdr:rowOff>
                  </from>
                  <to>
                    <xdr:col>4</xdr:col>
                    <xdr:colOff>571500</xdr:colOff>
                    <xdr:row>13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88900</xdr:colOff>
                    <xdr:row>31</xdr:row>
                    <xdr:rowOff>69850</xdr:rowOff>
                  </from>
                  <to>
                    <xdr:col>3</xdr:col>
                    <xdr:colOff>304800</xdr:colOff>
                    <xdr:row>33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3</xdr:col>
                    <xdr:colOff>222250</xdr:colOff>
                    <xdr:row>31</xdr:row>
                    <xdr:rowOff>107950</xdr:rowOff>
                  </from>
                  <to>
                    <xdr:col>4</xdr:col>
                    <xdr:colOff>571500</xdr:colOff>
                    <xdr:row>33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J37"/>
  <sheetViews>
    <sheetView view="pageBreakPreview" zoomScaleNormal="100" zoomScaleSheetLayoutView="100" workbookViewId="0">
      <selection activeCell="N33" sqref="N33"/>
    </sheetView>
  </sheetViews>
  <sheetFormatPr defaultRowHeight="14.5"/>
  <cols>
    <col min="1" max="1" width="9.1796875" style="187"/>
    <col min="2" max="2" width="31.54296875" style="187" customWidth="1"/>
    <col min="3" max="3" width="23.54296875" style="187" customWidth="1"/>
    <col min="4" max="4" width="14.7265625" style="187" customWidth="1"/>
    <col min="5" max="5" width="22.26953125" style="187" customWidth="1"/>
    <col min="8" max="8" width="10.1796875" bestFit="1" customWidth="1"/>
  </cols>
  <sheetData>
    <row r="2" spans="1:10">
      <c r="A2" s="298" t="s">
        <v>213</v>
      </c>
      <c r="B2" s="298"/>
      <c r="C2" s="298"/>
      <c r="D2" s="298"/>
    </row>
    <row r="3" spans="1:10" ht="15" thickBot="1">
      <c r="A3" s="299"/>
      <c r="B3" s="299"/>
      <c r="C3" s="299"/>
      <c r="D3" s="299"/>
      <c r="E3" s="188"/>
    </row>
    <row r="4" spans="1:10" ht="18.5" thickTop="1">
      <c r="A4" s="300" t="s">
        <v>214</v>
      </c>
      <c r="B4" s="300"/>
      <c r="C4" s="300"/>
      <c r="D4" s="300"/>
      <c r="E4" s="189"/>
    </row>
    <row r="5" spans="1:10" ht="18">
      <c r="A5" s="300"/>
      <c r="B5" s="300"/>
      <c r="C5" s="300"/>
      <c r="D5" s="300"/>
      <c r="E5" s="189"/>
    </row>
    <row r="7" spans="1:10" ht="15.5">
      <c r="A7" s="301" t="s">
        <v>222</v>
      </c>
      <c r="B7" s="302"/>
      <c r="C7" s="302"/>
      <c r="D7" s="302"/>
      <c r="E7" s="217">
        <v>46276</v>
      </c>
    </row>
    <row r="8" spans="1:10" ht="15.5">
      <c r="A8" s="190"/>
      <c r="B8" s="190"/>
      <c r="C8" s="190"/>
      <c r="D8" s="190"/>
      <c r="E8" s="191"/>
    </row>
    <row r="9" spans="1:10">
      <c r="A9" s="198" t="s">
        <v>5</v>
      </c>
      <c r="B9" s="199" t="s">
        <v>228</v>
      </c>
      <c r="C9" s="199" t="s">
        <v>215</v>
      </c>
      <c r="D9" s="199" t="s">
        <v>135</v>
      </c>
      <c r="E9" s="198" t="s">
        <v>216</v>
      </c>
    </row>
    <row r="10" spans="1:10">
      <c r="A10" s="194">
        <v>1</v>
      </c>
      <c r="B10" s="224" t="s">
        <v>234</v>
      </c>
      <c r="C10" s="195" t="str">
        <f>'360'!S12</f>
        <v>E 264562</v>
      </c>
      <c r="D10" s="196">
        <v>46254</v>
      </c>
      <c r="E10" s="192" t="s">
        <v>217</v>
      </c>
      <c r="H10" s="202"/>
      <c r="I10" s="203"/>
      <c r="J10" s="32"/>
    </row>
    <row r="11" spans="1:10">
      <c r="A11" s="194">
        <f>A10+1</f>
        <v>2</v>
      </c>
      <c r="B11" s="224" t="s">
        <v>235</v>
      </c>
      <c r="C11" s="193" t="str">
        <f>'366'!S12</f>
        <v>E 272714</v>
      </c>
      <c r="D11" s="196">
        <v>46255</v>
      </c>
      <c r="E11" s="192" t="s">
        <v>217</v>
      </c>
      <c r="H11" s="202"/>
      <c r="I11" s="203"/>
      <c r="J11" s="32"/>
    </row>
    <row r="12" spans="1:10">
      <c r="A12" s="194">
        <f t="shared" ref="A12:A20" si="0">A11+1</f>
        <v>3</v>
      </c>
      <c r="B12" s="224" t="s">
        <v>238</v>
      </c>
      <c r="C12" s="193" t="str">
        <f>'370'!S12</f>
        <v>E 275226</v>
      </c>
      <c r="D12" s="196">
        <v>46258</v>
      </c>
      <c r="E12" s="192" t="s">
        <v>217</v>
      </c>
      <c r="H12" s="202"/>
      <c r="I12" s="203"/>
      <c r="J12" s="32"/>
    </row>
    <row r="13" spans="1:10">
      <c r="A13" s="194">
        <f t="shared" si="0"/>
        <v>4</v>
      </c>
      <c r="B13" s="224" t="s">
        <v>241</v>
      </c>
      <c r="C13" s="193" t="str">
        <f>'375'!S12</f>
        <v>E 284067</v>
      </c>
      <c r="D13" s="196">
        <v>46260</v>
      </c>
      <c r="E13" s="192" t="s">
        <v>217</v>
      </c>
      <c r="H13" s="202"/>
      <c r="I13" s="203"/>
      <c r="J13" s="32"/>
    </row>
    <row r="14" spans="1:10">
      <c r="A14" s="194">
        <f t="shared" si="0"/>
        <v>5</v>
      </c>
      <c r="B14" s="224" t="s">
        <v>239</v>
      </c>
      <c r="C14" s="193" t="str">
        <f>'377'!S12</f>
        <v>I 136252</v>
      </c>
      <c r="D14" s="196">
        <v>46265</v>
      </c>
      <c r="E14" s="192" t="s">
        <v>217</v>
      </c>
      <c r="H14" s="202"/>
      <c r="I14" s="203"/>
      <c r="J14" s="32"/>
    </row>
    <row r="15" spans="1:10">
      <c r="A15" s="194">
        <f t="shared" si="0"/>
        <v>6</v>
      </c>
      <c r="B15" s="224" t="s">
        <v>245</v>
      </c>
      <c r="C15" s="193" t="str">
        <f>'379'!S12</f>
        <v>I 136243</v>
      </c>
      <c r="D15" s="196">
        <v>46265</v>
      </c>
      <c r="E15" s="192" t="s">
        <v>217</v>
      </c>
      <c r="H15" s="202"/>
      <c r="I15" s="203"/>
      <c r="J15" s="32"/>
    </row>
    <row r="16" spans="1:10">
      <c r="A16" s="194">
        <f t="shared" si="0"/>
        <v>7</v>
      </c>
      <c r="B16" s="224" t="s">
        <v>244</v>
      </c>
      <c r="C16" s="193" t="str">
        <f>'387'!S12</f>
        <v>E 291340</v>
      </c>
      <c r="D16" s="196">
        <v>46265</v>
      </c>
      <c r="E16" s="192" t="s">
        <v>217</v>
      </c>
      <c r="H16" s="202"/>
      <c r="I16" s="203"/>
      <c r="J16" s="32"/>
    </row>
    <row r="17" spans="1:10">
      <c r="A17" s="194">
        <f t="shared" si="0"/>
        <v>8</v>
      </c>
      <c r="B17" s="224" t="s">
        <v>243</v>
      </c>
      <c r="C17" s="193" t="str">
        <f>'388'!S12</f>
        <v>I 138725</v>
      </c>
      <c r="D17" s="196">
        <v>46265</v>
      </c>
      <c r="E17" s="192" t="s">
        <v>217</v>
      </c>
      <c r="H17" s="202"/>
      <c r="I17" s="203"/>
      <c r="J17" s="32"/>
    </row>
    <row r="18" spans="1:10">
      <c r="A18" s="194">
        <f t="shared" si="0"/>
        <v>9</v>
      </c>
      <c r="B18" s="224" t="s">
        <v>240</v>
      </c>
      <c r="C18" s="193" t="s">
        <v>250</v>
      </c>
      <c r="D18" s="196">
        <v>46265</v>
      </c>
      <c r="E18" s="192" t="s">
        <v>217</v>
      </c>
      <c r="H18" s="202"/>
      <c r="I18" s="203"/>
      <c r="J18" s="32"/>
    </row>
    <row r="19" spans="1:10">
      <c r="A19" s="194">
        <f t="shared" si="0"/>
        <v>10</v>
      </c>
      <c r="B19" s="224" t="s">
        <v>251</v>
      </c>
      <c r="C19" s="193" t="s">
        <v>252</v>
      </c>
      <c r="D19" s="196">
        <v>46234</v>
      </c>
      <c r="E19" s="192" t="s">
        <v>217</v>
      </c>
      <c r="H19" s="202"/>
      <c r="I19" s="203"/>
      <c r="J19" s="32"/>
    </row>
    <row r="20" spans="1:10">
      <c r="A20" s="194">
        <f t="shared" si="0"/>
        <v>11</v>
      </c>
      <c r="B20" s="224" t="s">
        <v>253</v>
      </c>
      <c r="C20" s="193"/>
      <c r="D20" s="196"/>
      <c r="E20" s="192" t="s">
        <v>217</v>
      </c>
      <c r="H20" s="32"/>
      <c r="I20" s="32"/>
      <c r="J20" s="32"/>
    </row>
    <row r="21" spans="1:10" ht="13.5" customHeight="1">
      <c r="A21" s="306">
        <v>12</v>
      </c>
      <c r="B21" s="303" t="s">
        <v>254</v>
      </c>
      <c r="C21" s="193" t="s">
        <v>255</v>
      </c>
      <c r="D21" s="196"/>
      <c r="E21" s="192" t="s">
        <v>217</v>
      </c>
      <c r="H21" s="32"/>
      <c r="I21" s="32"/>
      <c r="J21" s="32"/>
    </row>
    <row r="22" spans="1:10">
      <c r="A22" s="307"/>
      <c r="B22" s="304"/>
      <c r="C22" s="193" t="s">
        <v>256</v>
      </c>
      <c r="D22" s="196"/>
      <c r="E22" s="192" t="s">
        <v>217</v>
      </c>
    </row>
    <row r="23" spans="1:10">
      <c r="A23" s="307"/>
      <c r="B23" s="304"/>
      <c r="C23" s="193" t="s">
        <v>257</v>
      </c>
      <c r="D23" s="196"/>
      <c r="E23" s="192" t="s">
        <v>217</v>
      </c>
    </row>
    <row r="24" spans="1:10">
      <c r="A24" s="308"/>
      <c r="B24" s="305"/>
      <c r="C24" s="193" t="s">
        <v>258</v>
      </c>
      <c r="D24" s="196"/>
      <c r="E24" s="192" t="s">
        <v>217</v>
      </c>
    </row>
    <row r="25" spans="1:10">
      <c r="A25" s="194"/>
      <c r="B25" s="216"/>
      <c r="C25" s="193"/>
      <c r="D25" s="196"/>
      <c r="E25" s="192" t="s">
        <v>217</v>
      </c>
    </row>
    <row r="26" spans="1:10">
      <c r="A26" s="194"/>
      <c r="B26" s="216"/>
      <c r="C26" s="193"/>
      <c r="D26" s="196"/>
      <c r="E26" s="192" t="s">
        <v>217</v>
      </c>
    </row>
    <row r="27" spans="1:10">
      <c r="A27" s="194"/>
      <c r="B27" s="216"/>
      <c r="C27" s="193"/>
      <c r="D27" s="196"/>
      <c r="E27" s="192" t="s">
        <v>233</v>
      </c>
    </row>
    <row r="28" spans="1:10">
      <c r="A28" s="194"/>
      <c r="B28" s="216"/>
      <c r="C28" s="193"/>
      <c r="D28" s="196"/>
      <c r="E28" s="192"/>
    </row>
    <row r="29" spans="1:10">
      <c r="A29" s="194"/>
      <c r="B29" s="216"/>
      <c r="C29" s="193"/>
      <c r="D29" s="196"/>
      <c r="E29" s="192"/>
    </row>
    <row r="30" spans="1:10">
      <c r="A30" s="194"/>
      <c r="B30" s="216"/>
      <c r="C30" s="193"/>
      <c r="D30" s="196"/>
      <c r="E30" s="192"/>
    </row>
    <row r="31" spans="1:10">
      <c r="A31" s="218" t="s">
        <v>218</v>
      </c>
      <c r="B31" s="219">
        <f>SUBTOTAL(3,B10:B30)</f>
        <v>12</v>
      </c>
      <c r="C31" s="218"/>
      <c r="D31" s="218"/>
      <c r="E31" s="218"/>
    </row>
    <row r="35" spans="1:5">
      <c r="A35" s="197" t="s">
        <v>219</v>
      </c>
      <c r="B35" s="197"/>
      <c r="D35" s="187" t="str">
        <f>A4</f>
        <v>To: JR APPAREL CO., LTD</v>
      </c>
    </row>
    <row r="36" spans="1:5">
      <c r="A36" s="197" t="s">
        <v>220</v>
      </c>
      <c r="B36" s="197" t="s">
        <v>225</v>
      </c>
      <c r="D36" s="187" t="s">
        <v>229</v>
      </c>
      <c r="E36" s="187" t="s">
        <v>232</v>
      </c>
    </row>
    <row r="37" spans="1:5">
      <c r="A37" s="197" t="s">
        <v>221</v>
      </c>
      <c r="B37" s="215">
        <v>46276</v>
      </c>
    </row>
  </sheetData>
  <mergeCells count="5">
    <mergeCell ref="A2:D3"/>
    <mergeCell ref="A4:D5"/>
    <mergeCell ref="A7:D7"/>
    <mergeCell ref="B21:B24"/>
    <mergeCell ref="A21:A24"/>
  </mergeCells>
  <pageMargins left="0.7" right="0.7" top="0.75" bottom="0.75" header="0.3" footer="0.3"/>
  <pageSetup paperSize="9" scale="88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41"/>
  <sheetViews>
    <sheetView topLeftCell="A110" workbookViewId="0">
      <selection activeCell="A125" sqref="A125:G125"/>
    </sheetView>
  </sheetViews>
  <sheetFormatPr defaultColWidth="8.81640625" defaultRowHeight="15.5"/>
  <cols>
    <col min="1" max="1" width="9.453125" style="4" customWidth="1"/>
    <col min="2" max="2" width="14.453125" style="4" customWidth="1"/>
    <col min="3" max="3" width="9.1796875" style="4"/>
    <col min="4" max="4" width="18.1796875" style="4" customWidth="1"/>
    <col min="5" max="5" width="17" style="4" customWidth="1"/>
    <col min="6" max="6" width="17.1796875" style="4" customWidth="1"/>
    <col min="7" max="7" width="23.81640625" style="4" customWidth="1"/>
    <col min="8" max="8" width="23" style="4" customWidth="1"/>
    <col min="9" max="256" width="9.1796875" style="4"/>
    <col min="257" max="257" width="9.453125" style="4" customWidth="1"/>
    <col min="258" max="258" width="14.453125" style="4" customWidth="1"/>
    <col min="259" max="259" width="9.1796875" style="4"/>
    <col min="260" max="260" width="18.1796875" style="4" customWidth="1"/>
    <col min="261" max="261" width="17" style="4" customWidth="1"/>
    <col min="262" max="262" width="17.1796875" style="4" customWidth="1"/>
    <col min="263" max="263" width="23.81640625" style="4" customWidth="1"/>
    <col min="264" max="264" width="23" style="4" customWidth="1"/>
    <col min="265" max="512" width="9.1796875" style="4"/>
    <col min="513" max="513" width="9.453125" style="4" customWidth="1"/>
    <col min="514" max="514" width="14.453125" style="4" customWidth="1"/>
    <col min="515" max="515" width="9.1796875" style="4"/>
    <col min="516" max="516" width="18.1796875" style="4" customWidth="1"/>
    <col min="517" max="517" width="17" style="4" customWidth="1"/>
    <col min="518" max="518" width="17.1796875" style="4" customWidth="1"/>
    <col min="519" max="519" width="23.81640625" style="4" customWidth="1"/>
    <col min="520" max="520" width="23" style="4" customWidth="1"/>
    <col min="521" max="768" width="9.1796875" style="4"/>
    <col min="769" max="769" width="9.453125" style="4" customWidth="1"/>
    <col min="770" max="770" width="14.453125" style="4" customWidth="1"/>
    <col min="771" max="771" width="9.1796875" style="4"/>
    <col min="772" max="772" width="18.1796875" style="4" customWidth="1"/>
    <col min="773" max="773" width="17" style="4" customWidth="1"/>
    <col min="774" max="774" width="17.1796875" style="4" customWidth="1"/>
    <col min="775" max="775" width="23.81640625" style="4" customWidth="1"/>
    <col min="776" max="776" width="23" style="4" customWidth="1"/>
    <col min="777" max="1024" width="9.1796875" style="4"/>
    <col min="1025" max="1025" width="9.453125" style="4" customWidth="1"/>
    <col min="1026" max="1026" width="14.453125" style="4" customWidth="1"/>
    <col min="1027" max="1027" width="9.1796875" style="4"/>
    <col min="1028" max="1028" width="18.1796875" style="4" customWidth="1"/>
    <col min="1029" max="1029" width="17" style="4" customWidth="1"/>
    <col min="1030" max="1030" width="17.1796875" style="4" customWidth="1"/>
    <col min="1031" max="1031" width="23.81640625" style="4" customWidth="1"/>
    <col min="1032" max="1032" width="23" style="4" customWidth="1"/>
    <col min="1033" max="1280" width="9.1796875" style="4"/>
    <col min="1281" max="1281" width="9.453125" style="4" customWidth="1"/>
    <col min="1282" max="1282" width="14.453125" style="4" customWidth="1"/>
    <col min="1283" max="1283" width="9.1796875" style="4"/>
    <col min="1284" max="1284" width="18.1796875" style="4" customWidth="1"/>
    <col min="1285" max="1285" width="17" style="4" customWidth="1"/>
    <col min="1286" max="1286" width="17.1796875" style="4" customWidth="1"/>
    <col min="1287" max="1287" width="23.81640625" style="4" customWidth="1"/>
    <col min="1288" max="1288" width="23" style="4" customWidth="1"/>
    <col min="1289" max="1536" width="9.1796875" style="4"/>
    <col min="1537" max="1537" width="9.453125" style="4" customWidth="1"/>
    <col min="1538" max="1538" width="14.453125" style="4" customWidth="1"/>
    <col min="1539" max="1539" width="9.1796875" style="4"/>
    <col min="1540" max="1540" width="18.1796875" style="4" customWidth="1"/>
    <col min="1541" max="1541" width="17" style="4" customWidth="1"/>
    <col min="1542" max="1542" width="17.1796875" style="4" customWidth="1"/>
    <col min="1543" max="1543" width="23.81640625" style="4" customWidth="1"/>
    <col min="1544" max="1544" width="23" style="4" customWidth="1"/>
    <col min="1545" max="1792" width="9.1796875" style="4"/>
    <col min="1793" max="1793" width="9.453125" style="4" customWidth="1"/>
    <col min="1794" max="1794" width="14.453125" style="4" customWidth="1"/>
    <col min="1795" max="1795" width="9.1796875" style="4"/>
    <col min="1796" max="1796" width="18.1796875" style="4" customWidth="1"/>
    <col min="1797" max="1797" width="17" style="4" customWidth="1"/>
    <col min="1798" max="1798" width="17.1796875" style="4" customWidth="1"/>
    <col min="1799" max="1799" width="23.81640625" style="4" customWidth="1"/>
    <col min="1800" max="1800" width="23" style="4" customWidth="1"/>
    <col min="1801" max="2048" width="9.1796875" style="4"/>
    <col min="2049" max="2049" width="9.453125" style="4" customWidth="1"/>
    <col min="2050" max="2050" width="14.453125" style="4" customWidth="1"/>
    <col min="2051" max="2051" width="9.1796875" style="4"/>
    <col min="2052" max="2052" width="18.1796875" style="4" customWidth="1"/>
    <col min="2053" max="2053" width="17" style="4" customWidth="1"/>
    <col min="2054" max="2054" width="17.1796875" style="4" customWidth="1"/>
    <col min="2055" max="2055" width="23.81640625" style="4" customWidth="1"/>
    <col min="2056" max="2056" width="23" style="4" customWidth="1"/>
    <col min="2057" max="2304" width="9.1796875" style="4"/>
    <col min="2305" max="2305" width="9.453125" style="4" customWidth="1"/>
    <col min="2306" max="2306" width="14.453125" style="4" customWidth="1"/>
    <col min="2307" max="2307" width="9.1796875" style="4"/>
    <col min="2308" max="2308" width="18.1796875" style="4" customWidth="1"/>
    <col min="2309" max="2309" width="17" style="4" customWidth="1"/>
    <col min="2310" max="2310" width="17.1796875" style="4" customWidth="1"/>
    <col min="2311" max="2311" width="23.81640625" style="4" customWidth="1"/>
    <col min="2312" max="2312" width="23" style="4" customWidth="1"/>
    <col min="2313" max="2560" width="9.1796875" style="4"/>
    <col min="2561" max="2561" width="9.453125" style="4" customWidth="1"/>
    <col min="2562" max="2562" width="14.453125" style="4" customWidth="1"/>
    <col min="2563" max="2563" width="9.1796875" style="4"/>
    <col min="2564" max="2564" width="18.1796875" style="4" customWidth="1"/>
    <col min="2565" max="2565" width="17" style="4" customWidth="1"/>
    <col min="2566" max="2566" width="17.1796875" style="4" customWidth="1"/>
    <col min="2567" max="2567" width="23.81640625" style="4" customWidth="1"/>
    <col min="2568" max="2568" width="23" style="4" customWidth="1"/>
    <col min="2569" max="2816" width="9.1796875" style="4"/>
    <col min="2817" max="2817" width="9.453125" style="4" customWidth="1"/>
    <col min="2818" max="2818" width="14.453125" style="4" customWidth="1"/>
    <col min="2819" max="2819" width="9.1796875" style="4"/>
    <col min="2820" max="2820" width="18.1796875" style="4" customWidth="1"/>
    <col min="2821" max="2821" width="17" style="4" customWidth="1"/>
    <col min="2822" max="2822" width="17.1796875" style="4" customWidth="1"/>
    <col min="2823" max="2823" width="23.81640625" style="4" customWidth="1"/>
    <col min="2824" max="2824" width="23" style="4" customWidth="1"/>
    <col min="2825" max="3072" width="9.1796875" style="4"/>
    <col min="3073" max="3073" width="9.453125" style="4" customWidth="1"/>
    <col min="3074" max="3074" width="14.453125" style="4" customWidth="1"/>
    <col min="3075" max="3075" width="9.1796875" style="4"/>
    <col min="3076" max="3076" width="18.1796875" style="4" customWidth="1"/>
    <col min="3077" max="3077" width="17" style="4" customWidth="1"/>
    <col min="3078" max="3078" width="17.1796875" style="4" customWidth="1"/>
    <col min="3079" max="3079" width="23.81640625" style="4" customWidth="1"/>
    <col min="3080" max="3080" width="23" style="4" customWidth="1"/>
    <col min="3081" max="3328" width="9.1796875" style="4"/>
    <col min="3329" max="3329" width="9.453125" style="4" customWidth="1"/>
    <col min="3330" max="3330" width="14.453125" style="4" customWidth="1"/>
    <col min="3331" max="3331" width="9.1796875" style="4"/>
    <col min="3332" max="3332" width="18.1796875" style="4" customWidth="1"/>
    <col min="3333" max="3333" width="17" style="4" customWidth="1"/>
    <col min="3334" max="3334" width="17.1796875" style="4" customWidth="1"/>
    <col min="3335" max="3335" width="23.81640625" style="4" customWidth="1"/>
    <col min="3336" max="3336" width="23" style="4" customWidth="1"/>
    <col min="3337" max="3584" width="9.1796875" style="4"/>
    <col min="3585" max="3585" width="9.453125" style="4" customWidth="1"/>
    <col min="3586" max="3586" width="14.453125" style="4" customWidth="1"/>
    <col min="3587" max="3587" width="9.1796875" style="4"/>
    <col min="3588" max="3588" width="18.1796875" style="4" customWidth="1"/>
    <col min="3589" max="3589" width="17" style="4" customWidth="1"/>
    <col min="3590" max="3590" width="17.1796875" style="4" customWidth="1"/>
    <col min="3591" max="3591" width="23.81640625" style="4" customWidth="1"/>
    <col min="3592" max="3592" width="23" style="4" customWidth="1"/>
    <col min="3593" max="3840" width="9.1796875" style="4"/>
    <col min="3841" max="3841" width="9.453125" style="4" customWidth="1"/>
    <col min="3842" max="3842" width="14.453125" style="4" customWidth="1"/>
    <col min="3843" max="3843" width="9.1796875" style="4"/>
    <col min="3844" max="3844" width="18.1796875" style="4" customWidth="1"/>
    <col min="3845" max="3845" width="17" style="4" customWidth="1"/>
    <col min="3846" max="3846" width="17.1796875" style="4" customWidth="1"/>
    <col min="3847" max="3847" width="23.81640625" style="4" customWidth="1"/>
    <col min="3848" max="3848" width="23" style="4" customWidth="1"/>
    <col min="3849" max="4096" width="9.1796875" style="4"/>
    <col min="4097" max="4097" width="9.453125" style="4" customWidth="1"/>
    <col min="4098" max="4098" width="14.453125" style="4" customWidth="1"/>
    <col min="4099" max="4099" width="9.1796875" style="4"/>
    <col min="4100" max="4100" width="18.1796875" style="4" customWidth="1"/>
    <col min="4101" max="4101" width="17" style="4" customWidth="1"/>
    <col min="4102" max="4102" width="17.1796875" style="4" customWidth="1"/>
    <col min="4103" max="4103" width="23.81640625" style="4" customWidth="1"/>
    <col min="4104" max="4104" width="23" style="4" customWidth="1"/>
    <col min="4105" max="4352" width="9.1796875" style="4"/>
    <col min="4353" max="4353" width="9.453125" style="4" customWidth="1"/>
    <col min="4354" max="4354" width="14.453125" style="4" customWidth="1"/>
    <col min="4355" max="4355" width="9.1796875" style="4"/>
    <col min="4356" max="4356" width="18.1796875" style="4" customWidth="1"/>
    <col min="4357" max="4357" width="17" style="4" customWidth="1"/>
    <col min="4358" max="4358" width="17.1796875" style="4" customWidth="1"/>
    <col min="4359" max="4359" width="23.81640625" style="4" customWidth="1"/>
    <col min="4360" max="4360" width="23" style="4" customWidth="1"/>
    <col min="4361" max="4608" width="9.1796875" style="4"/>
    <col min="4609" max="4609" width="9.453125" style="4" customWidth="1"/>
    <col min="4610" max="4610" width="14.453125" style="4" customWidth="1"/>
    <col min="4611" max="4611" width="9.1796875" style="4"/>
    <col min="4612" max="4612" width="18.1796875" style="4" customWidth="1"/>
    <col min="4613" max="4613" width="17" style="4" customWidth="1"/>
    <col min="4614" max="4614" width="17.1796875" style="4" customWidth="1"/>
    <col min="4615" max="4615" width="23.81640625" style="4" customWidth="1"/>
    <col min="4616" max="4616" width="23" style="4" customWidth="1"/>
    <col min="4617" max="4864" width="9.1796875" style="4"/>
    <col min="4865" max="4865" width="9.453125" style="4" customWidth="1"/>
    <col min="4866" max="4866" width="14.453125" style="4" customWidth="1"/>
    <col min="4867" max="4867" width="9.1796875" style="4"/>
    <col min="4868" max="4868" width="18.1796875" style="4" customWidth="1"/>
    <col min="4869" max="4869" width="17" style="4" customWidth="1"/>
    <col min="4870" max="4870" width="17.1796875" style="4" customWidth="1"/>
    <col min="4871" max="4871" width="23.81640625" style="4" customWidth="1"/>
    <col min="4872" max="4872" width="23" style="4" customWidth="1"/>
    <col min="4873" max="5120" width="9.1796875" style="4"/>
    <col min="5121" max="5121" width="9.453125" style="4" customWidth="1"/>
    <col min="5122" max="5122" width="14.453125" style="4" customWidth="1"/>
    <col min="5123" max="5123" width="9.1796875" style="4"/>
    <col min="5124" max="5124" width="18.1796875" style="4" customWidth="1"/>
    <col min="5125" max="5125" width="17" style="4" customWidth="1"/>
    <col min="5126" max="5126" width="17.1796875" style="4" customWidth="1"/>
    <col min="5127" max="5127" width="23.81640625" style="4" customWidth="1"/>
    <col min="5128" max="5128" width="23" style="4" customWidth="1"/>
    <col min="5129" max="5376" width="9.1796875" style="4"/>
    <col min="5377" max="5377" width="9.453125" style="4" customWidth="1"/>
    <col min="5378" max="5378" width="14.453125" style="4" customWidth="1"/>
    <col min="5379" max="5379" width="9.1796875" style="4"/>
    <col min="5380" max="5380" width="18.1796875" style="4" customWidth="1"/>
    <col min="5381" max="5381" width="17" style="4" customWidth="1"/>
    <col min="5382" max="5382" width="17.1796875" style="4" customWidth="1"/>
    <col min="5383" max="5383" width="23.81640625" style="4" customWidth="1"/>
    <col min="5384" max="5384" width="23" style="4" customWidth="1"/>
    <col min="5385" max="5632" width="9.1796875" style="4"/>
    <col min="5633" max="5633" width="9.453125" style="4" customWidth="1"/>
    <col min="5634" max="5634" width="14.453125" style="4" customWidth="1"/>
    <col min="5635" max="5635" width="9.1796875" style="4"/>
    <col min="5636" max="5636" width="18.1796875" style="4" customWidth="1"/>
    <col min="5637" max="5637" width="17" style="4" customWidth="1"/>
    <col min="5638" max="5638" width="17.1796875" style="4" customWidth="1"/>
    <col min="5639" max="5639" width="23.81640625" style="4" customWidth="1"/>
    <col min="5640" max="5640" width="23" style="4" customWidth="1"/>
    <col min="5641" max="5888" width="9.1796875" style="4"/>
    <col min="5889" max="5889" width="9.453125" style="4" customWidth="1"/>
    <col min="5890" max="5890" width="14.453125" style="4" customWidth="1"/>
    <col min="5891" max="5891" width="9.1796875" style="4"/>
    <col min="5892" max="5892" width="18.1796875" style="4" customWidth="1"/>
    <col min="5893" max="5893" width="17" style="4" customWidth="1"/>
    <col min="5894" max="5894" width="17.1796875" style="4" customWidth="1"/>
    <col min="5895" max="5895" width="23.81640625" style="4" customWidth="1"/>
    <col min="5896" max="5896" width="23" style="4" customWidth="1"/>
    <col min="5897" max="6144" width="9.1796875" style="4"/>
    <col min="6145" max="6145" width="9.453125" style="4" customWidth="1"/>
    <col min="6146" max="6146" width="14.453125" style="4" customWidth="1"/>
    <col min="6147" max="6147" width="9.1796875" style="4"/>
    <col min="6148" max="6148" width="18.1796875" style="4" customWidth="1"/>
    <col min="6149" max="6149" width="17" style="4" customWidth="1"/>
    <col min="6150" max="6150" width="17.1796875" style="4" customWidth="1"/>
    <col min="6151" max="6151" width="23.81640625" style="4" customWidth="1"/>
    <col min="6152" max="6152" width="23" style="4" customWidth="1"/>
    <col min="6153" max="6400" width="9.1796875" style="4"/>
    <col min="6401" max="6401" width="9.453125" style="4" customWidth="1"/>
    <col min="6402" max="6402" width="14.453125" style="4" customWidth="1"/>
    <col min="6403" max="6403" width="9.1796875" style="4"/>
    <col min="6404" max="6404" width="18.1796875" style="4" customWidth="1"/>
    <col min="6405" max="6405" width="17" style="4" customWidth="1"/>
    <col min="6406" max="6406" width="17.1796875" style="4" customWidth="1"/>
    <col min="6407" max="6407" width="23.81640625" style="4" customWidth="1"/>
    <col min="6408" max="6408" width="23" style="4" customWidth="1"/>
    <col min="6409" max="6656" width="9.1796875" style="4"/>
    <col min="6657" max="6657" width="9.453125" style="4" customWidth="1"/>
    <col min="6658" max="6658" width="14.453125" style="4" customWidth="1"/>
    <col min="6659" max="6659" width="9.1796875" style="4"/>
    <col min="6660" max="6660" width="18.1796875" style="4" customWidth="1"/>
    <col min="6661" max="6661" width="17" style="4" customWidth="1"/>
    <col min="6662" max="6662" width="17.1796875" style="4" customWidth="1"/>
    <col min="6663" max="6663" width="23.81640625" style="4" customWidth="1"/>
    <col min="6664" max="6664" width="23" style="4" customWidth="1"/>
    <col min="6665" max="6912" width="9.1796875" style="4"/>
    <col min="6913" max="6913" width="9.453125" style="4" customWidth="1"/>
    <col min="6914" max="6914" width="14.453125" style="4" customWidth="1"/>
    <col min="6915" max="6915" width="9.1796875" style="4"/>
    <col min="6916" max="6916" width="18.1796875" style="4" customWidth="1"/>
    <col min="6917" max="6917" width="17" style="4" customWidth="1"/>
    <col min="6918" max="6918" width="17.1796875" style="4" customWidth="1"/>
    <col min="6919" max="6919" width="23.81640625" style="4" customWidth="1"/>
    <col min="6920" max="6920" width="23" style="4" customWidth="1"/>
    <col min="6921" max="7168" width="9.1796875" style="4"/>
    <col min="7169" max="7169" width="9.453125" style="4" customWidth="1"/>
    <col min="7170" max="7170" width="14.453125" style="4" customWidth="1"/>
    <col min="7171" max="7171" width="9.1796875" style="4"/>
    <col min="7172" max="7172" width="18.1796875" style="4" customWidth="1"/>
    <col min="7173" max="7173" width="17" style="4" customWidth="1"/>
    <col min="7174" max="7174" width="17.1796875" style="4" customWidth="1"/>
    <col min="7175" max="7175" width="23.81640625" style="4" customWidth="1"/>
    <col min="7176" max="7176" width="23" style="4" customWidth="1"/>
    <col min="7177" max="7424" width="9.1796875" style="4"/>
    <col min="7425" max="7425" width="9.453125" style="4" customWidth="1"/>
    <col min="7426" max="7426" width="14.453125" style="4" customWidth="1"/>
    <col min="7427" max="7427" width="9.1796875" style="4"/>
    <col min="7428" max="7428" width="18.1796875" style="4" customWidth="1"/>
    <col min="7429" max="7429" width="17" style="4" customWidth="1"/>
    <col min="7430" max="7430" width="17.1796875" style="4" customWidth="1"/>
    <col min="7431" max="7431" width="23.81640625" style="4" customWidth="1"/>
    <col min="7432" max="7432" width="23" style="4" customWidth="1"/>
    <col min="7433" max="7680" width="9.1796875" style="4"/>
    <col min="7681" max="7681" width="9.453125" style="4" customWidth="1"/>
    <col min="7682" max="7682" width="14.453125" style="4" customWidth="1"/>
    <col min="7683" max="7683" width="9.1796875" style="4"/>
    <col min="7684" max="7684" width="18.1796875" style="4" customWidth="1"/>
    <col min="7685" max="7685" width="17" style="4" customWidth="1"/>
    <col min="7686" max="7686" width="17.1796875" style="4" customWidth="1"/>
    <col min="7687" max="7687" width="23.81640625" style="4" customWidth="1"/>
    <col min="7688" max="7688" width="23" style="4" customWidth="1"/>
    <col min="7689" max="7936" width="9.1796875" style="4"/>
    <col min="7937" max="7937" width="9.453125" style="4" customWidth="1"/>
    <col min="7938" max="7938" width="14.453125" style="4" customWidth="1"/>
    <col min="7939" max="7939" width="9.1796875" style="4"/>
    <col min="7940" max="7940" width="18.1796875" style="4" customWidth="1"/>
    <col min="7941" max="7941" width="17" style="4" customWidth="1"/>
    <col min="7942" max="7942" width="17.1796875" style="4" customWidth="1"/>
    <col min="7943" max="7943" width="23.81640625" style="4" customWidth="1"/>
    <col min="7944" max="7944" width="23" style="4" customWidth="1"/>
    <col min="7945" max="8192" width="9.1796875" style="4"/>
    <col min="8193" max="8193" width="9.453125" style="4" customWidth="1"/>
    <col min="8194" max="8194" width="14.453125" style="4" customWidth="1"/>
    <col min="8195" max="8195" width="9.1796875" style="4"/>
    <col min="8196" max="8196" width="18.1796875" style="4" customWidth="1"/>
    <col min="8197" max="8197" width="17" style="4" customWidth="1"/>
    <col min="8198" max="8198" width="17.1796875" style="4" customWidth="1"/>
    <col min="8199" max="8199" width="23.81640625" style="4" customWidth="1"/>
    <col min="8200" max="8200" width="23" style="4" customWidth="1"/>
    <col min="8201" max="8448" width="9.1796875" style="4"/>
    <col min="8449" max="8449" width="9.453125" style="4" customWidth="1"/>
    <col min="8450" max="8450" width="14.453125" style="4" customWidth="1"/>
    <col min="8451" max="8451" width="9.1796875" style="4"/>
    <col min="8452" max="8452" width="18.1796875" style="4" customWidth="1"/>
    <col min="8453" max="8453" width="17" style="4" customWidth="1"/>
    <col min="8454" max="8454" width="17.1796875" style="4" customWidth="1"/>
    <col min="8455" max="8455" width="23.81640625" style="4" customWidth="1"/>
    <col min="8456" max="8456" width="23" style="4" customWidth="1"/>
    <col min="8457" max="8704" width="9.1796875" style="4"/>
    <col min="8705" max="8705" width="9.453125" style="4" customWidth="1"/>
    <col min="8706" max="8706" width="14.453125" style="4" customWidth="1"/>
    <col min="8707" max="8707" width="9.1796875" style="4"/>
    <col min="8708" max="8708" width="18.1796875" style="4" customWidth="1"/>
    <col min="8709" max="8709" width="17" style="4" customWidth="1"/>
    <col min="8710" max="8710" width="17.1796875" style="4" customWidth="1"/>
    <col min="8711" max="8711" width="23.81640625" style="4" customWidth="1"/>
    <col min="8712" max="8712" width="23" style="4" customWidth="1"/>
    <col min="8713" max="8960" width="9.1796875" style="4"/>
    <col min="8961" max="8961" width="9.453125" style="4" customWidth="1"/>
    <col min="8962" max="8962" width="14.453125" style="4" customWidth="1"/>
    <col min="8963" max="8963" width="9.1796875" style="4"/>
    <col min="8964" max="8964" width="18.1796875" style="4" customWidth="1"/>
    <col min="8965" max="8965" width="17" style="4" customWidth="1"/>
    <col min="8966" max="8966" width="17.1796875" style="4" customWidth="1"/>
    <col min="8967" max="8967" width="23.81640625" style="4" customWidth="1"/>
    <col min="8968" max="8968" width="23" style="4" customWidth="1"/>
    <col min="8969" max="9216" width="9.1796875" style="4"/>
    <col min="9217" max="9217" width="9.453125" style="4" customWidth="1"/>
    <col min="9218" max="9218" width="14.453125" style="4" customWidth="1"/>
    <col min="9219" max="9219" width="9.1796875" style="4"/>
    <col min="9220" max="9220" width="18.1796875" style="4" customWidth="1"/>
    <col min="9221" max="9221" width="17" style="4" customWidth="1"/>
    <col min="9222" max="9222" width="17.1796875" style="4" customWidth="1"/>
    <col min="9223" max="9223" width="23.81640625" style="4" customWidth="1"/>
    <col min="9224" max="9224" width="23" style="4" customWidth="1"/>
    <col min="9225" max="9472" width="9.1796875" style="4"/>
    <col min="9473" max="9473" width="9.453125" style="4" customWidth="1"/>
    <col min="9474" max="9474" width="14.453125" style="4" customWidth="1"/>
    <col min="9475" max="9475" width="9.1796875" style="4"/>
    <col min="9476" max="9476" width="18.1796875" style="4" customWidth="1"/>
    <col min="9477" max="9477" width="17" style="4" customWidth="1"/>
    <col min="9478" max="9478" width="17.1796875" style="4" customWidth="1"/>
    <col min="9479" max="9479" width="23.81640625" style="4" customWidth="1"/>
    <col min="9480" max="9480" width="23" style="4" customWidth="1"/>
    <col min="9481" max="9728" width="9.1796875" style="4"/>
    <col min="9729" max="9729" width="9.453125" style="4" customWidth="1"/>
    <col min="9730" max="9730" width="14.453125" style="4" customWidth="1"/>
    <col min="9731" max="9731" width="9.1796875" style="4"/>
    <col min="9732" max="9732" width="18.1796875" style="4" customWidth="1"/>
    <col min="9733" max="9733" width="17" style="4" customWidth="1"/>
    <col min="9734" max="9734" width="17.1796875" style="4" customWidth="1"/>
    <col min="9735" max="9735" width="23.81640625" style="4" customWidth="1"/>
    <col min="9736" max="9736" width="23" style="4" customWidth="1"/>
    <col min="9737" max="9984" width="9.1796875" style="4"/>
    <col min="9985" max="9985" width="9.453125" style="4" customWidth="1"/>
    <col min="9986" max="9986" width="14.453125" style="4" customWidth="1"/>
    <col min="9987" max="9987" width="9.1796875" style="4"/>
    <col min="9988" max="9988" width="18.1796875" style="4" customWidth="1"/>
    <col min="9989" max="9989" width="17" style="4" customWidth="1"/>
    <col min="9990" max="9990" width="17.1796875" style="4" customWidth="1"/>
    <col min="9991" max="9991" width="23.81640625" style="4" customWidth="1"/>
    <col min="9992" max="9992" width="23" style="4" customWidth="1"/>
    <col min="9993" max="10240" width="9.1796875" style="4"/>
    <col min="10241" max="10241" width="9.453125" style="4" customWidth="1"/>
    <col min="10242" max="10242" width="14.453125" style="4" customWidth="1"/>
    <col min="10243" max="10243" width="9.1796875" style="4"/>
    <col min="10244" max="10244" width="18.1796875" style="4" customWidth="1"/>
    <col min="10245" max="10245" width="17" style="4" customWidth="1"/>
    <col min="10246" max="10246" width="17.1796875" style="4" customWidth="1"/>
    <col min="10247" max="10247" width="23.81640625" style="4" customWidth="1"/>
    <col min="10248" max="10248" width="23" style="4" customWidth="1"/>
    <col min="10249" max="10496" width="9.1796875" style="4"/>
    <col min="10497" max="10497" width="9.453125" style="4" customWidth="1"/>
    <col min="10498" max="10498" width="14.453125" style="4" customWidth="1"/>
    <col min="10499" max="10499" width="9.1796875" style="4"/>
    <col min="10500" max="10500" width="18.1796875" style="4" customWidth="1"/>
    <col min="10501" max="10501" width="17" style="4" customWidth="1"/>
    <col min="10502" max="10502" width="17.1796875" style="4" customWidth="1"/>
    <col min="10503" max="10503" width="23.81640625" style="4" customWidth="1"/>
    <col min="10504" max="10504" width="23" style="4" customWidth="1"/>
    <col min="10505" max="10752" width="9.1796875" style="4"/>
    <col min="10753" max="10753" width="9.453125" style="4" customWidth="1"/>
    <col min="10754" max="10754" width="14.453125" style="4" customWidth="1"/>
    <col min="10755" max="10755" width="9.1796875" style="4"/>
    <col min="10756" max="10756" width="18.1796875" style="4" customWidth="1"/>
    <col min="10757" max="10757" width="17" style="4" customWidth="1"/>
    <col min="10758" max="10758" width="17.1796875" style="4" customWidth="1"/>
    <col min="10759" max="10759" width="23.81640625" style="4" customWidth="1"/>
    <col min="10760" max="10760" width="23" style="4" customWidth="1"/>
    <col min="10761" max="11008" width="9.1796875" style="4"/>
    <col min="11009" max="11009" width="9.453125" style="4" customWidth="1"/>
    <col min="11010" max="11010" width="14.453125" style="4" customWidth="1"/>
    <col min="11011" max="11011" width="9.1796875" style="4"/>
    <col min="11012" max="11012" width="18.1796875" style="4" customWidth="1"/>
    <col min="11013" max="11013" width="17" style="4" customWidth="1"/>
    <col min="11014" max="11014" width="17.1796875" style="4" customWidth="1"/>
    <col min="11015" max="11015" width="23.81640625" style="4" customWidth="1"/>
    <col min="11016" max="11016" width="23" style="4" customWidth="1"/>
    <col min="11017" max="11264" width="9.1796875" style="4"/>
    <col min="11265" max="11265" width="9.453125" style="4" customWidth="1"/>
    <col min="11266" max="11266" width="14.453125" style="4" customWidth="1"/>
    <col min="11267" max="11267" width="9.1796875" style="4"/>
    <col min="11268" max="11268" width="18.1796875" style="4" customWidth="1"/>
    <col min="11269" max="11269" width="17" style="4" customWidth="1"/>
    <col min="11270" max="11270" width="17.1796875" style="4" customWidth="1"/>
    <col min="11271" max="11271" width="23.81640625" style="4" customWidth="1"/>
    <col min="11272" max="11272" width="23" style="4" customWidth="1"/>
    <col min="11273" max="11520" width="9.1796875" style="4"/>
    <col min="11521" max="11521" width="9.453125" style="4" customWidth="1"/>
    <col min="11522" max="11522" width="14.453125" style="4" customWidth="1"/>
    <col min="11523" max="11523" width="9.1796875" style="4"/>
    <col min="11524" max="11524" width="18.1796875" style="4" customWidth="1"/>
    <col min="11525" max="11525" width="17" style="4" customWidth="1"/>
    <col min="11526" max="11526" width="17.1796875" style="4" customWidth="1"/>
    <col min="11527" max="11527" width="23.81640625" style="4" customWidth="1"/>
    <col min="11528" max="11528" width="23" style="4" customWidth="1"/>
    <col min="11529" max="11776" width="9.1796875" style="4"/>
    <col min="11777" max="11777" width="9.453125" style="4" customWidth="1"/>
    <col min="11778" max="11778" width="14.453125" style="4" customWidth="1"/>
    <col min="11779" max="11779" width="9.1796875" style="4"/>
    <col min="11780" max="11780" width="18.1796875" style="4" customWidth="1"/>
    <col min="11781" max="11781" width="17" style="4" customWidth="1"/>
    <col min="11782" max="11782" width="17.1796875" style="4" customWidth="1"/>
    <col min="11783" max="11783" width="23.81640625" style="4" customWidth="1"/>
    <col min="11784" max="11784" width="23" style="4" customWidth="1"/>
    <col min="11785" max="12032" width="9.1796875" style="4"/>
    <col min="12033" max="12033" width="9.453125" style="4" customWidth="1"/>
    <col min="12034" max="12034" width="14.453125" style="4" customWidth="1"/>
    <col min="12035" max="12035" width="9.1796875" style="4"/>
    <col min="12036" max="12036" width="18.1796875" style="4" customWidth="1"/>
    <col min="12037" max="12037" width="17" style="4" customWidth="1"/>
    <col min="12038" max="12038" width="17.1796875" style="4" customWidth="1"/>
    <col min="12039" max="12039" width="23.81640625" style="4" customWidth="1"/>
    <col min="12040" max="12040" width="23" style="4" customWidth="1"/>
    <col min="12041" max="12288" width="9.1796875" style="4"/>
    <col min="12289" max="12289" width="9.453125" style="4" customWidth="1"/>
    <col min="12290" max="12290" width="14.453125" style="4" customWidth="1"/>
    <col min="12291" max="12291" width="9.1796875" style="4"/>
    <col min="12292" max="12292" width="18.1796875" style="4" customWidth="1"/>
    <col min="12293" max="12293" width="17" style="4" customWidth="1"/>
    <col min="12294" max="12294" width="17.1796875" style="4" customWidth="1"/>
    <col min="12295" max="12295" width="23.81640625" style="4" customWidth="1"/>
    <col min="12296" max="12296" width="23" style="4" customWidth="1"/>
    <col min="12297" max="12544" width="9.1796875" style="4"/>
    <col min="12545" max="12545" width="9.453125" style="4" customWidth="1"/>
    <col min="12546" max="12546" width="14.453125" style="4" customWidth="1"/>
    <col min="12547" max="12547" width="9.1796875" style="4"/>
    <col min="12548" max="12548" width="18.1796875" style="4" customWidth="1"/>
    <col min="12549" max="12549" width="17" style="4" customWidth="1"/>
    <col min="12550" max="12550" width="17.1796875" style="4" customWidth="1"/>
    <col min="12551" max="12551" width="23.81640625" style="4" customWidth="1"/>
    <col min="12552" max="12552" width="23" style="4" customWidth="1"/>
    <col min="12553" max="12800" width="9.1796875" style="4"/>
    <col min="12801" max="12801" width="9.453125" style="4" customWidth="1"/>
    <col min="12802" max="12802" width="14.453125" style="4" customWidth="1"/>
    <col min="12803" max="12803" width="9.1796875" style="4"/>
    <col min="12804" max="12804" width="18.1796875" style="4" customWidth="1"/>
    <col min="12805" max="12805" width="17" style="4" customWidth="1"/>
    <col min="12806" max="12806" width="17.1796875" style="4" customWidth="1"/>
    <col min="12807" max="12807" width="23.81640625" style="4" customWidth="1"/>
    <col min="12808" max="12808" width="23" style="4" customWidth="1"/>
    <col min="12809" max="13056" width="9.1796875" style="4"/>
    <col min="13057" max="13057" width="9.453125" style="4" customWidth="1"/>
    <col min="13058" max="13058" width="14.453125" style="4" customWidth="1"/>
    <col min="13059" max="13059" width="9.1796875" style="4"/>
    <col min="13060" max="13060" width="18.1796875" style="4" customWidth="1"/>
    <col min="13061" max="13061" width="17" style="4" customWidth="1"/>
    <col min="13062" max="13062" width="17.1796875" style="4" customWidth="1"/>
    <col min="13063" max="13063" width="23.81640625" style="4" customWidth="1"/>
    <col min="13064" max="13064" width="23" style="4" customWidth="1"/>
    <col min="13065" max="13312" width="9.1796875" style="4"/>
    <col min="13313" max="13313" width="9.453125" style="4" customWidth="1"/>
    <col min="13314" max="13314" width="14.453125" style="4" customWidth="1"/>
    <col min="13315" max="13315" width="9.1796875" style="4"/>
    <col min="13316" max="13316" width="18.1796875" style="4" customWidth="1"/>
    <col min="13317" max="13317" width="17" style="4" customWidth="1"/>
    <col min="13318" max="13318" width="17.1796875" style="4" customWidth="1"/>
    <col min="13319" max="13319" width="23.81640625" style="4" customWidth="1"/>
    <col min="13320" max="13320" width="23" style="4" customWidth="1"/>
    <col min="13321" max="13568" width="9.1796875" style="4"/>
    <col min="13569" max="13569" width="9.453125" style="4" customWidth="1"/>
    <col min="13570" max="13570" width="14.453125" style="4" customWidth="1"/>
    <col min="13571" max="13571" width="9.1796875" style="4"/>
    <col min="13572" max="13572" width="18.1796875" style="4" customWidth="1"/>
    <col min="13573" max="13573" width="17" style="4" customWidth="1"/>
    <col min="13574" max="13574" width="17.1796875" style="4" customWidth="1"/>
    <col min="13575" max="13575" width="23.81640625" style="4" customWidth="1"/>
    <col min="13576" max="13576" width="23" style="4" customWidth="1"/>
    <col min="13577" max="13824" width="9.1796875" style="4"/>
    <col min="13825" max="13825" width="9.453125" style="4" customWidth="1"/>
    <col min="13826" max="13826" width="14.453125" style="4" customWidth="1"/>
    <col min="13827" max="13827" width="9.1796875" style="4"/>
    <col min="13828" max="13828" width="18.1796875" style="4" customWidth="1"/>
    <col min="13829" max="13829" width="17" style="4" customWidth="1"/>
    <col min="13830" max="13830" width="17.1796875" style="4" customWidth="1"/>
    <col min="13831" max="13831" width="23.81640625" style="4" customWidth="1"/>
    <col min="13832" max="13832" width="23" style="4" customWidth="1"/>
    <col min="13833" max="14080" width="9.1796875" style="4"/>
    <col min="14081" max="14081" width="9.453125" style="4" customWidth="1"/>
    <col min="14082" max="14082" width="14.453125" style="4" customWidth="1"/>
    <col min="14083" max="14083" width="9.1796875" style="4"/>
    <col min="14084" max="14084" width="18.1796875" style="4" customWidth="1"/>
    <col min="14085" max="14085" width="17" style="4" customWidth="1"/>
    <col min="14086" max="14086" width="17.1796875" style="4" customWidth="1"/>
    <col min="14087" max="14087" width="23.81640625" style="4" customWidth="1"/>
    <col min="14088" max="14088" width="23" style="4" customWidth="1"/>
    <col min="14089" max="14336" width="9.1796875" style="4"/>
    <col min="14337" max="14337" width="9.453125" style="4" customWidth="1"/>
    <col min="14338" max="14338" width="14.453125" style="4" customWidth="1"/>
    <col min="14339" max="14339" width="9.1796875" style="4"/>
    <col min="14340" max="14340" width="18.1796875" style="4" customWidth="1"/>
    <col min="14341" max="14341" width="17" style="4" customWidth="1"/>
    <col min="14342" max="14342" width="17.1796875" style="4" customWidth="1"/>
    <col min="14343" max="14343" width="23.81640625" style="4" customWidth="1"/>
    <col min="14344" max="14344" width="23" style="4" customWidth="1"/>
    <col min="14345" max="14592" width="9.1796875" style="4"/>
    <col min="14593" max="14593" width="9.453125" style="4" customWidth="1"/>
    <col min="14594" max="14594" width="14.453125" style="4" customWidth="1"/>
    <col min="14595" max="14595" width="9.1796875" style="4"/>
    <col min="14596" max="14596" width="18.1796875" style="4" customWidth="1"/>
    <col min="14597" max="14597" width="17" style="4" customWidth="1"/>
    <col min="14598" max="14598" width="17.1796875" style="4" customWidth="1"/>
    <col min="14599" max="14599" width="23.81640625" style="4" customWidth="1"/>
    <col min="14600" max="14600" width="23" style="4" customWidth="1"/>
    <col min="14601" max="14848" width="9.1796875" style="4"/>
    <col min="14849" max="14849" width="9.453125" style="4" customWidth="1"/>
    <col min="14850" max="14850" width="14.453125" style="4" customWidth="1"/>
    <col min="14851" max="14851" width="9.1796875" style="4"/>
    <col min="14852" max="14852" width="18.1796875" style="4" customWidth="1"/>
    <col min="14853" max="14853" width="17" style="4" customWidth="1"/>
    <col min="14854" max="14854" width="17.1796875" style="4" customWidth="1"/>
    <col min="14855" max="14855" width="23.81640625" style="4" customWidth="1"/>
    <col min="14856" max="14856" width="23" style="4" customWidth="1"/>
    <col min="14857" max="15104" width="9.1796875" style="4"/>
    <col min="15105" max="15105" width="9.453125" style="4" customWidth="1"/>
    <col min="15106" max="15106" width="14.453125" style="4" customWidth="1"/>
    <col min="15107" max="15107" width="9.1796875" style="4"/>
    <col min="15108" max="15108" width="18.1796875" style="4" customWidth="1"/>
    <col min="15109" max="15109" width="17" style="4" customWidth="1"/>
    <col min="15110" max="15110" width="17.1796875" style="4" customWidth="1"/>
    <col min="15111" max="15111" width="23.81640625" style="4" customWidth="1"/>
    <col min="15112" max="15112" width="23" style="4" customWidth="1"/>
    <col min="15113" max="15360" width="9.1796875" style="4"/>
    <col min="15361" max="15361" width="9.453125" style="4" customWidth="1"/>
    <col min="15362" max="15362" width="14.453125" style="4" customWidth="1"/>
    <col min="15363" max="15363" width="9.1796875" style="4"/>
    <col min="15364" max="15364" width="18.1796875" style="4" customWidth="1"/>
    <col min="15365" max="15365" width="17" style="4" customWidth="1"/>
    <col min="15366" max="15366" width="17.1796875" style="4" customWidth="1"/>
    <col min="15367" max="15367" width="23.81640625" style="4" customWidth="1"/>
    <col min="15368" max="15368" width="23" style="4" customWidth="1"/>
    <col min="15369" max="15616" width="9.1796875" style="4"/>
    <col min="15617" max="15617" width="9.453125" style="4" customWidth="1"/>
    <col min="15618" max="15618" width="14.453125" style="4" customWidth="1"/>
    <col min="15619" max="15619" width="9.1796875" style="4"/>
    <col min="15620" max="15620" width="18.1796875" style="4" customWidth="1"/>
    <col min="15621" max="15621" width="17" style="4" customWidth="1"/>
    <col min="15622" max="15622" width="17.1796875" style="4" customWidth="1"/>
    <col min="15623" max="15623" width="23.81640625" style="4" customWidth="1"/>
    <col min="15624" max="15624" width="23" style="4" customWidth="1"/>
    <col min="15625" max="15872" width="9.1796875" style="4"/>
    <col min="15873" max="15873" width="9.453125" style="4" customWidth="1"/>
    <col min="15874" max="15874" width="14.453125" style="4" customWidth="1"/>
    <col min="15875" max="15875" width="9.1796875" style="4"/>
    <col min="15876" max="15876" width="18.1796875" style="4" customWidth="1"/>
    <col min="15877" max="15877" width="17" style="4" customWidth="1"/>
    <col min="15878" max="15878" width="17.1796875" style="4" customWidth="1"/>
    <col min="15879" max="15879" width="23.81640625" style="4" customWidth="1"/>
    <col min="15880" max="15880" width="23" style="4" customWidth="1"/>
    <col min="15881" max="16128" width="9.1796875" style="4"/>
    <col min="16129" max="16129" width="9.453125" style="4" customWidth="1"/>
    <col min="16130" max="16130" width="14.453125" style="4" customWidth="1"/>
    <col min="16131" max="16131" width="9.1796875" style="4"/>
    <col min="16132" max="16132" width="18.1796875" style="4" customWidth="1"/>
    <col min="16133" max="16133" width="17" style="4" customWidth="1"/>
    <col min="16134" max="16134" width="17.1796875" style="4" customWidth="1"/>
    <col min="16135" max="16135" width="23.81640625" style="4" customWidth="1"/>
    <col min="16136" max="16136" width="23" style="4" customWidth="1"/>
    <col min="16137" max="16384" width="9.1796875" style="4"/>
  </cols>
  <sheetData>
    <row r="1" spans="1:10" ht="24.75" customHeight="1">
      <c r="A1" s="309" t="s">
        <v>13</v>
      </c>
      <c r="B1" s="309"/>
      <c r="C1" s="309"/>
      <c r="D1" s="309"/>
      <c r="E1" s="309"/>
      <c r="F1" s="4" t="s">
        <v>14</v>
      </c>
    </row>
    <row r="2" spans="1:10" ht="24" customHeight="1">
      <c r="A2" s="309" t="s">
        <v>15</v>
      </c>
      <c r="B2" s="309"/>
      <c r="C2" s="309"/>
      <c r="D2" s="309"/>
      <c r="E2" s="309"/>
      <c r="F2" s="4" t="s">
        <v>16</v>
      </c>
    </row>
    <row r="4" spans="1:10" ht="24.75" customHeight="1">
      <c r="A4" s="4" t="s">
        <v>17</v>
      </c>
      <c r="D4" s="4" t="s">
        <v>18</v>
      </c>
    </row>
    <row r="5" spans="1:10">
      <c r="A5" s="4" t="s">
        <v>19</v>
      </c>
      <c r="D5" s="4" t="s">
        <v>20</v>
      </c>
    </row>
    <row r="6" spans="1:10" ht="24.75" customHeight="1">
      <c r="A6" s="4" t="s">
        <v>21</v>
      </c>
      <c r="B6" s="4" t="s">
        <v>22</v>
      </c>
      <c r="D6" s="4" t="s">
        <v>23</v>
      </c>
    </row>
    <row r="7" spans="1:10">
      <c r="A7" s="4" t="s">
        <v>24</v>
      </c>
      <c r="D7" s="4" t="s">
        <v>25</v>
      </c>
    </row>
    <row r="8" spans="1:10" ht="24.75" customHeight="1">
      <c r="A8" s="4" t="s">
        <v>26</v>
      </c>
      <c r="D8" s="4" t="s">
        <v>27</v>
      </c>
      <c r="J8" s="4">
        <f>23*6</f>
        <v>138</v>
      </c>
    </row>
    <row r="9" spans="1:10">
      <c r="A9" s="4" t="s">
        <v>28</v>
      </c>
      <c r="D9" s="4" t="s">
        <v>29</v>
      </c>
    </row>
    <row r="10" spans="1:10" ht="18.75" customHeight="1">
      <c r="A10" s="4" t="s">
        <v>30</v>
      </c>
      <c r="F10" s="4" t="s">
        <v>31</v>
      </c>
    </row>
    <row r="11" spans="1:10">
      <c r="A11" s="4" t="s">
        <v>32</v>
      </c>
      <c r="F11" s="4" t="s">
        <v>33</v>
      </c>
    </row>
    <row r="12" spans="1:10" ht="18.75" customHeight="1">
      <c r="A12" s="4" t="s">
        <v>34</v>
      </c>
    </row>
    <row r="13" spans="1:10">
      <c r="A13" s="4" t="s">
        <v>35</v>
      </c>
    </row>
    <row r="14" spans="1:10" ht="23.25" customHeight="1">
      <c r="A14" s="310" t="s">
        <v>36</v>
      </c>
      <c r="B14" s="310"/>
      <c r="C14" s="310"/>
      <c r="D14" s="310"/>
      <c r="E14" s="310"/>
      <c r="F14" s="310"/>
      <c r="G14" s="310"/>
      <c r="H14" s="310"/>
    </row>
    <row r="15" spans="1:10" ht="22.5" customHeight="1">
      <c r="A15" s="5" t="s">
        <v>37</v>
      </c>
      <c r="B15" s="311" t="s">
        <v>38</v>
      </c>
      <c r="C15" s="311"/>
      <c r="D15" s="311" t="s">
        <v>39</v>
      </c>
      <c r="E15" s="311"/>
      <c r="F15" s="5" t="s">
        <v>40</v>
      </c>
      <c r="G15" s="5" t="s">
        <v>41</v>
      </c>
      <c r="H15" s="5" t="s">
        <v>42</v>
      </c>
    </row>
    <row r="16" spans="1:10" ht="22.5" customHeight="1">
      <c r="A16" s="5">
        <v>1</v>
      </c>
      <c r="B16" s="28" t="s">
        <v>94</v>
      </c>
      <c r="C16" s="29"/>
      <c r="D16" s="30" t="s">
        <v>43</v>
      </c>
      <c r="E16" s="29"/>
      <c r="F16" s="3" t="e">
        <f>H16/G16</f>
        <v>#DIV/0!</v>
      </c>
      <c r="G16" s="31">
        <f>'360'!C25</f>
        <v>0</v>
      </c>
      <c r="H16" s="24">
        <f>'360'!G25</f>
        <v>242</v>
      </c>
    </row>
    <row r="17" spans="1:8" ht="22.5" customHeight="1">
      <c r="A17" s="5">
        <f>+A16+1</f>
        <v>2</v>
      </c>
      <c r="B17" s="28" t="s">
        <v>94</v>
      </c>
      <c r="C17" s="29"/>
      <c r="D17" s="30" t="s">
        <v>43</v>
      </c>
      <c r="E17" s="29"/>
      <c r="F17" s="3" t="e">
        <f t="shared" ref="F17:F80" si="0">H17/G17</f>
        <v>#REF!</v>
      </c>
      <c r="G17" s="31" t="e">
        <f>'360'!#REF!</f>
        <v>#REF!</v>
      </c>
      <c r="H17" s="24" t="e">
        <f>'360'!#REF!</f>
        <v>#REF!</v>
      </c>
    </row>
    <row r="18" spans="1:8" ht="22.5" customHeight="1">
      <c r="A18" s="5">
        <f t="shared" ref="A18:A81" si="1">+A17+1</f>
        <v>3</v>
      </c>
      <c r="B18" s="28" t="s">
        <v>94</v>
      </c>
      <c r="C18" s="29"/>
      <c r="D18" s="30" t="s">
        <v>43</v>
      </c>
      <c r="E18" s="29"/>
      <c r="F18" s="3" t="e">
        <f t="shared" si="0"/>
        <v>#REF!</v>
      </c>
      <c r="G18" s="31" t="e">
        <f>'360'!#REF!</f>
        <v>#REF!</v>
      </c>
      <c r="H18" s="24" t="e">
        <f>'360'!#REF!</f>
        <v>#REF!</v>
      </c>
    </row>
    <row r="19" spans="1:8" ht="22.5" customHeight="1">
      <c r="A19" s="5">
        <f t="shared" si="1"/>
        <v>4</v>
      </c>
      <c r="B19" s="28" t="s">
        <v>94</v>
      </c>
      <c r="C19" s="29"/>
      <c r="D19" s="30" t="s">
        <v>43</v>
      </c>
      <c r="E19" s="29"/>
      <c r="F19" s="3" t="e">
        <f t="shared" si="0"/>
        <v>#REF!</v>
      </c>
      <c r="G19" s="31" t="e">
        <f>'360'!#REF!</f>
        <v>#REF!</v>
      </c>
      <c r="H19" s="24" t="e">
        <f>'360'!#REF!</f>
        <v>#REF!</v>
      </c>
    </row>
    <row r="20" spans="1:8" ht="22.5" customHeight="1">
      <c r="A20" s="5">
        <f t="shared" si="1"/>
        <v>5</v>
      </c>
      <c r="B20" s="28" t="s">
        <v>94</v>
      </c>
      <c r="C20" s="29"/>
      <c r="D20" s="30" t="s">
        <v>43</v>
      </c>
      <c r="E20" s="29"/>
      <c r="F20" s="3" t="e">
        <f t="shared" si="0"/>
        <v>#REF!</v>
      </c>
      <c r="G20" s="31" t="e">
        <f>'360'!#REF!</f>
        <v>#REF!</v>
      </c>
      <c r="H20" s="24" t="e">
        <f>'360'!#REF!</f>
        <v>#REF!</v>
      </c>
    </row>
    <row r="21" spans="1:8" ht="22.5" customHeight="1">
      <c r="A21" s="5">
        <f t="shared" si="1"/>
        <v>6</v>
      </c>
      <c r="B21" s="28" t="s">
        <v>94</v>
      </c>
      <c r="C21" s="29"/>
      <c r="D21" s="30" t="s">
        <v>43</v>
      </c>
      <c r="E21" s="29"/>
      <c r="F21" s="3" t="e">
        <f t="shared" si="0"/>
        <v>#REF!</v>
      </c>
      <c r="G21" s="31" t="e">
        <f>'360'!#REF!</f>
        <v>#REF!</v>
      </c>
      <c r="H21" s="24" t="e">
        <f>'360'!#REF!</f>
        <v>#REF!</v>
      </c>
    </row>
    <row r="22" spans="1:8" ht="22.5" customHeight="1">
      <c r="A22" s="5">
        <f t="shared" si="1"/>
        <v>7</v>
      </c>
      <c r="B22" s="28" t="s">
        <v>94</v>
      </c>
      <c r="C22" s="29"/>
      <c r="D22" s="30" t="s">
        <v>43</v>
      </c>
      <c r="E22" s="29"/>
      <c r="F22" s="3" t="e">
        <f t="shared" si="0"/>
        <v>#REF!</v>
      </c>
      <c r="G22" s="31" t="e">
        <f>'360'!#REF!</f>
        <v>#REF!</v>
      </c>
      <c r="H22" s="24" t="e">
        <f>'360'!#REF!</f>
        <v>#REF!</v>
      </c>
    </row>
    <row r="23" spans="1:8" ht="22.5" customHeight="1">
      <c r="A23" s="5">
        <f t="shared" si="1"/>
        <v>8</v>
      </c>
      <c r="B23" s="28" t="s">
        <v>94</v>
      </c>
      <c r="C23" s="29"/>
      <c r="D23" s="30" t="s">
        <v>43</v>
      </c>
      <c r="E23" s="29"/>
      <c r="F23" s="3" t="e">
        <f t="shared" si="0"/>
        <v>#REF!</v>
      </c>
      <c r="G23" s="31" t="e">
        <f>'360'!#REF!</f>
        <v>#REF!</v>
      </c>
      <c r="H23" s="24" t="e">
        <f>'360'!#REF!</f>
        <v>#REF!</v>
      </c>
    </row>
    <row r="24" spans="1:8" ht="22.5" customHeight="1">
      <c r="A24" s="5">
        <f t="shared" si="1"/>
        <v>9</v>
      </c>
      <c r="B24" s="28" t="s">
        <v>94</v>
      </c>
      <c r="C24" s="29"/>
      <c r="D24" s="30" t="s">
        <v>43</v>
      </c>
      <c r="E24" s="29"/>
      <c r="F24" s="3" t="e">
        <f t="shared" si="0"/>
        <v>#REF!</v>
      </c>
      <c r="G24" s="31" t="e">
        <f>'360'!#REF!</f>
        <v>#REF!</v>
      </c>
      <c r="H24" s="24" t="e">
        <f>'360'!#REF!</f>
        <v>#REF!</v>
      </c>
    </row>
    <row r="25" spans="1:8" ht="22.5" customHeight="1">
      <c r="A25" s="5">
        <f t="shared" si="1"/>
        <v>10</v>
      </c>
      <c r="B25" s="28" t="s">
        <v>94</v>
      </c>
      <c r="C25" s="29"/>
      <c r="D25" s="30" t="s">
        <v>43</v>
      </c>
      <c r="E25" s="29"/>
      <c r="F25" s="3" t="e">
        <f t="shared" si="0"/>
        <v>#REF!</v>
      </c>
      <c r="G25" s="31" t="e">
        <f>'360'!#REF!</f>
        <v>#REF!</v>
      </c>
      <c r="H25" s="24" t="e">
        <f>'360'!#REF!</f>
        <v>#REF!</v>
      </c>
    </row>
    <row r="26" spans="1:8" ht="22.5" customHeight="1">
      <c r="A26" s="5">
        <f t="shared" si="1"/>
        <v>11</v>
      </c>
      <c r="B26" s="28" t="s">
        <v>94</v>
      </c>
      <c r="C26" s="29"/>
      <c r="D26" s="30" t="s">
        <v>43</v>
      </c>
      <c r="E26" s="29"/>
      <c r="F26" s="3" t="e">
        <f t="shared" si="0"/>
        <v>#REF!</v>
      </c>
      <c r="G26" s="31" t="e">
        <f>'360'!#REF!</f>
        <v>#REF!</v>
      </c>
      <c r="H26" s="24" t="e">
        <f>'360'!#REF!</f>
        <v>#REF!</v>
      </c>
    </row>
    <row r="27" spans="1:8" ht="22.5" customHeight="1">
      <c r="A27" s="5">
        <f t="shared" si="1"/>
        <v>12</v>
      </c>
      <c r="B27" s="28" t="s">
        <v>94</v>
      </c>
      <c r="C27" s="29"/>
      <c r="D27" s="30" t="s">
        <v>43</v>
      </c>
      <c r="E27" s="29"/>
      <c r="F27" s="3" t="e">
        <f t="shared" si="0"/>
        <v>#REF!</v>
      </c>
      <c r="G27" s="31" t="e">
        <f>'360'!#REF!</f>
        <v>#REF!</v>
      </c>
      <c r="H27" s="24" t="e">
        <f>'360'!#REF!</f>
        <v>#REF!</v>
      </c>
    </row>
    <row r="28" spans="1:8" ht="22.5" customHeight="1">
      <c r="A28" s="5">
        <f t="shared" si="1"/>
        <v>13</v>
      </c>
      <c r="B28" s="28" t="s">
        <v>94</v>
      </c>
      <c r="C28" s="29"/>
      <c r="D28" s="30" t="s">
        <v>43</v>
      </c>
      <c r="E28" s="29"/>
      <c r="F28" s="3" t="e">
        <f t="shared" si="0"/>
        <v>#REF!</v>
      </c>
      <c r="G28" s="31" t="e">
        <f>'360'!#REF!</f>
        <v>#REF!</v>
      </c>
      <c r="H28" s="24" t="e">
        <f>'360'!#REF!</f>
        <v>#REF!</v>
      </c>
    </row>
    <row r="29" spans="1:8" ht="22.5" customHeight="1">
      <c r="A29" s="5">
        <f t="shared" si="1"/>
        <v>14</v>
      </c>
      <c r="B29" s="28" t="s">
        <v>94</v>
      </c>
      <c r="C29" s="29"/>
      <c r="D29" s="30" t="s">
        <v>43</v>
      </c>
      <c r="E29" s="29"/>
      <c r="F29" s="3" t="e">
        <f t="shared" si="0"/>
        <v>#REF!</v>
      </c>
      <c r="G29" s="31" t="e">
        <f>'360'!#REF!</f>
        <v>#REF!</v>
      </c>
      <c r="H29" s="24" t="e">
        <f>'360'!#REF!</f>
        <v>#REF!</v>
      </c>
    </row>
    <row r="30" spans="1:8" ht="22.5" customHeight="1">
      <c r="A30" s="5">
        <f t="shared" si="1"/>
        <v>15</v>
      </c>
      <c r="B30" s="28" t="s">
        <v>94</v>
      </c>
      <c r="C30" s="29"/>
      <c r="D30" s="30" t="s">
        <v>43</v>
      </c>
      <c r="E30" s="29"/>
      <c r="F30" s="3" t="e">
        <f t="shared" si="0"/>
        <v>#REF!</v>
      </c>
      <c r="G30" s="31" t="e">
        <f>'360'!#REF!</f>
        <v>#REF!</v>
      </c>
      <c r="H30" s="24" t="e">
        <f>'360'!#REF!</f>
        <v>#REF!</v>
      </c>
    </row>
    <row r="31" spans="1:8" ht="22.5" customHeight="1">
      <c r="A31" s="5">
        <f t="shared" si="1"/>
        <v>16</v>
      </c>
      <c r="B31" s="28" t="s">
        <v>94</v>
      </c>
      <c r="C31" s="29"/>
      <c r="D31" s="30" t="s">
        <v>43</v>
      </c>
      <c r="E31" s="29"/>
      <c r="F31" s="3" t="e">
        <f t="shared" si="0"/>
        <v>#REF!</v>
      </c>
      <c r="G31" s="31" t="e">
        <f>'360'!#REF!</f>
        <v>#REF!</v>
      </c>
      <c r="H31" s="24" t="e">
        <f>'360'!#REF!</f>
        <v>#REF!</v>
      </c>
    </row>
    <row r="32" spans="1:8" ht="22.5" customHeight="1">
      <c r="A32" s="5">
        <f t="shared" si="1"/>
        <v>17</v>
      </c>
      <c r="B32" s="28" t="s">
        <v>94</v>
      </c>
      <c r="C32" s="29"/>
      <c r="D32" s="30" t="s">
        <v>43</v>
      </c>
      <c r="E32" s="29"/>
      <c r="F32" s="3" t="e">
        <f t="shared" si="0"/>
        <v>#REF!</v>
      </c>
      <c r="G32" s="31" t="e">
        <f>'360'!#REF!</f>
        <v>#REF!</v>
      </c>
      <c r="H32" s="24" t="e">
        <f>'360'!#REF!</f>
        <v>#REF!</v>
      </c>
    </row>
    <row r="33" spans="1:8" ht="22.5" customHeight="1">
      <c r="A33" s="5">
        <f t="shared" si="1"/>
        <v>18</v>
      </c>
      <c r="B33" s="28" t="s">
        <v>94</v>
      </c>
      <c r="C33" s="29"/>
      <c r="D33" s="30" t="s">
        <v>43</v>
      </c>
      <c r="E33" s="29"/>
      <c r="F33" s="3" t="e">
        <f t="shared" si="0"/>
        <v>#REF!</v>
      </c>
      <c r="G33" s="31" t="e">
        <f>'360'!#REF!</f>
        <v>#REF!</v>
      </c>
      <c r="H33" s="24" t="e">
        <f>'360'!#REF!</f>
        <v>#REF!</v>
      </c>
    </row>
    <row r="34" spans="1:8" ht="22.5" customHeight="1">
      <c r="A34" s="5">
        <f t="shared" si="1"/>
        <v>19</v>
      </c>
      <c r="B34" s="28" t="s">
        <v>94</v>
      </c>
      <c r="C34" s="29"/>
      <c r="D34" s="30" t="s">
        <v>43</v>
      </c>
      <c r="E34" s="29"/>
      <c r="F34" s="3" t="e">
        <f t="shared" si="0"/>
        <v>#REF!</v>
      </c>
      <c r="G34" s="31" t="e">
        <f>'360'!#REF!</f>
        <v>#REF!</v>
      </c>
      <c r="H34" s="24" t="e">
        <f>'360'!#REF!</f>
        <v>#REF!</v>
      </c>
    </row>
    <row r="35" spans="1:8" ht="22.5" customHeight="1">
      <c r="A35" s="5">
        <f t="shared" si="1"/>
        <v>20</v>
      </c>
      <c r="B35" s="28" t="s">
        <v>94</v>
      </c>
      <c r="C35" s="29"/>
      <c r="D35" s="30" t="s">
        <v>43</v>
      </c>
      <c r="E35" s="29"/>
      <c r="F35" s="3" t="e">
        <f t="shared" si="0"/>
        <v>#REF!</v>
      </c>
      <c r="G35" s="31" t="e">
        <f>'360'!#REF!</f>
        <v>#REF!</v>
      </c>
      <c r="H35" s="24" t="e">
        <f>'360'!#REF!</f>
        <v>#REF!</v>
      </c>
    </row>
    <row r="36" spans="1:8" ht="22.5" customHeight="1">
      <c r="A36" s="5">
        <f t="shared" si="1"/>
        <v>21</v>
      </c>
      <c r="B36" s="28" t="s">
        <v>94</v>
      </c>
      <c r="C36" s="29"/>
      <c r="D36" s="30" t="s">
        <v>43</v>
      </c>
      <c r="E36" s="29"/>
      <c r="F36" s="3" t="e">
        <f t="shared" si="0"/>
        <v>#REF!</v>
      </c>
      <c r="G36" s="31" t="e">
        <f>'360'!#REF!</f>
        <v>#REF!</v>
      </c>
      <c r="H36" s="24" t="e">
        <f>'360'!#REF!</f>
        <v>#REF!</v>
      </c>
    </row>
    <row r="37" spans="1:8" ht="22.5" customHeight="1">
      <c r="A37" s="5">
        <f t="shared" si="1"/>
        <v>22</v>
      </c>
      <c r="B37" s="28" t="s">
        <v>94</v>
      </c>
      <c r="C37" s="29"/>
      <c r="D37" s="30" t="s">
        <v>43</v>
      </c>
      <c r="E37" s="29"/>
      <c r="F37" s="3" t="e">
        <f t="shared" si="0"/>
        <v>#REF!</v>
      </c>
      <c r="G37" s="31" t="e">
        <f>'360'!#REF!</f>
        <v>#REF!</v>
      </c>
      <c r="H37" s="24" t="e">
        <f>'360'!#REF!</f>
        <v>#REF!</v>
      </c>
    </row>
    <row r="38" spans="1:8" ht="22.5" customHeight="1">
      <c r="A38" s="5">
        <f t="shared" si="1"/>
        <v>23</v>
      </c>
      <c r="B38" s="28" t="s">
        <v>94</v>
      </c>
      <c r="C38" s="29"/>
      <c r="D38" s="30" t="s">
        <v>43</v>
      </c>
      <c r="E38" s="29"/>
      <c r="F38" s="3" t="e">
        <f t="shared" si="0"/>
        <v>#REF!</v>
      </c>
      <c r="G38" s="31" t="e">
        <f>'360'!#REF!</f>
        <v>#REF!</v>
      </c>
      <c r="H38" s="24" t="e">
        <f>'360'!#REF!</f>
        <v>#REF!</v>
      </c>
    </row>
    <row r="39" spans="1:8" ht="22.5" customHeight="1">
      <c r="A39" s="5">
        <f t="shared" si="1"/>
        <v>24</v>
      </c>
      <c r="B39" s="28" t="s">
        <v>94</v>
      </c>
      <c r="C39" s="29"/>
      <c r="D39" s="30" t="s">
        <v>43</v>
      </c>
      <c r="E39" s="29"/>
      <c r="F39" s="3" t="e">
        <f t="shared" si="0"/>
        <v>#REF!</v>
      </c>
      <c r="G39" s="31" t="e">
        <f>'360'!#REF!</f>
        <v>#REF!</v>
      </c>
      <c r="H39" s="24" t="e">
        <f>'360'!#REF!</f>
        <v>#REF!</v>
      </c>
    </row>
    <row r="40" spans="1:8" ht="22.5" customHeight="1">
      <c r="A40" s="5">
        <f t="shared" si="1"/>
        <v>25</v>
      </c>
      <c r="B40" s="28" t="s">
        <v>94</v>
      </c>
      <c r="C40" s="29"/>
      <c r="D40" s="30" t="s">
        <v>43</v>
      </c>
      <c r="E40" s="29"/>
      <c r="F40" s="3" t="e">
        <f t="shared" si="0"/>
        <v>#REF!</v>
      </c>
      <c r="G40" s="31" t="e">
        <f>'360'!#REF!</f>
        <v>#REF!</v>
      </c>
      <c r="H40" s="24" t="e">
        <f>'360'!#REF!</f>
        <v>#REF!</v>
      </c>
    </row>
    <row r="41" spans="1:8" ht="22.5" customHeight="1">
      <c r="A41" s="5">
        <f t="shared" si="1"/>
        <v>26</v>
      </c>
      <c r="B41" s="28" t="s">
        <v>94</v>
      </c>
      <c r="C41" s="29"/>
      <c r="D41" s="30" t="s">
        <v>43</v>
      </c>
      <c r="E41" s="29"/>
      <c r="F41" s="3" t="e">
        <f t="shared" si="0"/>
        <v>#REF!</v>
      </c>
      <c r="G41" s="31" t="e">
        <f>'360'!#REF!</f>
        <v>#REF!</v>
      </c>
      <c r="H41" s="24" t="e">
        <f>'360'!#REF!</f>
        <v>#REF!</v>
      </c>
    </row>
    <row r="42" spans="1:8" ht="22.5" customHeight="1">
      <c r="A42" s="5">
        <f t="shared" si="1"/>
        <v>27</v>
      </c>
      <c r="B42" s="28" t="s">
        <v>94</v>
      </c>
      <c r="C42" s="29"/>
      <c r="D42" s="30" t="s">
        <v>43</v>
      </c>
      <c r="E42" s="29"/>
      <c r="F42" s="3" t="e">
        <f t="shared" si="0"/>
        <v>#REF!</v>
      </c>
      <c r="G42" s="31" t="e">
        <f>'360'!#REF!</f>
        <v>#REF!</v>
      </c>
      <c r="H42" s="24" t="e">
        <f>'360'!#REF!</f>
        <v>#REF!</v>
      </c>
    </row>
    <row r="43" spans="1:8" ht="22.5" customHeight="1">
      <c r="A43" s="5">
        <f t="shared" si="1"/>
        <v>28</v>
      </c>
      <c r="B43" s="28" t="s">
        <v>94</v>
      </c>
      <c r="C43" s="29"/>
      <c r="D43" s="30" t="s">
        <v>43</v>
      </c>
      <c r="E43" s="29"/>
      <c r="F43" s="3" t="e">
        <f t="shared" si="0"/>
        <v>#REF!</v>
      </c>
      <c r="G43" s="31" t="e">
        <f>'360'!#REF!</f>
        <v>#REF!</v>
      </c>
      <c r="H43" s="24" t="e">
        <f>'360'!#REF!</f>
        <v>#REF!</v>
      </c>
    </row>
    <row r="44" spans="1:8" ht="22.5" customHeight="1">
      <c r="A44" s="5">
        <f t="shared" si="1"/>
        <v>29</v>
      </c>
      <c r="B44" s="28" t="s">
        <v>94</v>
      </c>
      <c r="C44" s="29"/>
      <c r="D44" s="30" t="s">
        <v>43</v>
      </c>
      <c r="E44" s="29"/>
      <c r="F44" s="3" t="e">
        <f t="shared" si="0"/>
        <v>#REF!</v>
      </c>
      <c r="G44" s="31" t="e">
        <f>'360'!#REF!</f>
        <v>#REF!</v>
      </c>
      <c r="H44" s="24" t="e">
        <f>'360'!#REF!</f>
        <v>#REF!</v>
      </c>
    </row>
    <row r="45" spans="1:8" ht="22.5" customHeight="1">
      <c r="A45" s="5">
        <f t="shared" si="1"/>
        <v>30</v>
      </c>
      <c r="B45" s="28" t="s">
        <v>94</v>
      </c>
      <c r="C45" s="29"/>
      <c r="D45" s="30" t="s">
        <v>43</v>
      </c>
      <c r="E45" s="29"/>
      <c r="F45" s="3" t="e">
        <f t="shared" si="0"/>
        <v>#REF!</v>
      </c>
      <c r="G45" s="31" t="e">
        <f>'360'!#REF!</f>
        <v>#REF!</v>
      </c>
      <c r="H45" s="24" t="e">
        <f>'360'!#REF!</f>
        <v>#REF!</v>
      </c>
    </row>
    <row r="46" spans="1:8" ht="22.5" customHeight="1">
      <c r="A46" s="5">
        <f t="shared" si="1"/>
        <v>31</v>
      </c>
      <c r="B46" s="28" t="s">
        <v>94</v>
      </c>
      <c r="C46" s="29"/>
      <c r="D46" s="30" t="s">
        <v>43</v>
      </c>
      <c r="E46" s="29"/>
      <c r="F46" s="3" t="e">
        <f t="shared" si="0"/>
        <v>#REF!</v>
      </c>
      <c r="G46" s="31" t="e">
        <f>'360'!#REF!</f>
        <v>#REF!</v>
      </c>
      <c r="H46" s="24" t="e">
        <f>'360'!#REF!</f>
        <v>#REF!</v>
      </c>
    </row>
    <row r="47" spans="1:8" ht="22.5" customHeight="1">
      <c r="A47" s="5">
        <f t="shared" si="1"/>
        <v>32</v>
      </c>
      <c r="B47" s="28" t="s">
        <v>94</v>
      </c>
      <c r="C47" s="29"/>
      <c r="D47" s="30" t="s">
        <v>43</v>
      </c>
      <c r="E47" s="29"/>
      <c r="F47" s="3" t="e">
        <f t="shared" si="0"/>
        <v>#REF!</v>
      </c>
      <c r="G47" s="31" t="e">
        <f>'360'!#REF!</f>
        <v>#REF!</v>
      </c>
      <c r="H47" s="24" t="e">
        <f>'360'!#REF!</f>
        <v>#REF!</v>
      </c>
    </row>
    <row r="48" spans="1:8" ht="22.5" customHeight="1">
      <c r="A48" s="5">
        <f t="shared" si="1"/>
        <v>33</v>
      </c>
      <c r="B48" s="28" t="s">
        <v>94</v>
      </c>
      <c r="C48" s="29"/>
      <c r="D48" s="30" t="s">
        <v>43</v>
      </c>
      <c r="E48" s="29"/>
      <c r="F48" s="3" t="e">
        <f t="shared" si="0"/>
        <v>#REF!</v>
      </c>
      <c r="G48" s="31" t="e">
        <f>'360'!#REF!</f>
        <v>#REF!</v>
      </c>
      <c r="H48" s="24" t="e">
        <f>'360'!#REF!</f>
        <v>#REF!</v>
      </c>
    </row>
    <row r="49" spans="1:8" ht="22.5" customHeight="1">
      <c r="A49" s="5">
        <f t="shared" si="1"/>
        <v>34</v>
      </c>
      <c r="B49" s="28" t="s">
        <v>94</v>
      </c>
      <c r="C49" s="29"/>
      <c r="D49" s="30" t="s">
        <v>43</v>
      </c>
      <c r="E49" s="29"/>
      <c r="F49" s="3" t="e">
        <f t="shared" si="0"/>
        <v>#REF!</v>
      </c>
      <c r="G49" s="31" t="e">
        <f>'360'!#REF!</f>
        <v>#REF!</v>
      </c>
      <c r="H49" s="24" t="e">
        <f>'360'!#REF!</f>
        <v>#REF!</v>
      </c>
    </row>
    <row r="50" spans="1:8" ht="22.5" customHeight="1">
      <c r="A50" s="5">
        <f t="shared" si="1"/>
        <v>35</v>
      </c>
      <c r="B50" s="28" t="s">
        <v>94</v>
      </c>
      <c r="C50" s="29"/>
      <c r="D50" s="30" t="s">
        <v>43</v>
      </c>
      <c r="E50" s="29"/>
      <c r="F50" s="3" t="e">
        <f t="shared" si="0"/>
        <v>#REF!</v>
      </c>
      <c r="G50" s="31" t="e">
        <f>'360'!#REF!</f>
        <v>#REF!</v>
      </c>
      <c r="H50" s="24" t="e">
        <f>'360'!#REF!</f>
        <v>#REF!</v>
      </c>
    </row>
    <row r="51" spans="1:8" ht="22.5" customHeight="1">
      <c r="A51" s="5">
        <f t="shared" si="1"/>
        <v>36</v>
      </c>
      <c r="B51" s="28" t="s">
        <v>94</v>
      </c>
      <c r="C51" s="29"/>
      <c r="D51" s="30" t="s">
        <v>43</v>
      </c>
      <c r="E51" s="29"/>
      <c r="F51" s="3" t="e">
        <f t="shared" si="0"/>
        <v>#REF!</v>
      </c>
      <c r="G51" s="31" t="e">
        <f>'360'!#REF!</f>
        <v>#REF!</v>
      </c>
      <c r="H51" s="24" t="e">
        <f>'360'!#REF!</f>
        <v>#REF!</v>
      </c>
    </row>
    <row r="52" spans="1:8" ht="22.5" customHeight="1">
      <c r="A52" s="5">
        <f t="shared" si="1"/>
        <v>37</v>
      </c>
      <c r="B52" s="28" t="s">
        <v>94</v>
      </c>
      <c r="C52" s="29"/>
      <c r="D52" s="30" t="s">
        <v>43</v>
      </c>
      <c r="E52" s="29"/>
      <c r="F52" s="3" t="e">
        <f t="shared" si="0"/>
        <v>#REF!</v>
      </c>
      <c r="G52" s="31" t="e">
        <f>'360'!#REF!</f>
        <v>#REF!</v>
      </c>
      <c r="H52" s="24" t="e">
        <f>'360'!#REF!</f>
        <v>#REF!</v>
      </c>
    </row>
    <row r="53" spans="1:8" ht="22.5" customHeight="1">
      <c r="A53" s="5">
        <f t="shared" si="1"/>
        <v>38</v>
      </c>
      <c r="B53" s="28" t="s">
        <v>94</v>
      </c>
      <c r="C53" s="29"/>
      <c r="D53" s="30" t="s">
        <v>43</v>
      </c>
      <c r="E53" s="29"/>
      <c r="F53" s="3" t="e">
        <f t="shared" si="0"/>
        <v>#REF!</v>
      </c>
      <c r="G53" s="31" t="e">
        <f>'360'!#REF!</f>
        <v>#REF!</v>
      </c>
      <c r="H53" s="24" t="e">
        <f>'360'!#REF!</f>
        <v>#REF!</v>
      </c>
    </row>
    <row r="54" spans="1:8" ht="22.5" customHeight="1">
      <c r="A54" s="5">
        <f t="shared" si="1"/>
        <v>39</v>
      </c>
      <c r="B54" s="28" t="s">
        <v>94</v>
      </c>
      <c r="C54" s="29"/>
      <c r="D54" s="30" t="s">
        <v>43</v>
      </c>
      <c r="E54" s="29"/>
      <c r="F54" s="3" t="e">
        <f t="shared" si="0"/>
        <v>#REF!</v>
      </c>
      <c r="G54" s="31" t="e">
        <f>'360'!#REF!</f>
        <v>#REF!</v>
      </c>
      <c r="H54" s="24" t="e">
        <f>'360'!#REF!</f>
        <v>#REF!</v>
      </c>
    </row>
    <row r="55" spans="1:8" ht="22.5" customHeight="1">
      <c r="A55" s="5">
        <f t="shared" si="1"/>
        <v>40</v>
      </c>
      <c r="B55" s="28" t="s">
        <v>94</v>
      </c>
      <c r="C55" s="29"/>
      <c r="D55" s="30" t="s">
        <v>43</v>
      </c>
      <c r="E55" s="29"/>
      <c r="F55" s="3" t="e">
        <f t="shared" si="0"/>
        <v>#REF!</v>
      </c>
      <c r="G55" s="31" t="e">
        <f>'360'!#REF!</f>
        <v>#REF!</v>
      </c>
      <c r="H55" s="24" t="e">
        <f>'360'!#REF!</f>
        <v>#REF!</v>
      </c>
    </row>
    <row r="56" spans="1:8" ht="22.5" customHeight="1">
      <c r="A56" s="5">
        <f t="shared" si="1"/>
        <v>41</v>
      </c>
      <c r="B56" s="28" t="s">
        <v>94</v>
      </c>
      <c r="C56" s="29"/>
      <c r="D56" s="30" t="s">
        <v>43</v>
      </c>
      <c r="E56" s="29"/>
      <c r="F56" s="3" t="e">
        <f t="shared" si="0"/>
        <v>#REF!</v>
      </c>
      <c r="G56" s="31" t="e">
        <f>'360'!#REF!</f>
        <v>#REF!</v>
      </c>
      <c r="H56" s="24" t="e">
        <f>'360'!#REF!</f>
        <v>#REF!</v>
      </c>
    </row>
    <row r="57" spans="1:8" ht="22.5" customHeight="1">
      <c r="A57" s="5">
        <f t="shared" si="1"/>
        <v>42</v>
      </c>
      <c r="B57" s="28" t="s">
        <v>94</v>
      </c>
      <c r="C57" s="29"/>
      <c r="D57" s="30" t="s">
        <v>43</v>
      </c>
      <c r="E57" s="29"/>
      <c r="F57" s="3" t="e">
        <f t="shared" si="0"/>
        <v>#REF!</v>
      </c>
      <c r="G57" s="31" t="e">
        <f>'360'!#REF!</f>
        <v>#REF!</v>
      </c>
      <c r="H57" s="24" t="e">
        <f>'360'!#REF!</f>
        <v>#REF!</v>
      </c>
    </row>
    <row r="58" spans="1:8" ht="22.5" customHeight="1">
      <c r="A58" s="5">
        <f t="shared" si="1"/>
        <v>43</v>
      </c>
      <c r="B58" s="28" t="s">
        <v>94</v>
      </c>
      <c r="C58" s="29"/>
      <c r="D58" s="30" t="s">
        <v>43</v>
      </c>
      <c r="E58" s="29"/>
      <c r="F58" s="3" t="e">
        <f t="shared" si="0"/>
        <v>#REF!</v>
      </c>
      <c r="G58" s="31" t="e">
        <f>'360'!#REF!</f>
        <v>#REF!</v>
      </c>
      <c r="H58" s="24" t="e">
        <f>'360'!#REF!</f>
        <v>#REF!</v>
      </c>
    </row>
    <row r="59" spans="1:8" ht="22.5" customHeight="1">
      <c r="A59" s="5">
        <f t="shared" si="1"/>
        <v>44</v>
      </c>
      <c r="B59" s="28" t="s">
        <v>94</v>
      </c>
      <c r="C59" s="29"/>
      <c r="D59" s="30" t="s">
        <v>43</v>
      </c>
      <c r="E59" s="29"/>
      <c r="F59" s="3" t="e">
        <f t="shared" si="0"/>
        <v>#REF!</v>
      </c>
      <c r="G59" s="31" t="e">
        <f>'360'!#REF!</f>
        <v>#REF!</v>
      </c>
      <c r="H59" s="24" t="e">
        <f>'360'!#REF!</f>
        <v>#REF!</v>
      </c>
    </row>
    <row r="60" spans="1:8" ht="22.5" customHeight="1">
      <c r="A60" s="5">
        <f t="shared" si="1"/>
        <v>45</v>
      </c>
      <c r="B60" s="28" t="s">
        <v>94</v>
      </c>
      <c r="C60" s="29"/>
      <c r="D60" s="30" t="s">
        <v>43</v>
      </c>
      <c r="E60" s="29"/>
      <c r="F60" s="3" t="e">
        <f t="shared" si="0"/>
        <v>#REF!</v>
      </c>
      <c r="G60" s="31" t="e">
        <f>'360'!#REF!</f>
        <v>#REF!</v>
      </c>
      <c r="H60" s="24" t="e">
        <f>'360'!#REF!</f>
        <v>#REF!</v>
      </c>
    </row>
    <row r="61" spans="1:8" ht="22.5" customHeight="1">
      <c r="A61" s="5">
        <f t="shared" si="1"/>
        <v>46</v>
      </c>
      <c r="B61" s="28" t="s">
        <v>94</v>
      </c>
      <c r="C61" s="29"/>
      <c r="D61" s="30" t="s">
        <v>43</v>
      </c>
      <c r="E61" s="29"/>
      <c r="F61" s="3" t="e">
        <f t="shared" si="0"/>
        <v>#REF!</v>
      </c>
      <c r="G61" s="31" t="e">
        <f>'360'!#REF!</f>
        <v>#REF!</v>
      </c>
      <c r="H61" s="24" t="e">
        <f>'360'!#REF!</f>
        <v>#REF!</v>
      </c>
    </row>
    <row r="62" spans="1:8" ht="22.5" customHeight="1">
      <c r="A62" s="5">
        <f t="shared" si="1"/>
        <v>47</v>
      </c>
      <c r="B62" s="28" t="s">
        <v>94</v>
      </c>
      <c r="C62" s="29"/>
      <c r="D62" s="30" t="s">
        <v>43</v>
      </c>
      <c r="E62" s="29"/>
      <c r="F62" s="3" t="e">
        <f t="shared" si="0"/>
        <v>#REF!</v>
      </c>
      <c r="G62" s="31" t="e">
        <f>'360'!#REF!</f>
        <v>#REF!</v>
      </c>
      <c r="H62" s="24" t="e">
        <f>'360'!#REF!</f>
        <v>#REF!</v>
      </c>
    </row>
    <row r="63" spans="1:8" ht="22.5" customHeight="1">
      <c r="A63" s="5">
        <f t="shared" si="1"/>
        <v>48</v>
      </c>
      <c r="B63" s="28" t="s">
        <v>94</v>
      </c>
      <c r="C63" s="29"/>
      <c r="D63" s="30" t="s">
        <v>43</v>
      </c>
      <c r="E63" s="29"/>
      <c r="F63" s="3" t="e">
        <f t="shared" si="0"/>
        <v>#REF!</v>
      </c>
      <c r="G63" s="31" t="e">
        <f>'360'!#REF!</f>
        <v>#REF!</v>
      </c>
      <c r="H63" s="24" t="e">
        <f>'360'!#REF!</f>
        <v>#REF!</v>
      </c>
    </row>
    <row r="64" spans="1:8" ht="22.5" customHeight="1">
      <c r="A64" s="5">
        <f t="shared" si="1"/>
        <v>49</v>
      </c>
      <c r="B64" s="28" t="s">
        <v>94</v>
      </c>
      <c r="C64" s="29"/>
      <c r="D64" s="30" t="s">
        <v>43</v>
      </c>
      <c r="E64" s="29"/>
      <c r="F64" s="3" t="e">
        <f t="shared" si="0"/>
        <v>#REF!</v>
      </c>
      <c r="G64" s="31" t="e">
        <f>'360'!#REF!</f>
        <v>#REF!</v>
      </c>
      <c r="H64" s="24" t="e">
        <f>'360'!#REF!</f>
        <v>#REF!</v>
      </c>
    </row>
    <row r="65" spans="1:8" ht="22.5" customHeight="1">
      <c r="A65" s="5">
        <f t="shared" si="1"/>
        <v>50</v>
      </c>
      <c r="B65" s="28" t="s">
        <v>94</v>
      </c>
      <c r="C65" s="29"/>
      <c r="D65" s="30" t="s">
        <v>43</v>
      </c>
      <c r="E65" s="29"/>
      <c r="F65" s="3" t="e">
        <f t="shared" si="0"/>
        <v>#REF!</v>
      </c>
      <c r="G65" s="31" t="e">
        <f>'360'!#REF!</f>
        <v>#REF!</v>
      </c>
      <c r="H65" s="24" t="e">
        <f>'360'!#REF!</f>
        <v>#REF!</v>
      </c>
    </row>
    <row r="66" spans="1:8" ht="22.5" customHeight="1">
      <c r="A66" s="5">
        <f t="shared" si="1"/>
        <v>51</v>
      </c>
      <c r="B66" s="28" t="s">
        <v>94</v>
      </c>
      <c r="C66" s="29"/>
      <c r="D66" s="30" t="s">
        <v>43</v>
      </c>
      <c r="E66" s="29"/>
      <c r="F66" s="3" t="e">
        <f t="shared" si="0"/>
        <v>#REF!</v>
      </c>
      <c r="G66" s="31" t="e">
        <f>'360'!#REF!</f>
        <v>#REF!</v>
      </c>
      <c r="H66" s="24" t="e">
        <f>'360'!#REF!</f>
        <v>#REF!</v>
      </c>
    </row>
    <row r="67" spans="1:8" ht="22.5" customHeight="1">
      <c r="A67" s="5">
        <f t="shared" si="1"/>
        <v>52</v>
      </c>
      <c r="B67" s="28" t="s">
        <v>94</v>
      </c>
      <c r="C67" s="29"/>
      <c r="D67" s="30" t="s">
        <v>43</v>
      </c>
      <c r="E67" s="29"/>
      <c r="F67" s="3" t="e">
        <f t="shared" si="0"/>
        <v>#REF!</v>
      </c>
      <c r="G67" s="31" t="e">
        <f>'360'!#REF!</f>
        <v>#REF!</v>
      </c>
      <c r="H67" s="24" t="e">
        <f>'360'!#REF!</f>
        <v>#REF!</v>
      </c>
    </row>
    <row r="68" spans="1:8" ht="22.5" customHeight="1">
      <c r="A68" s="5">
        <f t="shared" si="1"/>
        <v>53</v>
      </c>
      <c r="B68" s="28" t="s">
        <v>94</v>
      </c>
      <c r="C68" s="29"/>
      <c r="D68" s="30" t="s">
        <v>43</v>
      </c>
      <c r="E68" s="29"/>
      <c r="F68" s="3" t="e">
        <f t="shared" si="0"/>
        <v>#REF!</v>
      </c>
      <c r="G68" s="31" t="e">
        <f>'360'!#REF!</f>
        <v>#REF!</v>
      </c>
      <c r="H68" s="24" t="e">
        <f>'360'!#REF!</f>
        <v>#REF!</v>
      </c>
    </row>
    <row r="69" spans="1:8" ht="22.5" customHeight="1">
      <c r="A69" s="5">
        <f t="shared" si="1"/>
        <v>54</v>
      </c>
      <c r="B69" s="28" t="s">
        <v>94</v>
      </c>
      <c r="C69" s="29"/>
      <c r="D69" s="30" t="s">
        <v>43</v>
      </c>
      <c r="E69" s="29"/>
      <c r="F69" s="3" t="e">
        <f t="shared" si="0"/>
        <v>#REF!</v>
      </c>
      <c r="G69" s="31" t="e">
        <f>'360'!#REF!</f>
        <v>#REF!</v>
      </c>
      <c r="H69" s="24" t="e">
        <f>'360'!#REF!</f>
        <v>#REF!</v>
      </c>
    </row>
    <row r="70" spans="1:8" ht="22.5" customHeight="1">
      <c r="A70" s="5">
        <f t="shared" si="1"/>
        <v>55</v>
      </c>
      <c r="B70" s="28" t="s">
        <v>94</v>
      </c>
      <c r="C70" s="29"/>
      <c r="D70" s="30" t="s">
        <v>43</v>
      </c>
      <c r="E70" s="29"/>
      <c r="F70" s="3" t="e">
        <f t="shared" si="0"/>
        <v>#REF!</v>
      </c>
      <c r="G70" s="31" t="e">
        <f>'360'!#REF!</f>
        <v>#REF!</v>
      </c>
      <c r="H70" s="24" t="e">
        <f>'360'!#REF!</f>
        <v>#REF!</v>
      </c>
    </row>
    <row r="71" spans="1:8" ht="22.5" customHeight="1">
      <c r="A71" s="5">
        <f t="shared" si="1"/>
        <v>56</v>
      </c>
      <c r="B71" s="28" t="s">
        <v>94</v>
      </c>
      <c r="C71" s="29"/>
      <c r="D71" s="30" t="s">
        <v>43</v>
      </c>
      <c r="E71" s="29"/>
      <c r="F71" s="3" t="e">
        <f t="shared" si="0"/>
        <v>#REF!</v>
      </c>
      <c r="G71" s="31" t="e">
        <f>'360'!#REF!</f>
        <v>#REF!</v>
      </c>
      <c r="H71" s="24" t="e">
        <f>'360'!#REF!</f>
        <v>#REF!</v>
      </c>
    </row>
    <row r="72" spans="1:8" ht="22.5" customHeight="1">
      <c r="A72" s="5">
        <f t="shared" si="1"/>
        <v>57</v>
      </c>
      <c r="B72" s="28" t="s">
        <v>94</v>
      </c>
      <c r="C72" s="29"/>
      <c r="D72" s="30" t="s">
        <v>43</v>
      </c>
      <c r="E72" s="29"/>
      <c r="F72" s="3" t="e">
        <f t="shared" si="0"/>
        <v>#REF!</v>
      </c>
      <c r="G72" s="31" t="e">
        <f>'360'!#REF!</f>
        <v>#REF!</v>
      </c>
      <c r="H72" s="24" t="e">
        <f>'360'!#REF!</f>
        <v>#REF!</v>
      </c>
    </row>
    <row r="73" spans="1:8" ht="22.5" customHeight="1">
      <c r="A73" s="5">
        <f t="shared" si="1"/>
        <v>58</v>
      </c>
      <c r="B73" s="28" t="s">
        <v>94</v>
      </c>
      <c r="C73" s="29"/>
      <c r="D73" s="30" t="s">
        <v>43</v>
      </c>
      <c r="E73" s="29"/>
      <c r="F73" s="3" t="e">
        <f t="shared" si="0"/>
        <v>#REF!</v>
      </c>
      <c r="G73" s="31" t="e">
        <f>'360'!#REF!</f>
        <v>#REF!</v>
      </c>
      <c r="H73" s="24" t="e">
        <f>'360'!#REF!</f>
        <v>#REF!</v>
      </c>
    </row>
    <row r="74" spans="1:8" ht="22.5" customHeight="1">
      <c r="A74" s="5">
        <f t="shared" si="1"/>
        <v>59</v>
      </c>
      <c r="B74" s="28" t="s">
        <v>94</v>
      </c>
      <c r="C74" s="29"/>
      <c r="D74" s="30" t="s">
        <v>43</v>
      </c>
      <c r="E74" s="29"/>
      <c r="F74" s="3" t="e">
        <f t="shared" si="0"/>
        <v>#REF!</v>
      </c>
      <c r="G74" s="31" t="e">
        <f>'360'!#REF!</f>
        <v>#REF!</v>
      </c>
      <c r="H74" s="24" t="e">
        <f>'360'!#REF!</f>
        <v>#REF!</v>
      </c>
    </row>
    <row r="75" spans="1:8" ht="22.5" customHeight="1">
      <c r="A75" s="5">
        <f t="shared" si="1"/>
        <v>60</v>
      </c>
      <c r="B75" s="28" t="s">
        <v>94</v>
      </c>
      <c r="C75" s="29"/>
      <c r="D75" s="30" t="s">
        <v>43</v>
      </c>
      <c r="E75" s="29"/>
      <c r="F75" s="3" t="e">
        <f t="shared" si="0"/>
        <v>#REF!</v>
      </c>
      <c r="G75" s="31" t="e">
        <f>'360'!#REF!</f>
        <v>#REF!</v>
      </c>
      <c r="H75" s="24" t="e">
        <f>'360'!#REF!</f>
        <v>#REF!</v>
      </c>
    </row>
    <row r="76" spans="1:8" ht="22.5" customHeight="1">
      <c r="A76" s="5">
        <f t="shared" si="1"/>
        <v>61</v>
      </c>
      <c r="B76" s="28" t="s">
        <v>94</v>
      </c>
      <c r="C76" s="29"/>
      <c r="D76" s="30" t="s">
        <v>43</v>
      </c>
      <c r="E76" s="29"/>
      <c r="F76" s="3" t="e">
        <f t="shared" si="0"/>
        <v>#REF!</v>
      </c>
      <c r="G76" s="31" t="e">
        <f>'360'!#REF!</f>
        <v>#REF!</v>
      </c>
      <c r="H76" s="24" t="e">
        <f>'360'!#REF!</f>
        <v>#REF!</v>
      </c>
    </row>
    <row r="77" spans="1:8" ht="22.5" customHeight="1">
      <c r="A77" s="5">
        <f t="shared" si="1"/>
        <v>62</v>
      </c>
      <c r="B77" s="28" t="s">
        <v>94</v>
      </c>
      <c r="C77" s="29"/>
      <c r="D77" s="30" t="s">
        <v>43</v>
      </c>
      <c r="E77" s="29"/>
      <c r="F77" s="3" t="e">
        <f t="shared" si="0"/>
        <v>#REF!</v>
      </c>
      <c r="G77" s="31" t="e">
        <f>'360'!#REF!</f>
        <v>#REF!</v>
      </c>
      <c r="H77" s="24" t="e">
        <f>'360'!#REF!</f>
        <v>#REF!</v>
      </c>
    </row>
    <row r="78" spans="1:8" ht="22.5" customHeight="1">
      <c r="A78" s="5">
        <f t="shared" si="1"/>
        <v>63</v>
      </c>
      <c r="B78" s="28" t="s">
        <v>94</v>
      </c>
      <c r="C78" s="29"/>
      <c r="D78" s="30" t="s">
        <v>43</v>
      </c>
      <c r="E78" s="29"/>
      <c r="F78" s="3" t="e">
        <f t="shared" si="0"/>
        <v>#REF!</v>
      </c>
      <c r="G78" s="31" t="e">
        <f>'360'!#REF!</f>
        <v>#REF!</v>
      </c>
      <c r="H78" s="24" t="e">
        <f>'360'!#REF!</f>
        <v>#REF!</v>
      </c>
    </row>
    <row r="79" spans="1:8" ht="22.5" customHeight="1">
      <c r="A79" s="5">
        <f t="shared" si="1"/>
        <v>64</v>
      </c>
      <c r="B79" s="28" t="s">
        <v>94</v>
      </c>
      <c r="C79" s="29"/>
      <c r="D79" s="30" t="s">
        <v>43</v>
      </c>
      <c r="E79" s="29"/>
      <c r="F79" s="3" t="e">
        <f t="shared" si="0"/>
        <v>#REF!</v>
      </c>
      <c r="G79" s="31" t="e">
        <f>'360'!#REF!</f>
        <v>#REF!</v>
      </c>
      <c r="H79" s="24" t="e">
        <f>'360'!#REF!</f>
        <v>#REF!</v>
      </c>
    </row>
    <row r="80" spans="1:8" ht="22.5" customHeight="1">
      <c r="A80" s="5">
        <f t="shared" si="1"/>
        <v>65</v>
      </c>
      <c r="B80" s="28" t="s">
        <v>94</v>
      </c>
      <c r="C80" s="29"/>
      <c r="D80" s="30" t="s">
        <v>43</v>
      </c>
      <c r="E80" s="29"/>
      <c r="F80" s="3" t="e">
        <f t="shared" si="0"/>
        <v>#REF!</v>
      </c>
      <c r="G80" s="31" t="e">
        <f>'360'!#REF!</f>
        <v>#REF!</v>
      </c>
      <c r="H80" s="24" t="e">
        <f>'360'!#REF!</f>
        <v>#REF!</v>
      </c>
    </row>
    <row r="81" spans="1:8" ht="22.5" customHeight="1">
      <c r="A81" s="5">
        <f t="shared" si="1"/>
        <v>66</v>
      </c>
      <c r="B81" s="28" t="s">
        <v>94</v>
      </c>
      <c r="C81" s="29"/>
      <c r="D81" s="30" t="s">
        <v>43</v>
      </c>
      <c r="E81" s="29"/>
      <c r="F81" s="3" t="e">
        <f t="shared" ref="F81:F116" si="2">H81/G81</f>
        <v>#REF!</v>
      </c>
      <c r="G81" s="31" t="e">
        <f>'360'!#REF!</f>
        <v>#REF!</v>
      </c>
      <c r="H81" s="24" t="e">
        <f>'360'!#REF!</f>
        <v>#REF!</v>
      </c>
    </row>
    <row r="82" spans="1:8" ht="22.5" customHeight="1">
      <c r="A82" s="5">
        <f t="shared" ref="A82:A116" si="3">+A81+1</f>
        <v>67</v>
      </c>
      <c r="B82" s="28" t="s">
        <v>94</v>
      </c>
      <c r="C82" s="29"/>
      <c r="D82" s="30" t="s">
        <v>43</v>
      </c>
      <c r="E82" s="29"/>
      <c r="F82" s="3" t="e">
        <f t="shared" si="2"/>
        <v>#REF!</v>
      </c>
      <c r="G82" s="31" t="e">
        <f>'360'!#REF!</f>
        <v>#REF!</v>
      </c>
      <c r="H82" s="24" t="e">
        <f>'360'!#REF!</f>
        <v>#REF!</v>
      </c>
    </row>
    <row r="83" spans="1:8" ht="22.5" customHeight="1">
      <c r="A83" s="5">
        <f t="shared" si="3"/>
        <v>68</v>
      </c>
      <c r="B83" s="28" t="s">
        <v>94</v>
      </c>
      <c r="C83" s="29"/>
      <c r="D83" s="30" t="s">
        <v>43</v>
      </c>
      <c r="E83" s="29"/>
      <c r="F83" s="3" t="e">
        <f t="shared" si="2"/>
        <v>#REF!</v>
      </c>
      <c r="G83" s="31" t="e">
        <f>'360'!#REF!</f>
        <v>#REF!</v>
      </c>
      <c r="H83" s="24" t="e">
        <f>'360'!#REF!</f>
        <v>#REF!</v>
      </c>
    </row>
    <row r="84" spans="1:8" ht="22.5" customHeight="1">
      <c r="A84" s="5">
        <f t="shared" si="3"/>
        <v>69</v>
      </c>
      <c r="B84" s="28" t="s">
        <v>94</v>
      </c>
      <c r="C84" s="29"/>
      <c r="D84" s="30" t="s">
        <v>43</v>
      </c>
      <c r="E84" s="29"/>
      <c r="F84" s="3" t="e">
        <f t="shared" si="2"/>
        <v>#REF!</v>
      </c>
      <c r="G84" s="31" t="e">
        <f>'360'!#REF!</f>
        <v>#REF!</v>
      </c>
      <c r="H84" s="24" t="e">
        <f>'360'!#REF!</f>
        <v>#REF!</v>
      </c>
    </row>
    <row r="85" spans="1:8" ht="22.5" customHeight="1">
      <c r="A85" s="5">
        <f t="shared" si="3"/>
        <v>70</v>
      </c>
      <c r="B85" s="28" t="s">
        <v>94</v>
      </c>
      <c r="C85" s="29"/>
      <c r="D85" s="30" t="s">
        <v>43</v>
      </c>
      <c r="E85" s="29"/>
      <c r="F85" s="3" t="e">
        <f t="shared" si="2"/>
        <v>#REF!</v>
      </c>
      <c r="G85" s="31" t="e">
        <f>'360'!#REF!</f>
        <v>#REF!</v>
      </c>
      <c r="H85" s="24" t="e">
        <f>'360'!#REF!</f>
        <v>#REF!</v>
      </c>
    </row>
    <row r="86" spans="1:8" ht="22.5" customHeight="1">
      <c r="A86" s="5">
        <f t="shared" si="3"/>
        <v>71</v>
      </c>
      <c r="B86" s="28" t="s">
        <v>94</v>
      </c>
      <c r="C86" s="29"/>
      <c r="D86" s="30" t="s">
        <v>43</v>
      </c>
      <c r="E86" s="29"/>
      <c r="F86" s="3" t="e">
        <f t="shared" si="2"/>
        <v>#REF!</v>
      </c>
      <c r="G86" s="31" t="e">
        <f>'360'!#REF!</f>
        <v>#REF!</v>
      </c>
      <c r="H86" s="24" t="e">
        <f>'360'!#REF!</f>
        <v>#REF!</v>
      </c>
    </row>
    <row r="87" spans="1:8" ht="22.5" customHeight="1">
      <c r="A87" s="5">
        <f t="shared" si="3"/>
        <v>72</v>
      </c>
      <c r="B87" s="28" t="s">
        <v>94</v>
      </c>
      <c r="C87" s="29"/>
      <c r="D87" s="30" t="s">
        <v>43</v>
      </c>
      <c r="E87" s="29"/>
      <c r="F87" s="3" t="e">
        <f t="shared" si="2"/>
        <v>#REF!</v>
      </c>
      <c r="G87" s="31" t="e">
        <f>'360'!#REF!</f>
        <v>#REF!</v>
      </c>
      <c r="H87" s="24" t="e">
        <f>'360'!#REF!</f>
        <v>#REF!</v>
      </c>
    </row>
    <row r="88" spans="1:8" ht="22.5" customHeight="1">
      <c r="A88" s="5">
        <f t="shared" si="3"/>
        <v>73</v>
      </c>
      <c r="B88" s="28" t="s">
        <v>94</v>
      </c>
      <c r="C88" s="29"/>
      <c r="D88" s="30" t="s">
        <v>43</v>
      </c>
      <c r="E88" s="29"/>
      <c r="F88" s="3" t="e">
        <f t="shared" si="2"/>
        <v>#REF!</v>
      </c>
      <c r="G88" s="31" t="e">
        <f>'360'!#REF!</f>
        <v>#REF!</v>
      </c>
      <c r="H88" s="24" t="e">
        <f>'360'!#REF!</f>
        <v>#REF!</v>
      </c>
    </row>
    <row r="89" spans="1:8" ht="22.5" customHeight="1">
      <c r="A89" s="5">
        <f t="shared" si="3"/>
        <v>74</v>
      </c>
      <c r="B89" s="28" t="s">
        <v>94</v>
      </c>
      <c r="C89" s="29"/>
      <c r="D89" s="30" t="s">
        <v>43</v>
      </c>
      <c r="E89" s="29"/>
      <c r="F89" s="3" t="e">
        <f t="shared" si="2"/>
        <v>#REF!</v>
      </c>
      <c r="G89" s="31" t="e">
        <f>'360'!#REF!</f>
        <v>#REF!</v>
      </c>
      <c r="H89" s="24" t="e">
        <f>'360'!#REF!</f>
        <v>#REF!</v>
      </c>
    </row>
    <row r="90" spans="1:8" ht="22.5" customHeight="1">
      <c r="A90" s="5">
        <f t="shared" si="3"/>
        <v>75</v>
      </c>
      <c r="B90" s="28" t="s">
        <v>94</v>
      </c>
      <c r="C90" s="29"/>
      <c r="D90" s="30" t="s">
        <v>43</v>
      </c>
      <c r="E90" s="29"/>
      <c r="F90" s="3" t="e">
        <f t="shared" si="2"/>
        <v>#REF!</v>
      </c>
      <c r="G90" s="31" t="e">
        <f>'360'!#REF!</f>
        <v>#REF!</v>
      </c>
      <c r="H90" s="24" t="e">
        <f>'360'!#REF!</f>
        <v>#REF!</v>
      </c>
    </row>
    <row r="91" spans="1:8" ht="22.5" customHeight="1">
      <c r="A91" s="5">
        <f t="shared" si="3"/>
        <v>76</v>
      </c>
      <c r="B91" s="28" t="s">
        <v>94</v>
      </c>
      <c r="C91" s="29"/>
      <c r="D91" s="30" t="s">
        <v>43</v>
      </c>
      <c r="E91" s="29"/>
      <c r="F91" s="3" t="e">
        <f t="shared" si="2"/>
        <v>#REF!</v>
      </c>
      <c r="G91" s="31" t="e">
        <f>'360'!#REF!</f>
        <v>#REF!</v>
      </c>
      <c r="H91" s="24" t="e">
        <f>'360'!#REF!</f>
        <v>#REF!</v>
      </c>
    </row>
    <row r="92" spans="1:8" ht="22.5" customHeight="1">
      <c r="A92" s="5">
        <f t="shared" si="3"/>
        <v>77</v>
      </c>
      <c r="B92" s="28" t="s">
        <v>94</v>
      </c>
      <c r="C92" s="29"/>
      <c r="D92" s="30" t="s">
        <v>43</v>
      </c>
      <c r="E92" s="29"/>
      <c r="F92" s="3" t="e">
        <f t="shared" si="2"/>
        <v>#REF!</v>
      </c>
      <c r="G92" s="31" t="e">
        <f>'360'!#REF!</f>
        <v>#REF!</v>
      </c>
      <c r="H92" s="24" t="e">
        <f>'360'!#REF!</f>
        <v>#REF!</v>
      </c>
    </row>
    <row r="93" spans="1:8" ht="22.5" customHeight="1">
      <c r="A93" s="5">
        <f t="shared" si="3"/>
        <v>78</v>
      </c>
      <c r="B93" s="28" t="s">
        <v>94</v>
      </c>
      <c r="C93" s="29"/>
      <c r="D93" s="30" t="s">
        <v>43</v>
      </c>
      <c r="E93" s="29"/>
      <c r="F93" s="3" t="e">
        <f t="shared" si="2"/>
        <v>#REF!</v>
      </c>
      <c r="G93" s="31" t="e">
        <f>'360'!#REF!</f>
        <v>#REF!</v>
      </c>
      <c r="H93" s="24" t="e">
        <f>'360'!#REF!</f>
        <v>#REF!</v>
      </c>
    </row>
    <row r="94" spans="1:8" ht="22.5" customHeight="1">
      <c r="A94" s="5">
        <f t="shared" si="3"/>
        <v>79</v>
      </c>
      <c r="B94" s="28" t="s">
        <v>94</v>
      </c>
      <c r="C94" s="29"/>
      <c r="D94" s="30" t="s">
        <v>43</v>
      </c>
      <c r="E94" s="29"/>
      <c r="F94" s="3" t="e">
        <f t="shared" si="2"/>
        <v>#REF!</v>
      </c>
      <c r="G94" s="31" t="e">
        <f>'360'!#REF!</f>
        <v>#REF!</v>
      </c>
      <c r="H94" s="24" t="e">
        <f>'360'!#REF!</f>
        <v>#REF!</v>
      </c>
    </row>
    <row r="95" spans="1:8" ht="22.5" customHeight="1">
      <c r="A95" s="5">
        <f t="shared" si="3"/>
        <v>80</v>
      </c>
      <c r="B95" s="28" t="s">
        <v>94</v>
      </c>
      <c r="C95" s="29"/>
      <c r="D95" s="30" t="s">
        <v>43</v>
      </c>
      <c r="E95" s="29"/>
      <c r="F95" s="3" t="e">
        <f t="shared" si="2"/>
        <v>#REF!</v>
      </c>
      <c r="G95" s="31" t="e">
        <f>'360'!#REF!</f>
        <v>#REF!</v>
      </c>
      <c r="H95" s="24" t="e">
        <f>'360'!#REF!</f>
        <v>#REF!</v>
      </c>
    </row>
    <row r="96" spans="1:8" ht="22.5" customHeight="1">
      <c r="A96" s="5">
        <f t="shared" si="3"/>
        <v>81</v>
      </c>
      <c r="B96" s="28" t="s">
        <v>94</v>
      </c>
      <c r="C96" s="29"/>
      <c r="D96" s="30" t="s">
        <v>43</v>
      </c>
      <c r="E96" s="29"/>
      <c r="F96" s="3" t="e">
        <f t="shared" si="2"/>
        <v>#REF!</v>
      </c>
      <c r="G96" s="31" t="e">
        <f>'360'!#REF!</f>
        <v>#REF!</v>
      </c>
      <c r="H96" s="24" t="e">
        <f>'360'!#REF!</f>
        <v>#REF!</v>
      </c>
    </row>
    <row r="97" spans="1:8" ht="22.5" customHeight="1">
      <c r="A97" s="5">
        <f t="shared" si="3"/>
        <v>82</v>
      </c>
      <c r="B97" s="28" t="s">
        <v>94</v>
      </c>
      <c r="C97" s="29"/>
      <c r="D97" s="30" t="s">
        <v>43</v>
      </c>
      <c r="E97" s="29"/>
      <c r="F97" s="3" t="e">
        <f t="shared" si="2"/>
        <v>#REF!</v>
      </c>
      <c r="G97" s="31" t="e">
        <f>'360'!#REF!</f>
        <v>#REF!</v>
      </c>
      <c r="H97" s="24" t="e">
        <f>'360'!#REF!</f>
        <v>#REF!</v>
      </c>
    </row>
    <row r="98" spans="1:8" ht="22.5" customHeight="1">
      <c r="A98" s="5">
        <f t="shared" si="3"/>
        <v>83</v>
      </c>
      <c r="B98" s="28" t="s">
        <v>94</v>
      </c>
      <c r="C98" s="29"/>
      <c r="D98" s="30" t="s">
        <v>43</v>
      </c>
      <c r="E98" s="29"/>
      <c r="F98" s="3" t="e">
        <f t="shared" si="2"/>
        <v>#REF!</v>
      </c>
      <c r="G98" s="31" t="e">
        <f>'360'!#REF!</f>
        <v>#REF!</v>
      </c>
      <c r="H98" s="24" t="e">
        <f>'360'!#REF!</f>
        <v>#REF!</v>
      </c>
    </row>
    <row r="99" spans="1:8" ht="22.5" customHeight="1">
      <c r="A99" s="5">
        <f t="shared" si="3"/>
        <v>84</v>
      </c>
      <c r="B99" s="28" t="s">
        <v>94</v>
      </c>
      <c r="C99" s="29"/>
      <c r="D99" s="30" t="s">
        <v>43</v>
      </c>
      <c r="E99" s="29"/>
      <c r="F99" s="3" t="e">
        <f t="shared" si="2"/>
        <v>#REF!</v>
      </c>
      <c r="G99" s="31" t="e">
        <f>'360'!#REF!</f>
        <v>#REF!</v>
      </c>
      <c r="H99" s="24" t="e">
        <f>'360'!#REF!</f>
        <v>#REF!</v>
      </c>
    </row>
    <row r="100" spans="1:8" ht="22.5" customHeight="1">
      <c r="A100" s="5">
        <f t="shared" si="3"/>
        <v>85</v>
      </c>
      <c r="B100" s="28" t="s">
        <v>94</v>
      </c>
      <c r="C100" s="29"/>
      <c r="D100" s="30" t="s">
        <v>43</v>
      </c>
      <c r="E100" s="29"/>
      <c r="F100" s="3" t="e">
        <f t="shared" si="2"/>
        <v>#REF!</v>
      </c>
      <c r="G100" s="31" t="e">
        <f>'360'!#REF!</f>
        <v>#REF!</v>
      </c>
      <c r="H100" s="24" t="e">
        <f>'360'!#REF!</f>
        <v>#REF!</v>
      </c>
    </row>
    <row r="101" spans="1:8" ht="22.5" customHeight="1">
      <c r="A101" s="5">
        <f t="shared" si="3"/>
        <v>86</v>
      </c>
      <c r="B101" s="28" t="s">
        <v>94</v>
      </c>
      <c r="C101" s="29"/>
      <c r="D101" s="30" t="s">
        <v>43</v>
      </c>
      <c r="E101" s="29"/>
      <c r="F101" s="3" t="e">
        <f t="shared" si="2"/>
        <v>#REF!</v>
      </c>
      <c r="G101" s="31" t="e">
        <f>'360'!#REF!</f>
        <v>#REF!</v>
      </c>
      <c r="H101" s="24" t="e">
        <f>'360'!#REF!</f>
        <v>#REF!</v>
      </c>
    </row>
    <row r="102" spans="1:8" ht="22.5" customHeight="1">
      <c r="A102" s="5">
        <f t="shared" si="3"/>
        <v>87</v>
      </c>
      <c r="B102" s="28" t="s">
        <v>94</v>
      </c>
      <c r="C102" s="29"/>
      <c r="D102" s="30" t="s">
        <v>43</v>
      </c>
      <c r="E102" s="29"/>
      <c r="F102" s="3" t="e">
        <f t="shared" si="2"/>
        <v>#REF!</v>
      </c>
      <c r="G102" s="31" t="e">
        <f>'360'!#REF!</f>
        <v>#REF!</v>
      </c>
      <c r="H102" s="24" t="e">
        <f>'360'!#REF!</f>
        <v>#REF!</v>
      </c>
    </row>
    <row r="103" spans="1:8" ht="22.5" customHeight="1">
      <c r="A103" s="5">
        <f t="shared" si="3"/>
        <v>88</v>
      </c>
      <c r="B103" s="28" t="s">
        <v>94</v>
      </c>
      <c r="C103" s="29"/>
      <c r="D103" s="30" t="s">
        <v>43</v>
      </c>
      <c r="E103" s="29"/>
      <c r="F103" s="3" t="e">
        <f t="shared" si="2"/>
        <v>#REF!</v>
      </c>
      <c r="G103" s="31" t="e">
        <f>'360'!#REF!</f>
        <v>#REF!</v>
      </c>
      <c r="H103" s="24" t="e">
        <f>'360'!#REF!</f>
        <v>#REF!</v>
      </c>
    </row>
    <row r="104" spans="1:8" ht="22.5" customHeight="1">
      <c r="A104" s="5">
        <f t="shared" si="3"/>
        <v>89</v>
      </c>
      <c r="B104" s="28" t="s">
        <v>94</v>
      </c>
      <c r="C104" s="29"/>
      <c r="D104" s="30" t="s">
        <v>43</v>
      </c>
      <c r="E104" s="29"/>
      <c r="F104" s="3" t="e">
        <f t="shared" si="2"/>
        <v>#REF!</v>
      </c>
      <c r="G104" s="31" t="e">
        <f>'360'!#REF!</f>
        <v>#REF!</v>
      </c>
      <c r="H104" s="24" t="e">
        <f>'360'!#REF!</f>
        <v>#REF!</v>
      </c>
    </row>
    <row r="105" spans="1:8" ht="22.5" customHeight="1">
      <c r="A105" s="5">
        <f t="shared" si="3"/>
        <v>90</v>
      </c>
      <c r="B105" s="28" t="s">
        <v>94</v>
      </c>
      <c r="C105" s="29"/>
      <c r="D105" s="30" t="s">
        <v>43</v>
      </c>
      <c r="E105" s="29"/>
      <c r="F105" s="3" t="e">
        <f t="shared" si="2"/>
        <v>#REF!</v>
      </c>
      <c r="G105" s="31" t="e">
        <f>'360'!#REF!</f>
        <v>#REF!</v>
      </c>
      <c r="H105" s="24" t="e">
        <f>'360'!#REF!</f>
        <v>#REF!</v>
      </c>
    </row>
    <row r="106" spans="1:8" ht="22.5" customHeight="1">
      <c r="A106" s="5">
        <f t="shared" si="3"/>
        <v>91</v>
      </c>
      <c r="B106" s="28" t="s">
        <v>94</v>
      </c>
      <c r="C106" s="29"/>
      <c r="D106" s="30" t="s">
        <v>43</v>
      </c>
      <c r="E106" s="29"/>
      <c r="F106" s="3" t="e">
        <f t="shared" si="2"/>
        <v>#REF!</v>
      </c>
      <c r="G106" s="31" t="e">
        <f>'360'!#REF!</f>
        <v>#REF!</v>
      </c>
      <c r="H106" s="24" t="e">
        <f>'360'!#REF!</f>
        <v>#REF!</v>
      </c>
    </row>
    <row r="107" spans="1:8" ht="22.5" customHeight="1">
      <c r="A107" s="5">
        <f t="shared" si="3"/>
        <v>92</v>
      </c>
      <c r="B107" s="28" t="s">
        <v>94</v>
      </c>
      <c r="C107" s="29"/>
      <c r="D107" s="30" t="s">
        <v>43</v>
      </c>
      <c r="E107" s="29"/>
      <c r="F107" s="3" t="e">
        <f t="shared" si="2"/>
        <v>#REF!</v>
      </c>
      <c r="G107" s="31" t="e">
        <f>'360'!#REF!</f>
        <v>#REF!</v>
      </c>
      <c r="H107" s="24" t="e">
        <f>'360'!#REF!</f>
        <v>#REF!</v>
      </c>
    </row>
    <row r="108" spans="1:8" ht="22.5" customHeight="1">
      <c r="A108" s="5">
        <f t="shared" si="3"/>
        <v>93</v>
      </c>
      <c r="B108" s="28" t="s">
        <v>94</v>
      </c>
      <c r="C108" s="29"/>
      <c r="D108" s="30" t="s">
        <v>43</v>
      </c>
      <c r="E108" s="29"/>
      <c r="F108" s="3" t="e">
        <f t="shared" si="2"/>
        <v>#REF!</v>
      </c>
      <c r="G108" s="31" t="e">
        <f>'360'!#REF!</f>
        <v>#REF!</v>
      </c>
      <c r="H108" s="24" t="e">
        <f>'360'!#REF!</f>
        <v>#REF!</v>
      </c>
    </row>
    <row r="109" spans="1:8" ht="22.5" customHeight="1">
      <c r="A109" s="5">
        <f t="shared" si="3"/>
        <v>94</v>
      </c>
      <c r="B109" s="28" t="s">
        <v>94</v>
      </c>
      <c r="C109" s="29"/>
      <c r="D109" s="30" t="s">
        <v>43</v>
      </c>
      <c r="E109" s="29"/>
      <c r="F109" s="3" t="e">
        <f t="shared" si="2"/>
        <v>#REF!</v>
      </c>
      <c r="G109" s="31" t="e">
        <f>'360'!#REF!</f>
        <v>#REF!</v>
      </c>
      <c r="H109" s="24" t="e">
        <f>'360'!#REF!</f>
        <v>#REF!</v>
      </c>
    </row>
    <row r="110" spans="1:8" ht="22.5" customHeight="1">
      <c r="A110" s="5">
        <f t="shared" si="3"/>
        <v>95</v>
      </c>
      <c r="B110" s="28" t="s">
        <v>94</v>
      </c>
      <c r="C110" s="29"/>
      <c r="D110" s="30" t="s">
        <v>43</v>
      </c>
      <c r="E110" s="29"/>
      <c r="F110" s="3" t="e">
        <f t="shared" si="2"/>
        <v>#REF!</v>
      </c>
      <c r="G110" s="31" t="e">
        <f>'360'!#REF!</f>
        <v>#REF!</v>
      </c>
      <c r="H110" s="24" t="e">
        <f>'360'!#REF!</f>
        <v>#REF!</v>
      </c>
    </row>
    <row r="111" spans="1:8" ht="22.5" customHeight="1">
      <c r="A111" s="5">
        <f t="shared" si="3"/>
        <v>96</v>
      </c>
      <c r="B111" s="28" t="s">
        <v>94</v>
      </c>
      <c r="C111" s="29"/>
      <c r="D111" s="30" t="s">
        <v>43</v>
      </c>
      <c r="E111" s="29"/>
      <c r="F111" s="3" t="e">
        <f t="shared" si="2"/>
        <v>#REF!</v>
      </c>
      <c r="G111" s="31" t="e">
        <f>'360'!#REF!</f>
        <v>#REF!</v>
      </c>
      <c r="H111" s="24" t="e">
        <f>'360'!#REF!</f>
        <v>#REF!</v>
      </c>
    </row>
    <row r="112" spans="1:8" ht="22.5" customHeight="1">
      <c r="A112" s="5">
        <f t="shared" si="3"/>
        <v>97</v>
      </c>
      <c r="B112" s="28" t="s">
        <v>94</v>
      </c>
      <c r="C112" s="29"/>
      <c r="D112" s="30" t="s">
        <v>43</v>
      </c>
      <c r="E112" s="29"/>
      <c r="F112" s="3" t="e">
        <f t="shared" si="2"/>
        <v>#REF!</v>
      </c>
      <c r="G112" s="31" t="e">
        <f>'360'!#REF!</f>
        <v>#REF!</v>
      </c>
      <c r="H112" s="24" t="e">
        <f>'360'!#REF!</f>
        <v>#REF!</v>
      </c>
    </row>
    <row r="113" spans="1:8" ht="22.5" customHeight="1">
      <c r="A113" s="5">
        <f t="shared" si="3"/>
        <v>98</v>
      </c>
      <c r="B113" s="28" t="s">
        <v>94</v>
      </c>
      <c r="C113" s="29"/>
      <c r="D113" s="30" t="s">
        <v>43</v>
      </c>
      <c r="E113" s="29"/>
      <c r="F113" s="3" t="e">
        <f t="shared" si="2"/>
        <v>#REF!</v>
      </c>
      <c r="G113" s="31" t="e">
        <f>'360'!#REF!</f>
        <v>#REF!</v>
      </c>
      <c r="H113" s="24" t="e">
        <f>'360'!#REF!</f>
        <v>#REF!</v>
      </c>
    </row>
    <row r="114" spans="1:8" ht="22.5" customHeight="1">
      <c r="A114" s="5">
        <f t="shared" si="3"/>
        <v>99</v>
      </c>
      <c r="B114" s="28" t="s">
        <v>94</v>
      </c>
      <c r="C114" s="29"/>
      <c r="D114" s="30" t="s">
        <v>43</v>
      </c>
      <c r="E114" s="29"/>
      <c r="F114" s="3" t="e">
        <f t="shared" si="2"/>
        <v>#REF!</v>
      </c>
      <c r="G114" s="31" t="e">
        <f>'360'!#REF!</f>
        <v>#REF!</v>
      </c>
      <c r="H114" s="24" t="e">
        <f>'360'!#REF!</f>
        <v>#REF!</v>
      </c>
    </row>
    <row r="115" spans="1:8" ht="22.5" customHeight="1">
      <c r="A115" s="5">
        <f t="shared" si="3"/>
        <v>100</v>
      </c>
      <c r="B115" s="28" t="s">
        <v>94</v>
      </c>
      <c r="C115" s="29"/>
      <c r="D115" s="30" t="s">
        <v>43</v>
      </c>
      <c r="E115" s="29"/>
      <c r="F115" s="3" t="e">
        <f t="shared" si="2"/>
        <v>#REF!</v>
      </c>
      <c r="G115" s="31" t="e">
        <f>'360'!#REF!</f>
        <v>#REF!</v>
      </c>
      <c r="H115" s="24" t="e">
        <f>'360'!#REF!</f>
        <v>#REF!</v>
      </c>
    </row>
    <row r="116" spans="1:8" ht="22.5" customHeight="1">
      <c r="A116" s="5">
        <f t="shared" si="3"/>
        <v>101</v>
      </c>
      <c r="B116" s="28" t="s">
        <v>94</v>
      </c>
      <c r="C116" s="29"/>
      <c r="D116" s="30" t="s">
        <v>43</v>
      </c>
      <c r="E116" s="29"/>
      <c r="F116" s="3" t="e">
        <f t="shared" si="2"/>
        <v>#REF!</v>
      </c>
      <c r="G116" s="31" t="e">
        <f>'360'!#REF!</f>
        <v>#REF!</v>
      </c>
      <c r="H116" s="24" t="e">
        <f>'360'!#REF!</f>
        <v>#REF!</v>
      </c>
    </row>
    <row r="117" spans="1:8" ht="22.5" customHeight="1">
      <c r="A117" s="5"/>
      <c r="B117" s="28"/>
      <c r="C117" s="29"/>
      <c r="D117" s="30"/>
      <c r="E117" s="29"/>
      <c r="F117" s="3"/>
      <c r="G117" s="2"/>
      <c r="H117" s="24"/>
    </row>
    <row r="118" spans="1:8" ht="22.5" customHeight="1">
      <c r="A118" s="8"/>
      <c r="B118" s="7"/>
      <c r="C118" s="6"/>
      <c r="D118" s="7" t="s">
        <v>44</v>
      </c>
      <c r="E118" s="6"/>
      <c r="F118" s="8"/>
      <c r="G118" s="8"/>
      <c r="H118" s="27" t="e">
        <f>SUM(H16:H117)</f>
        <v>#REF!</v>
      </c>
    </row>
    <row r="119" spans="1:8" ht="22.5" customHeight="1">
      <c r="A119" s="8"/>
      <c r="B119" s="7"/>
      <c r="C119" s="6"/>
      <c r="D119" s="7"/>
      <c r="E119" s="6"/>
      <c r="F119" s="8"/>
      <c r="G119" s="8"/>
      <c r="H119" s="25"/>
    </row>
    <row r="120" spans="1:8" ht="22.5" customHeight="1">
      <c r="A120" s="9"/>
      <c r="B120" s="9"/>
      <c r="C120" s="10"/>
      <c r="D120" s="9" t="s">
        <v>45</v>
      </c>
      <c r="E120" s="10"/>
      <c r="F120" s="11"/>
      <c r="G120" s="11"/>
      <c r="H120" s="25" t="e">
        <f>H118-H119</f>
        <v>#REF!</v>
      </c>
    </row>
    <row r="121" spans="1:8" ht="21.75" customHeight="1">
      <c r="A121" s="4" t="s">
        <v>46</v>
      </c>
    </row>
    <row r="122" spans="1:8" ht="20.25" customHeight="1">
      <c r="A122" s="4" t="s">
        <v>47</v>
      </c>
    </row>
    <row r="123" spans="1:8" ht="20.25" customHeight="1">
      <c r="A123" s="4" t="s">
        <v>48</v>
      </c>
    </row>
    <row r="124" spans="1:8" ht="20.25" customHeight="1">
      <c r="A124" s="4" t="s">
        <v>49</v>
      </c>
    </row>
    <row r="125" spans="1:8" ht="20.25" customHeight="1">
      <c r="A125" s="4" t="s">
        <v>50</v>
      </c>
    </row>
    <row r="126" spans="1:8">
      <c r="A126" s="4" t="s">
        <v>51</v>
      </c>
    </row>
    <row r="127" spans="1:8">
      <c r="A127" s="4" t="s">
        <v>52</v>
      </c>
    </row>
    <row r="128" spans="1:8">
      <c r="A128" s="4" t="s">
        <v>53</v>
      </c>
    </row>
    <row r="129" spans="1:6">
      <c r="A129" s="4" t="s">
        <v>54</v>
      </c>
    </row>
    <row r="130" spans="1:6">
      <c r="A130" s="4" t="s">
        <v>55</v>
      </c>
    </row>
    <row r="139" spans="1:6">
      <c r="F139" s="4" t="s">
        <v>93</v>
      </c>
    </row>
    <row r="140" spans="1:6">
      <c r="F140" s="4" t="s">
        <v>56</v>
      </c>
    </row>
    <row r="141" spans="1:6">
      <c r="F141" s="4" t="s">
        <v>57</v>
      </c>
    </row>
  </sheetData>
  <mergeCells count="5">
    <mergeCell ref="A1:E1"/>
    <mergeCell ref="A2:E2"/>
    <mergeCell ref="A14:H14"/>
    <mergeCell ref="B15:C15"/>
    <mergeCell ref="D15:E15"/>
  </mergeCells>
  <phoneticPr fontId="34" type="noConversion"/>
  <pageMargins left="0.7" right="0.7" top="0.75" bottom="0.75" header="0.3" footer="0.3"/>
  <pageSetup paperSize="9" scale="65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J133"/>
  <sheetViews>
    <sheetView topLeftCell="A111" workbookViewId="0">
      <selection activeCell="A125" sqref="A125:G125"/>
    </sheetView>
  </sheetViews>
  <sheetFormatPr defaultColWidth="8.81640625" defaultRowHeight="15.5"/>
  <cols>
    <col min="1" max="1" width="10.81640625" style="4" customWidth="1"/>
    <col min="2" max="2" width="24.453125" style="4" customWidth="1"/>
    <col min="3" max="3" width="18.7265625" style="4" customWidth="1"/>
    <col min="4" max="4" width="10.26953125" style="4" customWidth="1"/>
    <col min="5" max="5" width="17" style="4" customWidth="1"/>
    <col min="6" max="6" width="17.1796875" style="4" customWidth="1"/>
    <col min="7" max="7" width="22.7265625" style="4" customWidth="1"/>
    <col min="8" max="256" width="9.1796875" style="4"/>
    <col min="257" max="257" width="10.81640625" style="4" customWidth="1"/>
    <col min="258" max="258" width="24.453125" style="4" customWidth="1"/>
    <col min="259" max="259" width="18.7265625" style="4" customWidth="1"/>
    <col min="260" max="260" width="10.26953125" style="4" customWidth="1"/>
    <col min="261" max="261" width="17" style="4" customWidth="1"/>
    <col min="262" max="262" width="17.1796875" style="4" customWidth="1"/>
    <col min="263" max="263" width="20.26953125" style="4" customWidth="1"/>
    <col min="264" max="512" width="9.1796875" style="4"/>
    <col min="513" max="513" width="10.81640625" style="4" customWidth="1"/>
    <col min="514" max="514" width="24.453125" style="4" customWidth="1"/>
    <col min="515" max="515" width="18.7265625" style="4" customWidth="1"/>
    <col min="516" max="516" width="10.26953125" style="4" customWidth="1"/>
    <col min="517" max="517" width="17" style="4" customWidth="1"/>
    <col min="518" max="518" width="17.1796875" style="4" customWidth="1"/>
    <col min="519" max="519" width="20.26953125" style="4" customWidth="1"/>
    <col min="520" max="768" width="9.1796875" style="4"/>
    <col min="769" max="769" width="10.81640625" style="4" customWidth="1"/>
    <col min="770" max="770" width="24.453125" style="4" customWidth="1"/>
    <col min="771" max="771" width="18.7265625" style="4" customWidth="1"/>
    <col min="772" max="772" width="10.26953125" style="4" customWidth="1"/>
    <col min="773" max="773" width="17" style="4" customWidth="1"/>
    <col min="774" max="774" width="17.1796875" style="4" customWidth="1"/>
    <col min="775" max="775" width="20.26953125" style="4" customWidth="1"/>
    <col min="776" max="1024" width="9.1796875" style="4"/>
    <col min="1025" max="1025" width="10.81640625" style="4" customWidth="1"/>
    <col min="1026" max="1026" width="24.453125" style="4" customWidth="1"/>
    <col min="1027" max="1027" width="18.7265625" style="4" customWidth="1"/>
    <col min="1028" max="1028" width="10.26953125" style="4" customWidth="1"/>
    <col min="1029" max="1029" width="17" style="4" customWidth="1"/>
    <col min="1030" max="1030" width="17.1796875" style="4" customWidth="1"/>
    <col min="1031" max="1031" width="20.26953125" style="4" customWidth="1"/>
    <col min="1032" max="1280" width="9.1796875" style="4"/>
    <col min="1281" max="1281" width="10.81640625" style="4" customWidth="1"/>
    <col min="1282" max="1282" width="24.453125" style="4" customWidth="1"/>
    <col min="1283" max="1283" width="18.7265625" style="4" customWidth="1"/>
    <col min="1284" max="1284" width="10.26953125" style="4" customWidth="1"/>
    <col min="1285" max="1285" width="17" style="4" customWidth="1"/>
    <col min="1286" max="1286" width="17.1796875" style="4" customWidth="1"/>
    <col min="1287" max="1287" width="20.26953125" style="4" customWidth="1"/>
    <col min="1288" max="1536" width="9.1796875" style="4"/>
    <col min="1537" max="1537" width="10.81640625" style="4" customWidth="1"/>
    <col min="1538" max="1538" width="24.453125" style="4" customWidth="1"/>
    <col min="1539" max="1539" width="18.7265625" style="4" customWidth="1"/>
    <col min="1540" max="1540" width="10.26953125" style="4" customWidth="1"/>
    <col min="1541" max="1541" width="17" style="4" customWidth="1"/>
    <col min="1542" max="1542" width="17.1796875" style="4" customWidth="1"/>
    <col min="1543" max="1543" width="20.26953125" style="4" customWidth="1"/>
    <col min="1544" max="1792" width="9.1796875" style="4"/>
    <col min="1793" max="1793" width="10.81640625" style="4" customWidth="1"/>
    <col min="1794" max="1794" width="24.453125" style="4" customWidth="1"/>
    <col min="1795" max="1795" width="18.7265625" style="4" customWidth="1"/>
    <col min="1796" max="1796" width="10.26953125" style="4" customWidth="1"/>
    <col min="1797" max="1797" width="17" style="4" customWidth="1"/>
    <col min="1798" max="1798" width="17.1796875" style="4" customWidth="1"/>
    <col min="1799" max="1799" width="20.26953125" style="4" customWidth="1"/>
    <col min="1800" max="2048" width="9.1796875" style="4"/>
    <col min="2049" max="2049" width="10.81640625" style="4" customWidth="1"/>
    <col min="2050" max="2050" width="24.453125" style="4" customWidth="1"/>
    <col min="2051" max="2051" width="18.7265625" style="4" customWidth="1"/>
    <col min="2052" max="2052" width="10.26953125" style="4" customWidth="1"/>
    <col min="2053" max="2053" width="17" style="4" customWidth="1"/>
    <col min="2054" max="2054" width="17.1796875" style="4" customWidth="1"/>
    <col min="2055" max="2055" width="20.26953125" style="4" customWidth="1"/>
    <col min="2056" max="2304" width="9.1796875" style="4"/>
    <col min="2305" max="2305" width="10.81640625" style="4" customWidth="1"/>
    <col min="2306" max="2306" width="24.453125" style="4" customWidth="1"/>
    <col min="2307" max="2307" width="18.7265625" style="4" customWidth="1"/>
    <col min="2308" max="2308" width="10.26953125" style="4" customWidth="1"/>
    <col min="2309" max="2309" width="17" style="4" customWidth="1"/>
    <col min="2310" max="2310" width="17.1796875" style="4" customWidth="1"/>
    <col min="2311" max="2311" width="20.26953125" style="4" customWidth="1"/>
    <col min="2312" max="2560" width="9.1796875" style="4"/>
    <col min="2561" max="2561" width="10.81640625" style="4" customWidth="1"/>
    <col min="2562" max="2562" width="24.453125" style="4" customWidth="1"/>
    <col min="2563" max="2563" width="18.7265625" style="4" customWidth="1"/>
    <col min="2564" max="2564" width="10.26953125" style="4" customWidth="1"/>
    <col min="2565" max="2565" width="17" style="4" customWidth="1"/>
    <col min="2566" max="2566" width="17.1796875" style="4" customWidth="1"/>
    <col min="2567" max="2567" width="20.26953125" style="4" customWidth="1"/>
    <col min="2568" max="2816" width="9.1796875" style="4"/>
    <col min="2817" max="2817" width="10.81640625" style="4" customWidth="1"/>
    <col min="2818" max="2818" width="24.453125" style="4" customWidth="1"/>
    <col min="2819" max="2819" width="18.7265625" style="4" customWidth="1"/>
    <col min="2820" max="2820" width="10.26953125" style="4" customWidth="1"/>
    <col min="2821" max="2821" width="17" style="4" customWidth="1"/>
    <col min="2822" max="2822" width="17.1796875" style="4" customWidth="1"/>
    <col min="2823" max="2823" width="20.26953125" style="4" customWidth="1"/>
    <col min="2824" max="3072" width="9.1796875" style="4"/>
    <col min="3073" max="3073" width="10.81640625" style="4" customWidth="1"/>
    <col min="3074" max="3074" width="24.453125" style="4" customWidth="1"/>
    <col min="3075" max="3075" width="18.7265625" style="4" customWidth="1"/>
    <col min="3076" max="3076" width="10.26953125" style="4" customWidth="1"/>
    <col min="3077" max="3077" width="17" style="4" customWidth="1"/>
    <col min="3078" max="3078" width="17.1796875" style="4" customWidth="1"/>
    <col min="3079" max="3079" width="20.26953125" style="4" customWidth="1"/>
    <col min="3080" max="3328" width="9.1796875" style="4"/>
    <col min="3329" max="3329" width="10.81640625" style="4" customWidth="1"/>
    <col min="3330" max="3330" width="24.453125" style="4" customWidth="1"/>
    <col min="3331" max="3331" width="18.7265625" style="4" customWidth="1"/>
    <col min="3332" max="3332" width="10.26953125" style="4" customWidth="1"/>
    <col min="3333" max="3333" width="17" style="4" customWidth="1"/>
    <col min="3334" max="3334" width="17.1796875" style="4" customWidth="1"/>
    <col min="3335" max="3335" width="20.26953125" style="4" customWidth="1"/>
    <col min="3336" max="3584" width="9.1796875" style="4"/>
    <col min="3585" max="3585" width="10.81640625" style="4" customWidth="1"/>
    <col min="3586" max="3586" width="24.453125" style="4" customWidth="1"/>
    <col min="3587" max="3587" width="18.7265625" style="4" customWidth="1"/>
    <col min="3588" max="3588" width="10.26953125" style="4" customWidth="1"/>
    <col min="3589" max="3589" width="17" style="4" customWidth="1"/>
    <col min="3590" max="3590" width="17.1796875" style="4" customWidth="1"/>
    <col min="3591" max="3591" width="20.26953125" style="4" customWidth="1"/>
    <col min="3592" max="3840" width="9.1796875" style="4"/>
    <col min="3841" max="3841" width="10.81640625" style="4" customWidth="1"/>
    <col min="3842" max="3842" width="24.453125" style="4" customWidth="1"/>
    <col min="3843" max="3843" width="18.7265625" style="4" customWidth="1"/>
    <col min="3844" max="3844" width="10.26953125" style="4" customWidth="1"/>
    <col min="3845" max="3845" width="17" style="4" customWidth="1"/>
    <col min="3846" max="3846" width="17.1796875" style="4" customWidth="1"/>
    <col min="3847" max="3847" width="20.26953125" style="4" customWidth="1"/>
    <col min="3848" max="4096" width="9.1796875" style="4"/>
    <col min="4097" max="4097" width="10.81640625" style="4" customWidth="1"/>
    <col min="4098" max="4098" width="24.453125" style="4" customWidth="1"/>
    <col min="4099" max="4099" width="18.7265625" style="4" customWidth="1"/>
    <col min="4100" max="4100" width="10.26953125" style="4" customWidth="1"/>
    <col min="4101" max="4101" width="17" style="4" customWidth="1"/>
    <col min="4102" max="4102" width="17.1796875" style="4" customWidth="1"/>
    <col min="4103" max="4103" width="20.26953125" style="4" customWidth="1"/>
    <col min="4104" max="4352" width="9.1796875" style="4"/>
    <col min="4353" max="4353" width="10.81640625" style="4" customWidth="1"/>
    <col min="4354" max="4354" width="24.453125" style="4" customWidth="1"/>
    <col min="4355" max="4355" width="18.7265625" style="4" customWidth="1"/>
    <col min="4356" max="4356" width="10.26953125" style="4" customWidth="1"/>
    <col min="4357" max="4357" width="17" style="4" customWidth="1"/>
    <col min="4358" max="4358" width="17.1796875" style="4" customWidth="1"/>
    <col min="4359" max="4359" width="20.26953125" style="4" customWidth="1"/>
    <col min="4360" max="4608" width="9.1796875" style="4"/>
    <col min="4609" max="4609" width="10.81640625" style="4" customWidth="1"/>
    <col min="4610" max="4610" width="24.453125" style="4" customWidth="1"/>
    <col min="4611" max="4611" width="18.7265625" style="4" customWidth="1"/>
    <col min="4612" max="4612" width="10.26953125" style="4" customWidth="1"/>
    <col min="4613" max="4613" width="17" style="4" customWidth="1"/>
    <col min="4614" max="4614" width="17.1796875" style="4" customWidth="1"/>
    <col min="4615" max="4615" width="20.26953125" style="4" customWidth="1"/>
    <col min="4616" max="4864" width="9.1796875" style="4"/>
    <col min="4865" max="4865" width="10.81640625" style="4" customWidth="1"/>
    <col min="4866" max="4866" width="24.453125" style="4" customWidth="1"/>
    <col min="4867" max="4867" width="18.7265625" style="4" customWidth="1"/>
    <col min="4868" max="4868" width="10.26953125" style="4" customWidth="1"/>
    <col min="4869" max="4869" width="17" style="4" customWidth="1"/>
    <col min="4870" max="4870" width="17.1796875" style="4" customWidth="1"/>
    <col min="4871" max="4871" width="20.26953125" style="4" customWidth="1"/>
    <col min="4872" max="5120" width="9.1796875" style="4"/>
    <col min="5121" max="5121" width="10.81640625" style="4" customWidth="1"/>
    <col min="5122" max="5122" width="24.453125" style="4" customWidth="1"/>
    <col min="5123" max="5123" width="18.7265625" style="4" customWidth="1"/>
    <col min="5124" max="5124" width="10.26953125" style="4" customWidth="1"/>
    <col min="5125" max="5125" width="17" style="4" customWidth="1"/>
    <col min="5126" max="5126" width="17.1796875" style="4" customWidth="1"/>
    <col min="5127" max="5127" width="20.26953125" style="4" customWidth="1"/>
    <col min="5128" max="5376" width="9.1796875" style="4"/>
    <col min="5377" max="5377" width="10.81640625" style="4" customWidth="1"/>
    <col min="5378" max="5378" width="24.453125" style="4" customWidth="1"/>
    <col min="5379" max="5379" width="18.7265625" style="4" customWidth="1"/>
    <col min="5380" max="5380" width="10.26953125" style="4" customWidth="1"/>
    <col min="5381" max="5381" width="17" style="4" customWidth="1"/>
    <col min="5382" max="5382" width="17.1796875" style="4" customWidth="1"/>
    <col min="5383" max="5383" width="20.26953125" style="4" customWidth="1"/>
    <col min="5384" max="5632" width="9.1796875" style="4"/>
    <col min="5633" max="5633" width="10.81640625" style="4" customWidth="1"/>
    <col min="5634" max="5634" width="24.453125" style="4" customWidth="1"/>
    <col min="5635" max="5635" width="18.7265625" style="4" customWidth="1"/>
    <col min="5636" max="5636" width="10.26953125" style="4" customWidth="1"/>
    <col min="5637" max="5637" width="17" style="4" customWidth="1"/>
    <col min="5638" max="5638" width="17.1796875" style="4" customWidth="1"/>
    <col min="5639" max="5639" width="20.26953125" style="4" customWidth="1"/>
    <col min="5640" max="5888" width="9.1796875" style="4"/>
    <col min="5889" max="5889" width="10.81640625" style="4" customWidth="1"/>
    <col min="5890" max="5890" width="24.453125" style="4" customWidth="1"/>
    <col min="5891" max="5891" width="18.7265625" style="4" customWidth="1"/>
    <col min="5892" max="5892" width="10.26953125" style="4" customWidth="1"/>
    <col min="5893" max="5893" width="17" style="4" customWidth="1"/>
    <col min="5894" max="5894" width="17.1796875" style="4" customWidth="1"/>
    <col min="5895" max="5895" width="20.26953125" style="4" customWidth="1"/>
    <col min="5896" max="6144" width="9.1796875" style="4"/>
    <col min="6145" max="6145" width="10.81640625" style="4" customWidth="1"/>
    <col min="6146" max="6146" width="24.453125" style="4" customWidth="1"/>
    <col min="6147" max="6147" width="18.7265625" style="4" customWidth="1"/>
    <col min="6148" max="6148" width="10.26953125" style="4" customWidth="1"/>
    <col min="6149" max="6149" width="17" style="4" customWidth="1"/>
    <col min="6150" max="6150" width="17.1796875" style="4" customWidth="1"/>
    <col min="6151" max="6151" width="20.26953125" style="4" customWidth="1"/>
    <col min="6152" max="6400" width="9.1796875" style="4"/>
    <col min="6401" max="6401" width="10.81640625" style="4" customWidth="1"/>
    <col min="6402" max="6402" width="24.453125" style="4" customWidth="1"/>
    <col min="6403" max="6403" width="18.7265625" style="4" customWidth="1"/>
    <col min="6404" max="6404" width="10.26953125" style="4" customWidth="1"/>
    <col min="6405" max="6405" width="17" style="4" customWidth="1"/>
    <col min="6406" max="6406" width="17.1796875" style="4" customWidth="1"/>
    <col min="6407" max="6407" width="20.26953125" style="4" customWidth="1"/>
    <col min="6408" max="6656" width="9.1796875" style="4"/>
    <col min="6657" max="6657" width="10.81640625" style="4" customWidth="1"/>
    <col min="6658" max="6658" width="24.453125" style="4" customWidth="1"/>
    <col min="6659" max="6659" width="18.7265625" style="4" customWidth="1"/>
    <col min="6660" max="6660" width="10.26953125" style="4" customWidth="1"/>
    <col min="6661" max="6661" width="17" style="4" customWidth="1"/>
    <col min="6662" max="6662" width="17.1796875" style="4" customWidth="1"/>
    <col min="6663" max="6663" width="20.26953125" style="4" customWidth="1"/>
    <col min="6664" max="6912" width="9.1796875" style="4"/>
    <col min="6913" max="6913" width="10.81640625" style="4" customWidth="1"/>
    <col min="6914" max="6914" width="24.453125" style="4" customWidth="1"/>
    <col min="6915" max="6915" width="18.7265625" style="4" customWidth="1"/>
    <col min="6916" max="6916" width="10.26953125" style="4" customWidth="1"/>
    <col min="6917" max="6917" width="17" style="4" customWidth="1"/>
    <col min="6918" max="6918" width="17.1796875" style="4" customWidth="1"/>
    <col min="6919" max="6919" width="20.26953125" style="4" customWidth="1"/>
    <col min="6920" max="7168" width="9.1796875" style="4"/>
    <col min="7169" max="7169" width="10.81640625" style="4" customWidth="1"/>
    <col min="7170" max="7170" width="24.453125" style="4" customWidth="1"/>
    <col min="7171" max="7171" width="18.7265625" style="4" customWidth="1"/>
    <col min="7172" max="7172" width="10.26953125" style="4" customWidth="1"/>
    <col min="7173" max="7173" width="17" style="4" customWidth="1"/>
    <col min="7174" max="7174" width="17.1796875" style="4" customWidth="1"/>
    <col min="7175" max="7175" width="20.26953125" style="4" customWidth="1"/>
    <col min="7176" max="7424" width="9.1796875" style="4"/>
    <col min="7425" max="7425" width="10.81640625" style="4" customWidth="1"/>
    <col min="7426" max="7426" width="24.453125" style="4" customWidth="1"/>
    <col min="7427" max="7427" width="18.7265625" style="4" customWidth="1"/>
    <col min="7428" max="7428" width="10.26953125" style="4" customWidth="1"/>
    <col min="7429" max="7429" width="17" style="4" customWidth="1"/>
    <col min="7430" max="7430" width="17.1796875" style="4" customWidth="1"/>
    <col min="7431" max="7431" width="20.26953125" style="4" customWidth="1"/>
    <col min="7432" max="7680" width="9.1796875" style="4"/>
    <col min="7681" max="7681" width="10.81640625" style="4" customWidth="1"/>
    <col min="7682" max="7682" width="24.453125" style="4" customWidth="1"/>
    <col min="7683" max="7683" width="18.7265625" style="4" customWidth="1"/>
    <col min="7684" max="7684" width="10.26953125" style="4" customWidth="1"/>
    <col min="7685" max="7685" width="17" style="4" customWidth="1"/>
    <col min="7686" max="7686" width="17.1796875" style="4" customWidth="1"/>
    <col min="7687" max="7687" width="20.26953125" style="4" customWidth="1"/>
    <col min="7688" max="7936" width="9.1796875" style="4"/>
    <col min="7937" max="7937" width="10.81640625" style="4" customWidth="1"/>
    <col min="7938" max="7938" width="24.453125" style="4" customWidth="1"/>
    <col min="7939" max="7939" width="18.7265625" style="4" customWidth="1"/>
    <col min="7940" max="7940" width="10.26953125" style="4" customWidth="1"/>
    <col min="7941" max="7941" width="17" style="4" customWidth="1"/>
    <col min="7942" max="7942" width="17.1796875" style="4" customWidth="1"/>
    <col min="7943" max="7943" width="20.26953125" style="4" customWidth="1"/>
    <col min="7944" max="8192" width="9.1796875" style="4"/>
    <col min="8193" max="8193" width="10.81640625" style="4" customWidth="1"/>
    <col min="8194" max="8194" width="24.453125" style="4" customWidth="1"/>
    <col min="8195" max="8195" width="18.7265625" style="4" customWidth="1"/>
    <col min="8196" max="8196" width="10.26953125" style="4" customWidth="1"/>
    <col min="8197" max="8197" width="17" style="4" customWidth="1"/>
    <col min="8198" max="8198" width="17.1796875" style="4" customWidth="1"/>
    <col min="8199" max="8199" width="20.26953125" style="4" customWidth="1"/>
    <col min="8200" max="8448" width="9.1796875" style="4"/>
    <col min="8449" max="8449" width="10.81640625" style="4" customWidth="1"/>
    <col min="8450" max="8450" width="24.453125" style="4" customWidth="1"/>
    <col min="8451" max="8451" width="18.7265625" style="4" customWidth="1"/>
    <col min="8452" max="8452" width="10.26953125" style="4" customWidth="1"/>
    <col min="8453" max="8453" width="17" style="4" customWidth="1"/>
    <col min="8454" max="8454" width="17.1796875" style="4" customWidth="1"/>
    <col min="8455" max="8455" width="20.26953125" style="4" customWidth="1"/>
    <col min="8456" max="8704" width="9.1796875" style="4"/>
    <col min="8705" max="8705" width="10.81640625" style="4" customWidth="1"/>
    <col min="8706" max="8706" width="24.453125" style="4" customWidth="1"/>
    <col min="8707" max="8707" width="18.7265625" style="4" customWidth="1"/>
    <col min="8708" max="8708" width="10.26953125" style="4" customWidth="1"/>
    <col min="8709" max="8709" width="17" style="4" customWidth="1"/>
    <col min="8710" max="8710" width="17.1796875" style="4" customWidth="1"/>
    <col min="8711" max="8711" width="20.26953125" style="4" customWidth="1"/>
    <col min="8712" max="8960" width="9.1796875" style="4"/>
    <col min="8961" max="8961" width="10.81640625" style="4" customWidth="1"/>
    <col min="8962" max="8962" width="24.453125" style="4" customWidth="1"/>
    <col min="8963" max="8963" width="18.7265625" style="4" customWidth="1"/>
    <col min="8964" max="8964" width="10.26953125" style="4" customWidth="1"/>
    <col min="8965" max="8965" width="17" style="4" customWidth="1"/>
    <col min="8966" max="8966" width="17.1796875" style="4" customWidth="1"/>
    <col min="8967" max="8967" width="20.26953125" style="4" customWidth="1"/>
    <col min="8968" max="9216" width="9.1796875" style="4"/>
    <col min="9217" max="9217" width="10.81640625" style="4" customWidth="1"/>
    <col min="9218" max="9218" width="24.453125" style="4" customWidth="1"/>
    <col min="9219" max="9219" width="18.7265625" style="4" customWidth="1"/>
    <col min="9220" max="9220" width="10.26953125" style="4" customWidth="1"/>
    <col min="9221" max="9221" width="17" style="4" customWidth="1"/>
    <col min="9222" max="9222" width="17.1796875" style="4" customWidth="1"/>
    <col min="9223" max="9223" width="20.26953125" style="4" customWidth="1"/>
    <col min="9224" max="9472" width="9.1796875" style="4"/>
    <col min="9473" max="9473" width="10.81640625" style="4" customWidth="1"/>
    <col min="9474" max="9474" width="24.453125" style="4" customWidth="1"/>
    <col min="9475" max="9475" width="18.7265625" style="4" customWidth="1"/>
    <col min="9476" max="9476" width="10.26953125" style="4" customWidth="1"/>
    <col min="9477" max="9477" width="17" style="4" customWidth="1"/>
    <col min="9478" max="9478" width="17.1796875" style="4" customWidth="1"/>
    <col min="9479" max="9479" width="20.26953125" style="4" customWidth="1"/>
    <col min="9480" max="9728" width="9.1796875" style="4"/>
    <col min="9729" max="9729" width="10.81640625" style="4" customWidth="1"/>
    <col min="9730" max="9730" width="24.453125" style="4" customWidth="1"/>
    <col min="9731" max="9731" width="18.7265625" style="4" customWidth="1"/>
    <col min="9732" max="9732" width="10.26953125" style="4" customWidth="1"/>
    <col min="9733" max="9733" width="17" style="4" customWidth="1"/>
    <col min="9734" max="9734" width="17.1796875" style="4" customWidth="1"/>
    <col min="9735" max="9735" width="20.26953125" style="4" customWidth="1"/>
    <col min="9736" max="9984" width="9.1796875" style="4"/>
    <col min="9985" max="9985" width="10.81640625" style="4" customWidth="1"/>
    <col min="9986" max="9986" width="24.453125" style="4" customWidth="1"/>
    <col min="9987" max="9987" width="18.7265625" style="4" customWidth="1"/>
    <col min="9988" max="9988" width="10.26953125" style="4" customWidth="1"/>
    <col min="9989" max="9989" width="17" style="4" customWidth="1"/>
    <col min="9990" max="9990" width="17.1796875" style="4" customWidth="1"/>
    <col min="9991" max="9991" width="20.26953125" style="4" customWidth="1"/>
    <col min="9992" max="10240" width="9.1796875" style="4"/>
    <col min="10241" max="10241" width="10.81640625" style="4" customWidth="1"/>
    <col min="10242" max="10242" width="24.453125" style="4" customWidth="1"/>
    <col min="10243" max="10243" width="18.7265625" style="4" customWidth="1"/>
    <col min="10244" max="10244" width="10.26953125" style="4" customWidth="1"/>
    <col min="10245" max="10245" width="17" style="4" customWidth="1"/>
    <col min="10246" max="10246" width="17.1796875" style="4" customWidth="1"/>
    <col min="10247" max="10247" width="20.26953125" style="4" customWidth="1"/>
    <col min="10248" max="10496" width="9.1796875" style="4"/>
    <col min="10497" max="10497" width="10.81640625" style="4" customWidth="1"/>
    <col min="10498" max="10498" width="24.453125" style="4" customWidth="1"/>
    <col min="10499" max="10499" width="18.7265625" style="4" customWidth="1"/>
    <col min="10500" max="10500" width="10.26953125" style="4" customWidth="1"/>
    <col min="10501" max="10501" width="17" style="4" customWidth="1"/>
    <col min="10502" max="10502" width="17.1796875" style="4" customWidth="1"/>
    <col min="10503" max="10503" width="20.26953125" style="4" customWidth="1"/>
    <col min="10504" max="10752" width="9.1796875" style="4"/>
    <col min="10753" max="10753" width="10.81640625" style="4" customWidth="1"/>
    <col min="10754" max="10754" width="24.453125" style="4" customWidth="1"/>
    <col min="10755" max="10755" width="18.7265625" style="4" customWidth="1"/>
    <col min="10756" max="10756" width="10.26953125" style="4" customWidth="1"/>
    <col min="10757" max="10757" width="17" style="4" customWidth="1"/>
    <col min="10758" max="10758" width="17.1796875" style="4" customWidth="1"/>
    <col min="10759" max="10759" width="20.26953125" style="4" customWidth="1"/>
    <col min="10760" max="11008" width="9.1796875" style="4"/>
    <col min="11009" max="11009" width="10.81640625" style="4" customWidth="1"/>
    <col min="11010" max="11010" width="24.453125" style="4" customWidth="1"/>
    <col min="11011" max="11011" width="18.7265625" style="4" customWidth="1"/>
    <col min="11012" max="11012" width="10.26953125" style="4" customWidth="1"/>
    <col min="11013" max="11013" width="17" style="4" customWidth="1"/>
    <col min="11014" max="11014" width="17.1796875" style="4" customWidth="1"/>
    <col min="11015" max="11015" width="20.26953125" style="4" customWidth="1"/>
    <col min="11016" max="11264" width="9.1796875" style="4"/>
    <col min="11265" max="11265" width="10.81640625" style="4" customWidth="1"/>
    <col min="11266" max="11266" width="24.453125" style="4" customWidth="1"/>
    <col min="11267" max="11267" width="18.7265625" style="4" customWidth="1"/>
    <col min="11268" max="11268" width="10.26953125" style="4" customWidth="1"/>
    <col min="11269" max="11269" width="17" style="4" customWidth="1"/>
    <col min="11270" max="11270" width="17.1796875" style="4" customWidth="1"/>
    <col min="11271" max="11271" width="20.26953125" style="4" customWidth="1"/>
    <col min="11272" max="11520" width="9.1796875" style="4"/>
    <col min="11521" max="11521" width="10.81640625" style="4" customWidth="1"/>
    <col min="11522" max="11522" width="24.453125" style="4" customWidth="1"/>
    <col min="11523" max="11523" width="18.7265625" style="4" customWidth="1"/>
    <col min="11524" max="11524" width="10.26953125" style="4" customWidth="1"/>
    <col min="11525" max="11525" width="17" style="4" customWidth="1"/>
    <col min="11526" max="11526" width="17.1796875" style="4" customWidth="1"/>
    <col min="11527" max="11527" width="20.26953125" style="4" customWidth="1"/>
    <col min="11528" max="11776" width="9.1796875" style="4"/>
    <col min="11777" max="11777" width="10.81640625" style="4" customWidth="1"/>
    <col min="11778" max="11778" width="24.453125" style="4" customWidth="1"/>
    <col min="11779" max="11779" width="18.7265625" style="4" customWidth="1"/>
    <col min="11780" max="11780" width="10.26953125" style="4" customWidth="1"/>
    <col min="11781" max="11781" width="17" style="4" customWidth="1"/>
    <col min="11782" max="11782" width="17.1796875" style="4" customWidth="1"/>
    <col min="11783" max="11783" width="20.26953125" style="4" customWidth="1"/>
    <col min="11784" max="12032" width="9.1796875" style="4"/>
    <col min="12033" max="12033" width="10.81640625" style="4" customWidth="1"/>
    <col min="12034" max="12034" width="24.453125" style="4" customWidth="1"/>
    <col min="12035" max="12035" width="18.7265625" style="4" customWidth="1"/>
    <col min="12036" max="12036" width="10.26953125" style="4" customWidth="1"/>
    <col min="12037" max="12037" width="17" style="4" customWidth="1"/>
    <col min="12038" max="12038" width="17.1796875" style="4" customWidth="1"/>
    <col min="12039" max="12039" width="20.26953125" style="4" customWidth="1"/>
    <col min="12040" max="12288" width="9.1796875" style="4"/>
    <col min="12289" max="12289" width="10.81640625" style="4" customWidth="1"/>
    <col min="12290" max="12290" width="24.453125" style="4" customWidth="1"/>
    <col min="12291" max="12291" width="18.7265625" style="4" customWidth="1"/>
    <col min="12292" max="12292" width="10.26953125" style="4" customWidth="1"/>
    <col min="12293" max="12293" width="17" style="4" customWidth="1"/>
    <col min="12294" max="12294" width="17.1796875" style="4" customWidth="1"/>
    <col min="12295" max="12295" width="20.26953125" style="4" customWidth="1"/>
    <col min="12296" max="12544" width="9.1796875" style="4"/>
    <col min="12545" max="12545" width="10.81640625" style="4" customWidth="1"/>
    <col min="12546" max="12546" width="24.453125" style="4" customWidth="1"/>
    <col min="12547" max="12547" width="18.7265625" style="4" customWidth="1"/>
    <col min="12548" max="12548" width="10.26953125" style="4" customWidth="1"/>
    <col min="12549" max="12549" width="17" style="4" customWidth="1"/>
    <col min="12550" max="12550" width="17.1796875" style="4" customWidth="1"/>
    <col min="12551" max="12551" width="20.26953125" style="4" customWidth="1"/>
    <col min="12552" max="12800" width="9.1796875" style="4"/>
    <col min="12801" max="12801" width="10.81640625" style="4" customWidth="1"/>
    <col min="12802" max="12802" width="24.453125" style="4" customWidth="1"/>
    <col min="12803" max="12803" width="18.7265625" style="4" customWidth="1"/>
    <col min="12804" max="12804" width="10.26953125" style="4" customWidth="1"/>
    <col min="12805" max="12805" width="17" style="4" customWidth="1"/>
    <col min="12806" max="12806" width="17.1796875" style="4" customWidth="1"/>
    <col min="12807" max="12807" width="20.26953125" style="4" customWidth="1"/>
    <col min="12808" max="13056" width="9.1796875" style="4"/>
    <col min="13057" max="13057" width="10.81640625" style="4" customWidth="1"/>
    <col min="13058" max="13058" width="24.453125" style="4" customWidth="1"/>
    <col min="13059" max="13059" width="18.7265625" style="4" customWidth="1"/>
    <col min="13060" max="13060" width="10.26953125" style="4" customWidth="1"/>
    <col min="13061" max="13061" width="17" style="4" customWidth="1"/>
    <col min="13062" max="13062" width="17.1796875" style="4" customWidth="1"/>
    <col min="13063" max="13063" width="20.26953125" style="4" customWidth="1"/>
    <col min="13064" max="13312" width="9.1796875" style="4"/>
    <col min="13313" max="13313" width="10.81640625" style="4" customWidth="1"/>
    <col min="13314" max="13314" width="24.453125" style="4" customWidth="1"/>
    <col min="13315" max="13315" width="18.7265625" style="4" customWidth="1"/>
    <col min="13316" max="13316" width="10.26953125" style="4" customWidth="1"/>
    <col min="13317" max="13317" width="17" style="4" customWidth="1"/>
    <col min="13318" max="13318" width="17.1796875" style="4" customWidth="1"/>
    <col min="13319" max="13319" width="20.26953125" style="4" customWidth="1"/>
    <col min="13320" max="13568" width="9.1796875" style="4"/>
    <col min="13569" max="13569" width="10.81640625" style="4" customWidth="1"/>
    <col min="13570" max="13570" width="24.453125" style="4" customWidth="1"/>
    <col min="13571" max="13571" width="18.7265625" style="4" customWidth="1"/>
    <col min="13572" max="13572" width="10.26953125" style="4" customWidth="1"/>
    <col min="13573" max="13573" width="17" style="4" customWidth="1"/>
    <col min="13574" max="13574" width="17.1796875" style="4" customWidth="1"/>
    <col min="13575" max="13575" width="20.26953125" style="4" customWidth="1"/>
    <col min="13576" max="13824" width="9.1796875" style="4"/>
    <col min="13825" max="13825" width="10.81640625" style="4" customWidth="1"/>
    <col min="13826" max="13826" width="24.453125" style="4" customWidth="1"/>
    <col min="13827" max="13827" width="18.7265625" style="4" customWidth="1"/>
    <col min="13828" max="13828" width="10.26953125" style="4" customWidth="1"/>
    <col min="13829" max="13829" width="17" style="4" customWidth="1"/>
    <col min="13830" max="13830" width="17.1796875" style="4" customWidth="1"/>
    <col min="13831" max="13831" width="20.26953125" style="4" customWidth="1"/>
    <col min="13832" max="14080" width="9.1796875" style="4"/>
    <col min="14081" max="14081" width="10.81640625" style="4" customWidth="1"/>
    <col min="14082" max="14082" width="24.453125" style="4" customWidth="1"/>
    <col min="14083" max="14083" width="18.7265625" style="4" customWidth="1"/>
    <col min="14084" max="14084" width="10.26953125" style="4" customWidth="1"/>
    <col min="14085" max="14085" width="17" style="4" customWidth="1"/>
    <col min="14086" max="14086" width="17.1796875" style="4" customWidth="1"/>
    <col min="14087" max="14087" width="20.26953125" style="4" customWidth="1"/>
    <col min="14088" max="14336" width="9.1796875" style="4"/>
    <col min="14337" max="14337" width="10.81640625" style="4" customWidth="1"/>
    <col min="14338" max="14338" width="24.453125" style="4" customWidth="1"/>
    <col min="14339" max="14339" width="18.7265625" style="4" customWidth="1"/>
    <col min="14340" max="14340" width="10.26953125" style="4" customWidth="1"/>
    <col min="14341" max="14341" width="17" style="4" customWidth="1"/>
    <col min="14342" max="14342" width="17.1796875" style="4" customWidth="1"/>
    <col min="14343" max="14343" width="20.26953125" style="4" customWidth="1"/>
    <col min="14344" max="14592" width="9.1796875" style="4"/>
    <col min="14593" max="14593" width="10.81640625" style="4" customWidth="1"/>
    <col min="14594" max="14594" width="24.453125" style="4" customWidth="1"/>
    <col min="14595" max="14595" width="18.7265625" style="4" customWidth="1"/>
    <col min="14596" max="14596" width="10.26953125" style="4" customWidth="1"/>
    <col min="14597" max="14597" width="17" style="4" customWidth="1"/>
    <col min="14598" max="14598" width="17.1796875" style="4" customWidth="1"/>
    <col min="14599" max="14599" width="20.26953125" style="4" customWidth="1"/>
    <col min="14600" max="14848" width="9.1796875" style="4"/>
    <col min="14849" max="14849" width="10.81640625" style="4" customWidth="1"/>
    <col min="14850" max="14850" width="24.453125" style="4" customWidth="1"/>
    <col min="14851" max="14851" width="18.7265625" style="4" customWidth="1"/>
    <col min="14852" max="14852" width="10.26953125" style="4" customWidth="1"/>
    <col min="14853" max="14853" width="17" style="4" customWidth="1"/>
    <col min="14854" max="14854" width="17.1796875" style="4" customWidth="1"/>
    <col min="14855" max="14855" width="20.26953125" style="4" customWidth="1"/>
    <col min="14856" max="15104" width="9.1796875" style="4"/>
    <col min="15105" max="15105" width="10.81640625" style="4" customWidth="1"/>
    <col min="15106" max="15106" width="24.453125" style="4" customWidth="1"/>
    <col min="15107" max="15107" width="18.7265625" style="4" customWidth="1"/>
    <col min="15108" max="15108" width="10.26953125" style="4" customWidth="1"/>
    <col min="15109" max="15109" width="17" style="4" customWidth="1"/>
    <col min="15110" max="15110" width="17.1796875" style="4" customWidth="1"/>
    <col min="15111" max="15111" width="20.26953125" style="4" customWidth="1"/>
    <col min="15112" max="15360" width="9.1796875" style="4"/>
    <col min="15361" max="15361" width="10.81640625" style="4" customWidth="1"/>
    <col min="15362" max="15362" width="24.453125" style="4" customWidth="1"/>
    <col min="15363" max="15363" width="18.7265625" style="4" customWidth="1"/>
    <col min="15364" max="15364" width="10.26953125" style="4" customWidth="1"/>
    <col min="15365" max="15365" width="17" style="4" customWidth="1"/>
    <col min="15366" max="15366" width="17.1796875" style="4" customWidth="1"/>
    <col min="15367" max="15367" width="20.26953125" style="4" customWidth="1"/>
    <col min="15368" max="15616" width="9.1796875" style="4"/>
    <col min="15617" max="15617" width="10.81640625" style="4" customWidth="1"/>
    <col min="15618" max="15618" width="24.453125" style="4" customWidth="1"/>
    <col min="15619" max="15619" width="18.7265625" style="4" customWidth="1"/>
    <col min="15620" max="15620" width="10.26953125" style="4" customWidth="1"/>
    <col min="15621" max="15621" width="17" style="4" customWidth="1"/>
    <col min="15622" max="15622" width="17.1796875" style="4" customWidth="1"/>
    <col min="15623" max="15623" width="20.26953125" style="4" customWidth="1"/>
    <col min="15624" max="15872" width="9.1796875" style="4"/>
    <col min="15873" max="15873" width="10.81640625" style="4" customWidth="1"/>
    <col min="15874" max="15874" width="24.453125" style="4" customWidth="1"/>
    <col min="15875" max="15875" width="18.7265625" style="4" customWidth="1"/>
    <col min="15876" max="15876" width="10.26953125" style="4" customWidth="1"/>
    <col min="15877" max="15877" width="17" style="4" customWidth="1"/>
    <col min="15878" max="15878" width="17.1796875" style="4" customWidth="1"/>
    <col min="15879" max="15879" width="20.26953125" style="4" customWidth="1"/>
    <col min="15880" max="16128" width="9.1796875" style="4"/>
    <col min="16129" max="16129" width="10.81640625" style="4" customWidth="1"/>
    <col min="16130" max="16130" width="24.453125" style="4" customWidth="1"/>
    <col min="16131" max="16131" width="18.7265625" style="4" customWidth="1"/>
    <col min="16132" max="16132" width="10.26953125" style="4" customWidth="1"/>
    <col min="16133" max="16133" width="17" style="4" customWidth="1"/>
    <col min="16134" max="16134" width="17.1796875" style="4" customWidth="1"/>
    <col min="16135" max="16135" width="20.26953125" style="4" customWidth="1"/>
    <col min="16136" max="16384" width="9.1796875" style="4"/>
  </cols>
  <sheetData>
    <row r="1" spans="1:7" ht="24.75" customHeight="1">
      <c r="A1" s="315" t="s">
        <v>58</v>
      </c>
      <c r="B1" s="315"/>
      <c r="C1" s="315"/>
      <c r="D1" s="315"/>
      <c r="E1" s="315"/>
      <c r="F1" s="315"/>
      <c r="G1" s="315"/>
    </row>
    <row r="2" spans="1:7" ht="24" customHeight="1">
      <c r="A2" s="316" t="s">
        <v>59</v>
      </c>
      <c r="B2" s="316"/>
      <c r="C2" s="316"/>
      <c r="D2" s="316"/>
      <c r="E2" s="316"/>
      <c r="F2" s="316"/>
      <c r="G2" s="316"/>
    </row>
    <row r="3" spans="1:7">
      <c r="A3" s="317" t="s">
        <v>60</v>
      </c>
      <c r="B3" s="317"/>
      <c r="C3" s="317"/>
      <c r="D3" s="317"/>
      <c r="E3" s="317"/>
      <c r="F3" s="317"/>
      <c r="G3" s="317"/>
    </row>
    <row r="4" spans="1:7" ht="24.75" customHeight="1">
      <c r="A4" s="315" t="s">
        <v>61</v>
      </c>
      <c r="B4" s="315"/>
      <c r="C4" s="315"/>
      <c r="D4" s="315"/>
      <c r="E4" s="315"/>
      <c r="F4" s="315"/>
      <c r="G4" s="315"/>
    </row>
    <row r="5" spans="1:7" ht="22.5">
      <c r="A5" s="318" t="s">
        <v>95</v>
      </c>
      <c r="B5" s="318"/>
      <c r="C5" s="318"/>
      <c r="D5" s="318"/>
      <c r="E5" s="318"/>
      <c r="F5" s="318"/>
      <c r="G5" s="318"/>
    </row>
    <row r="6" spans="1:7" ht="24.75" customHeight="1">
      <c r="A6" s="312" t="s">
        <v>62</v>
      </c>
      <c r="B6" s="313"/>
      <c r="C6" s="314" t="s">
        <v>63</v>
      </c>
      <c r="D6" s="314"/>
      <c r="E6" s="314"/>
      <c r="F6" s="314"/>
      <c r="G6" s="314"/>
    </row>
    <row r="7" spans="1:7">
      <c r="A7" s="319" t="s">
        <v>64</v>
      </c>
      <c r="B7" s="319"/>
      <c r="C7" s="319"/>
      <c r="D7" s="319"/>
      <c r="E7" s="319"/>
      <c r="F7" s="319"/>
      <c r="G7" s="319"/>
    </row>
    <row r="8" spans="1:7" ht="24.75" customHeight="1">
      <c r="A8" s="320" t="s">
        <v>65</v>
      </c>
      <c r="B8" s="320"/>
      <c r="C8" s="320"/>
      <c r="D8" s="320"/>
      <c r="E8" s="320"/>
      <c r="F8" s="320"/>
      <c r="G8" s="320"/>
    </row>
    <row r="9" spans="1:7" ht="22.5">
      <c r="A9" s="320" t="s">
        <v>66</v>
      </c>
      <c r="B9" s="320"/>
      <c r="C9" s="320"/>
      <c r="D9" s="320"/>
      <c r="E9" s="320"/>
      <c r="F9" s="320"/>
      <c r="G9" s="320"/>
    </row>
    <row r="10" spans="1:7" ht="18.75" customHeight="1">
      <c r="A10" s="320" t="s">
        <v>87</v>
      </c>
      <c r="B10" s="320"/>
      <c r="C10" s="320"/>
      <c r="D10" s="320" t="s">
        <v>67</v>
      </c>
      <c r="E10" s="320"/>
      <c r="F10" s="320"/>
      <c r="G10" s="320"/>
    </row>
    <row r="11" spans="1:7" ht="25">
      <c r="A11" s="312" t="s">
        <v>68</v>
      </c>
      <c r="B11" s="313"/>
      <c r="C11" s="314" t="s">
        <v>69</v>
      </c>
      <c r="D11" s="314"/>
      <c r="E11" s="314"/>
      <c r="F11" s="314"/>
      <c r="G11" s="314"/>
    </row>
    <row r="12" spans="1:7" ht="18.75" customHeight="1">
      <c r="A12" s="319" t="s">
        <v>70</v>
      </c>
      <c r="B12" s="319"/>
      <c r="C12" s="319"/>
      <c r="D12" s="319"/>
      <c r="E12" s="319"/>
      <c r="F12" s="319"/>
      <c r="G12" s="319"/>
    </row>
    <row r="13" spans="1:7" ht="22.5">
      <c r="A13" s="320" t="s">
        <v>71</v>
      </c>
      <c r="B13" s="320"/>
      <c r="C13" s="320"/>
      <c r="D13" s="320"/>
      <c r="E13" s="320"/>
      <c r="F13" s="320"/>
      <c r="G13" s="320"/>
    </row>
    <row r="14" spans="1:7" ht="18.75" customHeight="1">
      <c r="A14" s="320" t="s">
        <v>72</v>
      </c>
      <c r="B14" s="320"/>
      <c r="C14" s="320"/>
      <c r="D14" s="320"/>
      <c r="E14" s="320"/>
      <c r="F14" s="320"/>
      <c r="G14" s="320"/>
    </row>
    <row r="15" spans="1:7" ht="23.25" customHeight="1">
      <c r="A15" s="320" t="s">
        <v>89</v>
      </c>
      <c r="B15" s="320"/>
      <c r="C15" s="320"/>
      <c r="D15" s="320" t="s">
        <v>67</v>
      </c>
      <c r="E15" s="320"/>
      <c r="F15" s="320"/>
      <c r="G15" s="320"/>
    </row>
    <row r="16" spans="1:7" ht="22.5" customHeight="1" thickBot="1">
      <c r="A16" s="322" t="s">
        <v>73</v>
      </c>
      <c r="B16" s="322"/>
      <c r="C16" s="322"/>
      <c r="D16" s="322"/>
      <c r="E16" s="322"/>
      <c r="F16" s="322"/>
      <c r="G16" s="322"/>
    </row>
    <row r="17" spans="1:10" ht="17.5" thickTop="1" thickBot="1">
      <c r="A17" s="12" t="s">
        <v>74</v>
      </c>
      <c r="B17" s="13" t="s">
        <v>6</v>
      </c>
      <c r="C17" s="13" t="s">
        <v>75</v>
      </c>
      <c r="D17" s="13" t="s">
        <v>76</v>
      </c>
      <c r="E17" s="13" t="s">
        <v>90</v>
      </c>
      <c r="F17" s="13" t="s">
        <v>92</v>
      </c>
      <c r="G17" s="14" t="s">
        <v>77</v>
      </c>
      <c r="J17" s="4" t="s">
        <v>91</v>
      </c>
    </row>
    <row r="18" spans="1:10" ht="22.5" customHeight="1" thickTop="1">
      <c r="A18" s="15">
        <v>1</v>
      </c>
      <c r="B18" s="16" t="s">
        <v>78</v>
      </c>
      <c r="C18" s="1" t="str">
        <f>'360'!B25</f>
        <v>កំរៃសេវាបំពេញបែបបទនាំចេញ / EXPORT PROCESSING  FEE</v>
      </c>
      <c r="D18" s="18"/>
      <c r="E18" s="3" t="e">
        <f>G18/F18</f>
        <v>#DIV/0!</v>
      </c>
      <c r="F18" s="2">
        <f>'360'!C25</f>
        <v>0</v>
      </c>
      <c r="G18" s="24">
        <f>'360'!G25</f>
        <v>242</v>
      </c>
    </row>
    <row r="19" spans="1:10" ht="22.5" customHeight="1">
      <c r="A19" s="17">
        <f>+A18+1</f>
        <v>2</v>
      </c>
      <c r="B19" s="16" t="s">
        <v>78</v>
      </c>
      <c r="C19" s="1" t="e">
        <f>'360'!#REF!</f>
        <v>#REF!</v>
      </c>
      <c r="D19" s="18"/>
      <c r="E19" s="3" t="e">
        <f t="shared" ref="E19:E82" si="0">G19/F19</f>
        <v>#REF!</v>
      </c>
      <c r="F19" s="2" t="e">
        <f>'360'!#REF!</f>
        <v>#REF!</v>
      </c>
      <c r="G19" s="24" t="e">
        <f>'360'!#REF!</f>
        <v>#REF!</v>
      </c>
    </row>
    <row r="20" spans="1:10" ht="22.5" customHeight="1">
      <c r="A20" s="17">
        <f t="shared" ref="A20:A83" si="1">+A19+1</f>
        <v>3</v>
      </c>
      <c r="B20" s="16" t="s">
        <v>78</v>
      </c>
      <c r="C20" s="1" t="e">
        <f>'360'!#REF!</f>
        <v>#REF!</v>
      </c>
      <c r="D20" s="18"/>
      <c r="E20" s="3" t="e">
        <f t="shared" si="0"/>
        <v>#REF!</v>
      </c>
      <c r="F20" s="2" t="e">
        <f>'360'!#REF!</f>
        <v>#REF!</v>
      </c>
      <c r="G20" s="24" t="e">
        <f>'360'!#REF!</f>
        <v>#REF!</v>
      </c>
    </row>
    <row r="21" spans="1:10" ht="22.5" customHeight="1">
      <c r="A21" s="17">
        <f t="shared" si="1"/>
        <v>4</v>
      </c>
      <c r="B21" s="16" t="s">
        <v>78</v>
      </c>
      <c r="C21" s="1" t="e">
        <f>'360'!#REF!</f>
        <v>#REF!</v>
      </c>
      <c r="D21" s="18"/>
      <c r="E21" s="3" t="e">
        <f t="shared" si="0"/>
        <v>#REF!</v>
      </c>
      <c r="F21" s="2" t="e">
        <f>'360'!#REF!</f>
        <v>#REF!</v>
      </c>
      <c r="G21" s="24" t="e">
        <f>'360'!#REF!</f>
        <v>#REF!</v>
      </c>
    </row>
    <row r="22" spans="1:10" ht="22.5" customHeight="1">
      <c r="A22" s="17">
        <f t="shared" si="1"/>
        <v>5</v>
      </c>
      <c r="B22" s="16" t="s">
        <v>78</v>
      </c>
      <c r="C22" s="1" t="e">
        <f>'360'!#REF!</f>
        <v>#REF!</v>
      </c>
      <c r="D22" s="18"/>
      <c r="E22" s="3" t="e">
        <f t="shared" si="0"/>
        <v>#REF!</v>
      </c>
      <c r="F22" s="2" t="e">
        <f>'360'!#REF!</f>
        <v>#REF!</v>
      </c>
      <c r="G22" s="24" t="e">
        <f>'360'!#REF!</f>
        <v>#REF!</v>
      </c>
    </row>
    <row r="23" spans="1:10" ht="22.5" customHeight="1">
      <c r="A23" s="17">
        <f t="shared" si="1"/>
        <v>6</v>
      </c>
      <c r="B23" s="16" t="s">
        <v>78</v>
      </c>
      <c r="C23" s="1" t="e">
        <f>'360'!#REF!</f>
        <v>#REF!</v>
      </c>
      <c r="D23" s="18"/>
      <c r="E23" s="3" t="e">
        <f t="shared" si="0"/>
        <v>#REF!</v>
      </c>
      <c r="F23" s="2" t="e">
        <f>'360'!#REF!</f>
        <v>#REF!</v>
      </c>
      <c r="G23" s="24" t="e">
        <f>'360'!#REF!</f>
        <v>#REF!</v>
      </c>
    </row>
    <row r="24" spans="1:10" ht="22.5" customHeight="1">
      <c r="A24" s="17">
        <f t="shared" si="1"/>
        <v>7</v>
      </c>
      <c r="B24" s="16" t="s">
        <v>78</v>
      </c>
      <c r="C24" s="1" t="e">
        <f>'360'!#REF!</f>
        <v>#REF!</v>
      </c>
      <c r="D24" s="18"/>
      <c r="E24" s="3" t="e">
        <f t="shared" si="0"/>
        <v>#REF!</v>
      </c>
      <c r="F24" s="2" t="e">
        <f>'360'!#REF!</f>
        <v>#REF!</v>
      </c>
      <c r="G24" s="24" t="e">
        <f>'360'!#REF!</f>
        <v>#REF!</v>
      </c>
    </row>
    <row r="25" spans="1:10" ht="22.5" customHeight="1">
      <c r="A25" s="17">
        <f t="shared" si="1"/>
        <v>8</v>
      </c>
      <c r="B25" s="16" t="s">
        <v>78</v>
      </c>
      <c r="C25" s="1" t="e">
        <f>'360'!#REF!</f>
        <v>#REF!</v>
      </c>
      <c r="D25" s="18"/>
      <c r="E25" s="3" t="e">
        <f t="shared" si="0"/>
        <v>#REF!</v>
      </c>
      <c r="F25" s="2" t="e">
        <f>'360'!#REF!</f>
        <v>#REF!</v>
      </c>
      <c r="G25" s="24" t="e">
        <f>'360'!#REF!</f>
        <v>#REF!</v>
      </c>
    </row>
    <row r="26" spans="1:10" ht="22.5" customHeight="1">
      <c r="A26" s="17">
        <f t="shared" si="1"/>
        <v>9</v>
      </c>
      <c r="B26" s="16" t="s">
        <v>78</v>
      </c>
      <c r="C26" s="1" t="e">
        <f>'360'!#REF!</f>
        <v>#REF!</v>
      </c>
      <c r="D26" s="18"/>
      <c r="E26" s="3" t="e">
        <f t="shared" si="0"/>
        <v>#REF!</v>
      </c>
      <c r="F26" s="2" t="e">
        <f>'360'!#REF!</f>
        <v>#REF!</v>
      </c>
      <c r="G26" s="24" t="e">
        <f>'360'!#REF!</f>
        <v>#REF!</v>
      </c>
    </row>
    <row r="27" spans="1:10" ht="22.5" customHeight="1">
      <c r="A27" s="17">
        <f t="shared" si="1"/>
        <v>10</v>
      </c>
      <c r="B27" s="16" t="s">
        <v>78</v>
      </c>
      <c r="C27" s="1" t="e">
        <f>'360'!#REF!</f>
        <v>#REF!</v>
      </c>
      <c r="D27" s="18"/>
      <c r="E27" s="3" t="e">
        <f t="shared" si="0"/>
        <v>#REF!</v>
      </c>
      <c r="F27" s="2" t="e">
        <f>'360'!#REF!</f>
        <v>#REF!</v>
      </c>
      <c r="G27" s="24" t="e">
        <f>'360'!#REF!</f>
        <v>#REF!</v>
      </c>
    </row>
    <row r="28" spans="1:10" ht="22.5" customHeight="1">
      <c r="A28" s="17">
        <f t="shared" si="1"/>
        <v>11</v>
      </c>
      <c r="B28" s="16" t="s">
        <v>78</v>
      </c>
      <c r="C28" s="1" t="e">
        <f>'360'!#REF!</f>
        <v>#REF!</v>
      </c>
      <c r="D28" s="18"/>
      <c r="E28" s="3" t="e">
        <f t="shared" si="0"/>
        <v>#REF!</v>
      </c>
      <c r="F28" s="2" t="e">
        <f>'360'!#REF!</f>
        <v>#REF!</v>
      </c>
      <c r="G28" s="24" t="e">
        <f>'360'!#REF!</f>
        <v>#REF!</v>
      </c>
    </row>
    <row r="29" spans="1:10" ht="22.5" customHeight="1">
      <c r="A29" s="17">
        <f t="shared" si="1"/>
        <v>12</v>
      </c>
      <c r="B29" s="16" t="s">
        <v>78</v>
      </c>
      <c r="C29" s="1" t="e">
        <f>'360'!#REF!</f>
        <v>#REF!</v>
      </c>
      <c r="D29" s="18"/>
      <c r="E29" s="3" t="e">
        <f t="shared" si="0"/>
        <v>#REF!</v>
      </c>
      <c r="F29" s="2" t="e">
        <f>'360'!#REF!</f>
        <v>#REF!</v>
      </c>
      <c r="G29" s="24" t="e">
        <f>'360'!#REF!</f>
        <v>#REF!</v>
      </c>
    </row>
    <row r="30" spans="1:10" ht="22.5" customHeight="1">
      <c r="A30" s="17">
        <f t="shared" si="1"/>
        <v>13</v>
      </c>
      <c r="B30" s="16" t="s">
        <v>78</v>
      </c>
      <c r="C30" s="1" t="e">
        <f>'360'!#REF!</f>
        <v>#REF!</v>
      </c>
      <c r="D30" s="18"/>
      <c r="E30" s="3" t="e">
        <f t="shared" si="0"/>
        <v>#REF!</v>
      </c>
      <c r="F30" s="2" t="e">
        <f>'360'!#REF!</f>
        <v>#REF!</v>
      </c>
      <c r="G30" s="24" t="e">
        <f>'360'!#REF!</f>
        <v>#REF!</v>
      </c>
    </row>
    <row r="31" spans="1:10" ht="22.5" customHeight="1">
      <c r="A31" s="17">
        <f t="shared" si="1"/>
        <v>14</v>
      </c>
      <c r="B31" s="16" t="s">
        <v>78</v>
      </c>
      <c r="C31" s="1" t="e">
        <f>'360'!#REF!</f>
        <v>#REF!</v>
      </c>
      <c r="D31" s="18"/>
      <c r="E31" s="3" t="e">
        <f t="shared" si="0"/>
        <v>#REF!</v>
      </c>
      <c r="F31" s="2" t="e">
        <f>'360'!#REF!</f>
        <v>#REF!</v>
      </c>
      <c r="G31" s="24" t="e">
        <f>'360'!#REF!</f>
        <v>#REF!</v>
      </c>
    </row>
    <row r="32" spans="1:10" ht="22.5" customHeight="1">
      <c r="A32" s="17">
        <f t="shared" si="1"/>
        <v>15</v>
      </c>
      <c r="B32" s="16" t="s">
        <v>78</v>
      </c>
      <c r="C32" s="1" t="e">
        <f>'360'!#REF!</f>
        <v>#REF!</v>
      </c>
      <c r="D32" s="18"/>
      <c r="E32" s="3" t="e">
        <f t="shared" si="0"/>
        <v>#REF!</v>
      </c>
      <c r="F32" s="2" t="e">
        <f>'360'!#REF!</f>
        <v>#REF!</v>
      </c>
      <c r="G32" s="24" t="e">
        <f>'360'!#REF!</f>
        <v>#REF!</v>
      </c>
    </row>
    <row r="33" spans="1:7" ht="22.5" customHeight="1">
      <c r="A33" s="17">
        <f t="shared" si="1"/>
        <v>16</v>
      </c>
      <c r="B33" s="16" t="s">
        <v>78</v>
      </c>
      <c r="C33" s="1" t="e">
        <f>'360'!#REF!</f>
        <v>#REF!</v>
      </c>
      <c r="D33" s="18"/>
      <c r="E33" s="3" t="e">
        <f t="shared" si="0"/>
        <v>#REF!</v>
      </c>
      <c r="F33" s="2" t="e">
        <f>'360'!#REF!</f>
        <v>#REF!</v>
      </c>
      <c r="G33" s="24" t="e">
        <f>'360'!#REF!</f>
        <v>#REF!</v>
      </c>
    </row>
    <row r="34" spans="1:7" ht="22.5" customHeight="1">
      <c r="A34" s="17">
        <f t="shared" si="1"/>
        <v>17</v>
      </c>
      <c r="B34" s="16" t="s">
        <v>78</v>
      </c>
      <c r="C34" s="1" t="e">
        <f>'360'!#REF!</f>
        <v>#REF!</v>
      </c>
      <c r="D34" s="18"/>
      <c r="E34" s="3" t="e">
        <f t="shared" si="0"/>
        <v>#REF!</v>
      </c>
      <c r="F34" s="2" t="e">
        <f>'360'!#REF!</f>
        <v>#REF!</v>
      </c>
      <c r="G34" s="24" t="e">
        <f>'360'!#REF!</f>
        <v>#REF!</v>
      </c>
    </row>
    <row r="35" spans="1:7" ht="22.5" customHeight="1">
      <c r="A35" s="17">
        <f t="shared" si="1"/>
        <v>18</v>
      </c>
      <c r="B35" s="16" t="s">
        <v>78</v>
      </c>
      <c r="C35" s="1" t="e">
        <f>'360'!#REF!</f>
        <v>#REF!</v>
      </c>
      <c r="D35" s="18"/>
      <c r="E35" s="3" t="e">
        <f t="shared" si="0"/>
        <v>#REF!</v>
      </c>
      <c r="F35" s="2" t="e">
        <f>'360'!#REF!</f>
        <v>#REF!</v>
      </c>
      <c r="G35" s="24" t="e">
        <f>'360'!#REF!</f>
        <v>#REF!</v>
      </c>
    </row>
    <row r="36" spans="1:7" ht="22.5" customHeight="1">
      <c r="A36" s="17">
        <f t="shared" si="1"/>
        <v>19</v>
      </c>
      <c r="B36" s="16" t="s">
        <v>78</v>
      </c>
      <c r="C36" s="1" t="e">
        <f>'360'!#REF!</f>
        <v>#REF!</v>
      </c>
      <c r="D36" s="18"/>
      <c r="E36" s="3" t="e">
        <f t="shared" si="0"/>
        <v>#REF!</v>
      </c>
      <c r="F36" s="2" t="e">
        <f>'360'!#REF!</f>
        <v>#REF!</v>
      </c>
      <c r="G36" s="24" t="e">
        <f>'360'!#REF!</f>
        <v>#REF!</v>
      </c>
    </row>
    <row r="37" spans="1:7" ht="22.5" customHeight="1">
      <c r="A37" s="17">
        <f t="shared" si="1"/>
        <v>20</v>
      </c>
      <c r="B37" s="16" t="s">
        <v>78</v>
      </c>
      <c r="C37" s="1" t="e">
        <f>'360'!#REF!</f>
        <v>#REF!</v>
      </c>
      <c r="D37" s="18"/>
      <c r="E37" s="3" t="e">
        <f t="shared" si="0"/>
        <v>#REF!</v>
      </c>
      <c r="F37" s="2" t="e">
        <f>'360'!#REF!</f>
        <v>#REF!</v>
      </c>
      <c r="G37" s="24" t="e">
        <f>'360'!#REF!</f>
        <v>#REF!</v>
      </c>
    </row>
    <row r="38" spans="1:7" ht="22.5" customHeight="1">
      <c r="A38" s="17">
        <f t="shared" si="1"/>
        <v>21</v>
      </c>
      <c r="B38" s="16" t="s">
        <v>78</v>
      </c>
      <c r="C38" s="1" t="e">
        <f>'360'!#REF!</f>
        <v>#REF!</v>
      </c>
      <c r="D38" s="18"/>
      <c r="E38" s="3" t="e">
        <f t="shared" si="0"/>
        <v>#REF!</v>
      </c>
      <c r="F38" s="2" t="e">
        <f>'360'!#REF!</f>
        <v>#REF!</v>
      </c>
      <c r="G38" s="24" t="e">
        <f>'360'!#REF!</f>
        <v>#REF!</v>
      </c>
    </row>
    <row r="39" spans="1:7" ht="22.5" customHeight="1">
      <c r="A39" s="17">
        <f t="shared" si="1"/>
        <v>22</v>
      </c>
      <c r="B39" s="16" t="s">
        <v>78</v>
      </c>
      <c r="C39" s="1" t="e">
        <f>'360'!#REF!</f>
        <v>#REF!</v>
      </c>
      <c r="D39" s="18"/>
      <c r="E39" s="3" t="e">
        <f t="shared" si="0"/>
        <v>#REF!</v>
      </c>
      <c r="F39" s="2" t="e">
        <f>'360'!#REF!</f>
        <v>#REF!</v>
      </c>
      <c r="G39" s="24" t="e">
        <f>'360'!#REF!</f>
        <v>#REF!</v>
      </c>
    </row>
    <row r="40" spans="1:7" ht="22.5" customHeight="1">
      <c r="A40" s="17">
        <f t="shared" si="1"/>
        <v>23</v>
      </c>
      <c r="B40" s="16" t="s">
        <v>78</v>
      </c>
      <c r="C40" s="1" t="e">
        <f>'360'!#REF!</f>
        <v>#REF!</v>
      </c>
      <c r="D40" s="18"/>
      <c r="E40" s="3" t="e">
        <f t="shared" si="0"/>
        <v>#REF!</v>
      </c>
      <c r="F40" s="2" t="e">
        <f>'360'!#REF!</f>
        <v>#REF!</v>
      </c>
      <c r="G40" s="24" t="e">
        <f>'360'!#REF!</f>
        <v>#REF!</v>
      </c>
    </row>
    <row r="41" spans="1:7" ht="22.5" customHeight="1">
      <c r="A41" s="17">
        <f t="shared" si="1"/>
        <v>24</v>
      </c>
      <c r="B41" s="16" t="s">
        <v>78</v>
      </c>
      <c r="C41" s="1" t="e">
        <f>'360'!#REF!</f>
        <v>#REF!</v>
      </c>
      <c r="D41" s="18"/>
      <c r="E41" s="3" t="e">
        <f t="shared" si="0"/>
        <v>#REF!</v>
      </c>
      <c r="F41" s="2" t="e">
        <f>'360'!#REF!</f>
        <v>#REF!</v>
      </c>
      <c r="G41" s="24" t="e">
        <f>'360'!#REF!</f>
        <v>#REF!</v>
      </c>
    </row>
    <row r="42" spans="1:7" ht="22.5" customHeight="1">
      <c r="A42" s="17">
        <f t="shared" si="1"/>
        <v>25</v>
      </c>
      <c r="B42" s="16" t="s">
        <v>78</v>
      </c>
      <c r="C42" s="1" t="e">
        <f>'360'!#REF!</f>
        <v>#REF!</v>
      </c>
      <c r="D42" s="18"/>
      <c r="E42" s="3" t="e">
        <f t="shared" si="0"/>
        <v>#REF!</v>
      </c>
      <c r="F42" s="2" t="e">
        <f>'360'!#REF!</f>
        <v>#REF!</v>
      </c>
      <c r="G42" s="24" t="e">
        <f>'360'!#REF!</f>
        <v>#REF!</v>
      </c>
    </row>
    <row r="43" spans="1:7" ht="22.5" customHeight="1">
      <c r="A43" s="17">
        <f t="shared" si="1"/>
        <v>26</v>
      </c>
      <c r="B43" s="16" t="s">
        <v>78</v>
      </c>
      <c r="C43" s="1" t="e">
        <f>'360'!#REF!</f>
        <v>#REF!</v>
      </c>
      <c r="D43" s="18"/>
      <c r="E43" s="3" t="e">
        <f t="shared" si="0"/>
        <v>#REF!</v>
      </c>
      <c r="F43" s="2" t="e">
        <f>'360'!#REF!</f>
        <v>#REF!</v>
      </c>
      <c r="G43" s="24" t="e">
        <f>'360'!#REF!</f>
        <v>#REF!</v>
      </c>
    </row>
    <row r="44" spans="1:7" ht="22.5" customHeight="1">
      <c r="A44" s="17">
        <f t="shared" si="1"/>
        <v>27</v>
      </c>
      <c r="B44" s="16" t="s">
        <v>78</v>
      </c>
      <c r="C44" s="1" t="e">
        <f>'360'!#REF!</f>
        <v>#REF!</v>
      </c>
      <c r="D44" s="18"/>
      <c r="E44" s="3" t="e">
        <f t="shared" si="0"/>
        <v>#REF!</v>
      </c>
      <c r="F44" s="2" t="e">
        <f>'360'!#REF!</f>
        <v>#REF!</v>
      </c>
      <c r="G44" s="24" t="e">
        <f>'360'!#REF!</f>
        <v>#REF!</v>
      </c>
    </row>
    <row r="45" spans="1:7" ht="22.5" customHeight="1">
      <c r="A45" s="17">
        <f t="shared" si="1"/>
        <v>28</v>
      </c>
      <c r="B45" s="16" t="s">
        <v>78</v>
      </c>
      <c r="C45" s="1" t="e">
        <f>'360'!#REF!</f>
        <v>#REF!</v>
      </c>
      <c r="D45" s="18"/>
      <c r="E45" s="3" t="e">
        <f t="shared" si="0"/>
        <v>#REF!</v>
      </c>
      <c r="F45" s="2" t="e">
        <f>'360'!#REF!</f>
        <v>#REF!</v>
      </c>
      <c r="G45" s="24" t="e">
        <f>'360'!#REF!</f>
        <v>#REF!</v>
      </c>
    </row>
    <row r="46" spans="1:7" ht="22.5" customHeight="1">
      <c r="A46" s="17">
        <f t="shared" si="1"/>
        <v>29</v>
      </c>
      <c r="B46" s="16" t="s">
        <v>78</v>
      </c>
      <c r="C46" s="1" t="e">
        <f>'360'!#REF!</f>
        <v>#REF!</v>
      </c>
      <c r="D46" s="18"/>
      <c r="E46" s="3" t="e">
        <f t="shared" si="0"/>
        <v>#REF!</v>
      </c>
      <c r="F46" s="2" t="e">
        <f>'360'!#REF!</f>
        <v>#REF!</v>
      </c>
      <c r="G46" s="24" t="e">
        <f>'360'!#REF!</f>
        <v>#REF!</v>
      </c>
    </row>
    <row r="47" spans="1:7" ht="22.5" customHeight="1">
      <c r="A47" s="17">
        <f t="shared" si="1"/>
        <v>30</v>
      </c>
      <c r="B47" s="16" t="s">
        <v>78</v>
      </c>
      <c r="C47" s="1" t="e">
        <f>'360'!#REF!</f>
        <v>#REF!</v>
      </c>
      <c r="D47" s="18"/>
      <c r="E47" s="3" t="e">
        <f t="shared" si="0"/>
        <v>#REF!</v>
      </c>
      <c r="F47" s="2" t="e">
        <f>'360'!#REF!</f>
        <v>#REF!</v>
      </c>
      <c r="G47" s="24" t="e">
        <f>'360'!#REF!</f>
        <v>#REF!</v>
      </c>
    </row>
    <row r="48" spans="1:7" ht="22.5" customHeight="1">
      <c r="A48" s="17">
        <f t="shared" si="1"/>
        <v>31</v>
      </c>
      <c r="B48" s="16" t="s">
        <v>78</v>
      </c>
      <c r="C48" s="1" t="e">
        <f>'360'!#REF!</f>
        <v>#REF!</v>
      </c>
      <c r="D48" s="18"/>
      <c r="E48" s="3" t="e">
        <f t="shared" si="0"/>
        <v>#REF!</v>
      </c>
      <c r="F48" s="2" t="e">
        <f>'360'!#REF!</f>
        <v>#REF!</v>
      </c>
      <c r="G48" s="24" t="e">
        <f>'360'!#REF!</f>
        <v>#REF!</v>
      </c>
    </row>
    <row r="49" spans="1:7" ht="22.5" customHeight="1">
      <c r="A49" s="17">
        <f t="shared" si="1"/>
        <v>32</v>
      </c>
      <c r="B49" s="16" t="s">
        <v>78</v>
      </c>
      <c r="C49" s="1" t="e">
        <f>'360'!#REF!</f>
        <v>#REF!</v>
      </c>
      <c r="D49" s="18"/>
      <c r="E49" s="3" t="e">
        <f t="shared" si="0"/>
        <v>#REF!</v>
      </c>
      <c r="F49" s="2" t="e">
        <f>'360'!#REF!</f>
        <v>#REF!</v>
      </c>
      <c r="G49" s="24" t="e">
        <f>'360'!#REF!</f>
        <v>#REF!</v>
      </c>
    </row>
    <row r="50" spans="1:7" ht="22.5" customHeight="1">
      <c r="A50" s="17">
        <f t="shared" si="1"/>
        <v>33</v>
      </c>
      <c r="B50" s="16" t="s">
        <v>78</v>
      </c>
      <c r="C50" s="1" t="e">
        <f>'360'!#REF!</f>
        <v>#REF!</v>
      </c>
      <c r="D50" s="18"/>
      <c r="E50" s="3" t="e">
        <f t="shared" si="0"/>
        <v>#REF!</v>
      </c>
      <c r="F50" s="2" t="e">
        <f>'360'!#REF!</f>
        <v>#REF!</v>
      </c>
      <c r="G50" s="24" t="e">
        <f>'360'!#REF!</f>
        <v>#REF!</v>
      </c>
    </row>
    <row r="51" spans="1:7" ht="22.5" customHeight="1">
      <c r="A51" s="17">
        <f t="shared" si="1"/>
        <v>34</v>
      </c>
      <c r="B51" s="16" t="s">
        <v>78</v>
      </c>
      <c r="C51" s="1" t="e">
        <f>'360'!#REF!</f>
        <v>#REF!</v>
      </c>
      <c r="D51" s="18"/>
      <c r="E51" s="3" t="e">
        <f t="shared" si="0"/>
        <v>#REF!</v>
      </c>
      <c r="F51" s="2" t="e">
        <f>'360'!#REF!</f>
        <v>#REF!</v>
      </c>
      <c r="G51" s="24" t="e">
        <f>'360'!#REF!</f>
        <v>#REF!</v>
      </c>
    </row>
    <row r="52" spans="1:7" ht="22.5" customHeight="1">
      <c r="A52" s="17">
        <f t="shared" si="1"/>
        <v>35</v>
      </c>
      <c r="B52" s="16" t="s">
        <v>78</v>
      </c>
      <c r="C52" s="1" t="e">
        <f>'360'!#REF!</f>
        <v>#REF!</v>
      </c>
      <c r="D52" s="18"/>
      <c r="E52" s="3" t="e">
        <f t="shared" si="0"/>
        <v>#REF!</v>
      </c>
      <c r="F52" s="2" t="e">
        <f>'360'!#REF!</f>
        <v>#REF!</v>
      </c>
      <c r="G52" s="24" t="e">
        <f>'360'!#REF!</f>
        <v>#REF!</v>
      </c>
    </row>
    <row r="53" spans="1:7" ht="22.5" customHeight="1">
      <c r="A53" s="17">
        <f t="shared" si="1"/>
        <v>36</v>
      </c>
      <c r="B53" s="16" t="s">
        <v>78</v>
      </c>
      <c r="C53" s="1" t="e">
        <f>'360'!#REF!</f>
        <v>#REF!</v>
      </c>
      <c r="D53" s="18"/>
      <c r="E53" s="3" t="e">
        <f t="shared" si="0"/>
        <v>#REF!</v>
      </c>
      <c r="F53" s="2" t="e">
        <f>'360'!#REF!</f>
        <v>#REF!</v>
      </c>
      <c r="G53" s="24" t="e">
        <f>'360'!#REF!</f>
        <v>#REF!</v>
      </c>
    </row>
    <row r="54" spans="1:7" ht="22.5" customHeight="1">
      <c r="A54" s="17">
        <f t="shared" si="1"/>
        <v>37</v>
      </c>
      <c r="B54" s="16" t="s">
        <v>78</v>
      </c>
      <c r="C54" s="1" t="e">
        <f>'360'!#REF!</f>
        <v>#REF!</v>
      </c>
      <c r="D54" s="18"/>
      <c r="E54" s="3" t="e">
        <f t="shared" si="0"/>
        <v>#REF!</v>
      </c>
      <c r="F54" s="2" t="e">
        <f>'360'!#REF!</f>
        <v>#REF!</v>
      </c>
      <c r="G54" s="24" t="e">
        <f>'360'!#REF!</f>
        <v>#REF!</v>
      </c>
    </row>
    <row r="55" spans="1:7" ht="22.5" customHeight="1">
      <c r="A55" s="17">
        <f t="shared" si="1"/>
        <v>38</v>
      </c>
      <c r="B55" s="16" t="s">
        <v>78</v>
      </c>
      <c r="C55" s="1" t="e">
        <f>'360'!#REF!</f>
        <v>#REF!</v>
      </c>
      <c r="D55" s="18"/>
      <c r="E55" s="3" t="e">
        <f t="shared" si="0"/>
        <v>#REF!</v>
      </c>
      <c r="F55" s="2" t="e">
        <f>'360'!#REF!</f>
        <v>#REF!</v>
      </c>
      <c r="G55" s="24" t="e">
        <f>'360'!#REF!</f>
        <v>#REF!</v>
      </c>
    </row>
    <row r="56" spans="1:7" ht="22.5" customHeight="1">
      <c r="A56" s="17">
        <f t="shared" si="1"/>
        <v>39</v>
      </c>
      <c r="B56" s="16" t="s">
        <v>78</v>
      </c>
      <c r="C56" s="1" t="e">
        <f>'360'!#REF!</f>
        <v>#REF!</v>
      </c>
      <c r="D56" s="18"/>
      <c r="E56" s="3" t="e">
        <f t="shared" si="0"/>
        <v>#REF!</v>
      </c>
      <c r="F56" s="2" t="e">
        <f>'360'!#REF!</f>
        <v>#REF!</v>
      </c>
      <c r="G56" s="24" t="e">
        <f>'360'!#REF!</f>
        <v>#REF!</v>
      </c>
    </row>
    <row r="57" spans="1:7" ht="22.5" customHeight="1">
      <c r="A57" s="17">
        <f t="shared" si="1"/>
        <v>40</v>
      </c>
      <c r="B57" s="16" t="s">
        <v>78</v>
      </c>
      <c r="C57" s="1" t="e">
        <f>'360'!#REF!</f>
        <v>#REF!</v>
      </c>
      <c r="D57" s="18"/>
      <c r="E57" s="3" t="e">
        <f t="shared" si="0"/>
        <v>#REF!</v>
      </c>
      <c r="F57" s="2" t="e">
        <f>'360'!#REF!</f>
        <v>#REF!</v>
      </c>
      <c r="G57" s="24" t="e">
        <f>'360'!#REF!</f>
        <v>#REF!</v>
      </c>
    </row>
    <row r="58" spans="1:7" ht="22.5" customHeight="1">
      <c r="A58" s="17">
        <f t="shared" si="1"/>
        <v>41</v>
      </c>
      <c r="B58" s="16" t="s">
        <v>78</v>
      </c>
      <c r="C58" s="1" t="e">
        <f>'360'!#REF!</f>
        <v>#REF!</v>
      </c>
      <c r="D58" s="18"/>
      <c r="E58" s="3" t="e">
        <f t="shared" si="0"/>
        <v>#REF!</v>
      </c>
      <c r="F58" s="2" t="e">
        <f>'360'!#REF!</f>
        <v>#REF!</v>
      </c>
      <c r="G58" s="24" t="e">
        <f>'360'!#REF!</f>
        <v>#REF!</v>
      </c>
    </row>
    <row r="59" spans="1:7" ht="22.5" customHeight="1">
      <c r="A59" s="17">
        <f t="shared" si="1"/>
        <v>42</v>
      </c>
      <c r="B59" s="16" t="s">
        <v>78</v>
      </c>
      <c r="C59" s="1" t="e">
        <f>'360'!#REF!</f>
        <v>#REF!</v>
      </c>
      <c r="D59" s="18"/>
      <c r="E59" s="3" t="e">
        <f t="shared" si="0"/>
        <v>#REF!</v>
      </c>
      <c r="F59" s="2" t="e">
        <f>'360'!#REF!</f>
        <v>#REF!</v>
      </c>
      <c r="G59" s="24" t="e">
        <f>'360'!#REF!</f>
        <v>#REF!</v>
      </c>
    </row>
    <row r="60" spans="1:7" ht="22.5" customHeight="1">
      <c r="A60" s="17">
        <f t="shared" si="1"/>
        <v>43</v>
      </c>
      <c r="B60" s="16" t="s">
        <v>78</v>
      </c>
      <c r="C60" s="1" t="e">
        <f>'360'!#REF!</f>
        <v>#REF!</v>
      </c>
      <c r="D60" s="18"/>
      <c r="E60" s="3" t="e">
        <f t="shared" si="0"/>
        <v>#REF!</v>
      </c>
      <c r="F60" s="2" t="e">
        <f>'360'!#REF!</f>
        <v>#REF!</v>
      </c>
      <c r="G60" s="24" t="e">
        <f>'360'!#REF!</f>
        <v>#REF!</v>
      </c>
    </row>
    <row r="61" spans="1:7" ht="22.5" customHeight="1">
      <c r="A61" s="17">
        <f t="shared" si="1"/>
        <v>44</v>
      </c>
      <c r="B61" s="16" t="s">
        <v>78</v>
      </c>
      <c r="C61" s="1" t="e">
        <f>'360'!#REF!</f>
        <v>#REF!</v>
      </c>
      <c r="D61" s="18"/>
      <c r="E61" s="3" t="e">
        <f t="shared" si="0"/>
        <v>#REF!</v>
      </c>
      <c r="F61" s="2" t="e">
        <f>'360'!#REF!</f>
        <v>#REF!</v>
      </c>
      <c r="G61" s="24" t="e">
        <f>'360'!#REF!</f>
        <v>#REF!</v>
      </c>
    </row>
    <row r="62" spans="1:7" ht="22.5" customHeight="1">
      <c r="A62" s="17">
        <f t="shared" si="1"/>
        <v>45</v>
      </c>
      <c r="B62" s="16" t="s">
        <v>78</v>
      </c>
      <c r="C62" s="1" t="e">
        <f>'360'!#REF!</f>
        <v>#REF!</v>
      </c>
      <c r="D62" s="18"/>
      <c r="E62" s="3" t="e">
        <f t="shared" si="0"/>
        <v>#REF!</v>
      </c>
      <c r="F62" s="2" t="e">
        <f>'360'!#REF!</f>
        <v>#REF!</v>
      </c>
      <c r="G62" s="24" t="e">
        <f>'360'!#REF!</f>
        <v>#REF!</v>
      </c>
    </row>
    <row r="63" spans="1:7" ht="22.5" customHeight="1">
      <c r="A63" s="17">
        <f t="shared" si="1"/>
        <v>46</v>
      </c>
      <c r="B63" s="16" t="s">
        <v>78</v>
      </c>
      <c r="C63" s="1" t="e">
        <f>'360'!#REF!</f>
        <v>#REF!</v>
      </c>
      <c r="D63" s="18"/>
      <c r="E63" s="3" t="e">
        <f t="shared" si="0"/>
        <v>#REF!</v>
      </c>
      <c r="F63" s="2" t="e">
        <f>'360'!#REF!</f>
        <v>#REF!</v>
      </c>
      <c r="G63" s="24" t="e">
        <f>'360'!#REF!</f>
        <v>#REF!</v>
      </c>
    </row>
    <row r="64" spans="1:7" ht="22.5" customHeight="1">
      <c r="A64" s="17">
        <f t="shared" si="1"/>
        <v>47</v>
      </c>
      <c r="B64" s="16" t="s">
        <v>78</v>
      </c>
      <c r="C64" s="1" t="e">
        <f>'360'!#REF!</f>
        <v>#REF!</v>
      </c>
      <c r="D64" s="18"/>
      <c r="E64" s="3" t="e">
        <f t="shared" si="0"/>
        <v>#REF!</v>
      </c>
      <c r="F64" s="2" t="e">
        <f>'360'!#REF!</f>
        <v>#REF!</v>
      </c>
      <c r="G64" s="24" t="e">
        <f>'360'!#REF!</f>
        <v>#REF!</v>
      </c>
    </row>
    <row r="65" spans="1:7" ht="22.5" customHeight="1">
      <c r="A65" s="17">
        <f t="shared" si="1"/>
        <v>48</v>
      </c>
      <c r="B65" s="16" t="s">
        <v>78</v>
      </c>
      <c r="C65" s="1" t="e">
        <f>'360'!#REF!</f>
        <v>#REF!</v>
      </c>
      <c r="D65" s="18"/>
      <c r="E65" s="3" t="e">
        <f t="shared" si="0"/>
        <v>#REF!</v>
      </c>
      <c r="F65" s="2" t="e">
        <f>'360'!#REF!</f>
        <v>#REF!</v>
      </c>
      <c r="G65" s="24" t="e">
        <f>'360'!#REF!</f>
        <v>#REF!</v>
      </c>
    </row>
    <row r="66" spans="1:7" ht="22.5" customHeight="1">
      <c r="A66" s="17">
        <f t="shared" si="1"/>
        <v>49</v>
      </c>
      <c r="B66" s="16" t="s">
        <v>78</v>
      </c>
      <c r="C66" s="1" t="e">
        <f>'360'!#REF!</f>
        <v>#REF!</v>
      </c>
      <c r="D66" s="18"/>
      <c r="E66" s="3" t="e">
        <f t="shared" si="0"/>
        <v>#REF!</v>
      </c>
      <c r="F66" s="2" t="e">
        <f>'360'!#REF!</f>
        <v>#REF!</v>
      </c>
      <c r="G66" s="24" t="e">
        <f>'360'!#REF!</f>
        <v>#REF!</v>
      </c>
    </row>
    <row r="67" spans="1:7" ht="22.5" customHeight="1">
      <c r="A67" s="17">
        <f t="shared" si="1"/>
        <v>50</v>
      </c>
      <c r="B67" s="16" t="s">
        <v>78</v>
      </c>
      <c r="C67" s="1" t="e">
        <f>'360'!#REF!</f>
        <v>#REF!</v>
      </c>
      <c r="D67" s="18"/>
      <c r="E67" s="3" t="e">
        <f t="shared" si="0"/>
        <v>#REF!</v>
      </c>
      <c r="F67" s="2" t="e">
        <f>'360'!#REF!</f>
        <v>#REF!</v>
      </c>
      <c r="G67" s="24" t="e">
        <f>'360'!#REF!</f>
        <v>#REF!</v>
      </c>
    </row>
    <row r="68" spans="1:7" ht="22.5" customHeight="1">
      <c r="A68" s="17">
        <f t="shared" si="1"/>
        <v>51</v>
      </c>
      <c r="B68" s="16" t="s">
        <v>78</v>
      </c>
      <c r="C68" s="1" t="e">
        <f>'360'!#REF!</f>
        <v>#REF!</v>
      </c>
      <c r="D68" s="18"/>
      <c r="E68" s="3" t="e">
        <f t="shared" si="0"/>
        <v>#REF!</v>
      </c>
      <c r="F68" s="2" t="e">
        <f>'360'!#REF!</f>
        <v>#REF!</v>
      </c>
      <c r="G68" s="24" t="e">
        <f>'360'!#REF!</f>
        <v>#REF!</v>
      </c>
    </row>
    <row r="69" spans="1:7" ht="22.5" customHeight="1">
      <c r="A69" s="17">
        <f t="shared" si="1"/>
        <v>52</v>
      </c>
      <c r="B69" s="16" t="s">
        <v>78</v>
      </c>
      <c r="C69" s="1" t="e">
        <f>'360'!#REF!</f>
        <v>#REF!</v>
      </c>
      <c r="D69" s="18"/>
      <c r="E69" s="3" t="e">
        <f t="shared" si="0"/>
        <v>#REF!</v>
      </c>
      <c r="F69" s="2" t="e">
        <f>'360'!#REF!</f>
        <v>#REF!</v>
      </c>
      <c r="G69" s="24" t="e">
        <f>'360'!#REF!</f>
        <v>#REF!</v>
      </c>
    </row>
    <row r="70" spans="1:7" ht="22.5" customHeight="1">
      <c r="A70" s="17">
        <f t="shared" si="1"/>
        <v>53</v>
      </c>
      <c r="B70" s="16" t="s">
        <v>78</v>
      </c>
      <c r="C70" s="1" t="e">
        <f>'360'!#REF!</f>
        <v>#REF!</v>
      </c>
      <c r="D70" s="18"/>
      <c r="E70" s="3" t="e">
        <f t="shared" si="0"/>
        <v>#REF!</v>
      </c>
      <c r="F70" s="2" t="e">
        <f>'360'!#REF!</f>
        <v>#REF!</v>
      </c>
      <c r="G70" s="24" t="e">
        <f>'360'!#REF!</f>
        <v>#REF!</v>
      </c>
    </row>
    <row r="71" spans="1:7" ht="22.5" customHeight="1">
      <c r="A71" s="17">
        <f t="shared" si="1"/>
        <v>54</v>
      </c>
      <c r="B71" s="16" t="s">
        <v>78</v>
      </c>
      <c r="C71" s="1" t="e">
        <f>'360'!#REF!</f>
        <v>#REF!</v>
      </c>
      <c r="D71" s="18"/>
      <c r="E71" s="3" t="e">
        <f t="shared" si="0"/>
        <v>#REF!</v>
      </c>
      <c r="F71" s="2" t="e">
        <f>'360'!#REF!</f>
        <v>#REF!</v>
      </c>
      <c r="G71" s="24" t="e">
        <f>'360'!#REF!</f>
        <v>#REF!</v>
      </c>
    </row>
    <row r="72" spans="1:7" ht="22.5" customHeight="1">
      <c r="A72" s="17">
        <f t="shared" si="1"/>
        <v>55</v>
      </c>
      <c r="B72" s="16" t="s">
        <v>78</v>
      </c>
      <c r="C72" s="1" t="e">
        <f>'360'!#REF!</f>
        <v>#REF!</v>
      </c>
      <c r="D72" s="18"/>
      <c r="E72" s="3" t="e">
        <f t="shared" si="0"/>
        <v>#REF!</v>
      </c>
      <c r="F72" s="2" t="e">
        <f>'360'!#REF!</f>
        <v>#REF!</v>
      </c>
      <c r="G72" s="24" t="e">
        <f>'360'!#REF!</f>
        <v>#REF!</v>
      </c>
    </row>
    <row r="73" spans="1:7" ht="22.5" customHeight="1">
      <c r="A73" s="17">
        <f t="shared" si="1"/>
        <v>56</v>
      </c>
      <c r="B73" s="16" t="s">
        <v>78</v>
      </c>
      <c r="C73" s="1" t="e">
        <f>'360'!#REF!</f>
        <v>#REF!</v>
      </c>
      <c r="D73" s="18"/>
      <c r="E73" s="3" t="e">
        <f t="shared" si="0"/>
        <v>#REF!</v>
      </c>
      <c r="F73" s="2" t="e">
        <f>'360'!#REF!</f>
        <v>#REF!</v>
      </c>
      <c r="G73" s="24" t="e">
        <f>'360'!#REF!</f>
        <v>#REF!</v>
      </c>
    </row>
    <row r="74" spans="1:7" ht="22.5" customHeight="1">
      <c r="A74" s="17">
        <f t="shared" si="1"/>
        <v>57</v>
      </c>
      <c r="B74" s="16" t="s">
        <v>78</v>
      </c>
      <c r="C74" s="1" t="e">
        <f>'360'!#REF!</f>
        <v>#REF!</v>
      </c>
      <c r="D74" s="18"/>
      <c r="E74" s="3" t="e">
        <f t="shared" si="0"/>
        <v>#REF!</v>
      </c>
      <c r="F74" s="2" t="e">
        <f>'360'!#REF!</f>
        <v>#REF!</v>
      </c>
      <c r="G74" s="24" t="e">
        <f>'360'!#REF!</f>
        <v>#REF!</v>
      </c>
    </row>
    <row r="75" spans="1:7" ht="22.5" customHeight="1">
      <c r="A75" s="17">
        <f t="shared" si="1"/>
        <v>58</v>
      </c>
      <c r="B75" s="16" t="s">
        <v>78</v>
      </c>
      <c r="C75" s="1" t="e">
        <f>'360'!#REF!</f>
        <v>#REF!</v>
      </c>
      <c r="D75" s="18"/>
      <c r="E75" s="3" t="e">
        <f t="shared" si="0"/>
        <v>#REF!</v>
      </c>
      <c r="F75" s="2" t="e">
        <f>'360'!#REF!</f>
        <v>#REF!</v>
      </c>
      <c r="G75" s="24" t="e">
        <f>'360'!#REF!</f>
        <v>#REF!</v>
      </c>
    </row>
    <row r="76" spans="1:7" ht="22.5" hidden="1" customHeight="1">
      <c r="A76" s="17">
        <f t="shared" si="1"/>
        <v>59</v>
      </c>
      <c r="B76" s="16" t="s">
        <v>78</v>
      </c>
      <c r="C76" s="1" t="e">
        <f>'360'!#REF!</f>
        <v>#REF!</v>
      </c>
      <c r="D76" s="18"/>
      <c r="E76" s="3" t="e">
        <f t="shared" si="0"/>
        <v>#REF!</v>
      </c>
      <c r="F76" s="2" t="e">
        <f>'360'!#REF!</f>
        <v>#REF!</v>
      </c>
      <c r="G76" s="24" t="e">
        <f>'360'!#REF!</f>
        <v>#REF!</v>
      </c>
    </row>
    <row r="77" spans="1:7" ht="22.5" hidden="1" customHeight="1">
      <c r="A77" s="17">
        <f t="shared" si="1"/>
        <v>60</v>
      </c>
      <c r="B77" s="16" t="s">
        <v>78</v>
      </c>
      <c r="C77" s="1" t="e">
        <f>'360'!#REF!</f>
        <v>#REF!</v>
      </c>
      <c r="D77" s="18"/>
      <c r="E77" s="3" t="e">
        <f t="shared" si="0"/>
        <v>#REF!</v>
      </c>
      <c r="F77" s="2" t="e">
        <f>'360'!#REF!</f>
        <v>#REF!</v>
      </c>
      <c r="G77" s="24" t="e">
        <f>'360'!#REF!</f>
        <v>#REF!</v>
      </c>
    </row>
    <row r="78" spans="1:7" ht="22.5" hidden="1" customHeight="1">
      <c r="A78" s="17">
        <f t="shared" si="1"/>
        <v>61</v>
      </c>
      <c r="B78" s="16" t="s">
        <v>78</v>
      </c>
      <c r="C78" s="1" t="e">
        <f>'360'!#REF!</f>
        <v>#REF!</v>
      </c>
      <c r="D78" s="18"/>
      <c r="E78" s="3" t="e">
        <f t="shared" si="0"/>
        <v>#REF!</v>
      </c>
      <c r="F78" s="2" t="e">
        <f>'360'!#REF!</f>
        <v>#REF!</v>
      </c>
      <c r="G78" s="24" t="e">
        <f>'360'!#REF!</f>
        <v>#REF!</v>
      </c>
    </row>
    <row r="79" spans="1:7" ht="22.5" hidden="1" customHeight="1">
      <c r="A79" s="17">
        <f t="shared" si="1"/>
        <v>62</v>
      </c>
      <c r="B79" s="16" t="s">
        <v>78</v>
      </c>
      <c r="C79" s="1" t="e">
        <f>'360'!#REF!</f>
        <v>#REF!</v>
      </c>
      <c r="D79" s="18"/>
      <c r="E79" s="3" t="e">
        <f t="shared" si="0"/>
        <v>#REF!</v>
      </c>
      <c r="F79" s="2" t="e">
        <f>'360'!#REF!</f>
        <v>#REF!</v>
      </c>
      <c r="G79" s="24" t="e">
        <f>'360'!#REF!</f>
        <v>#REF!</v>
      </c>
    </row>
    <row r="80" spans="1:7" ht="22.5" hidden="1" customHeight="1">
      <c r="A80" s="17">
        <f t="shared" si="1"/>
        <v>63</v>
      </c>
      <c r="B80" s="16" t="s">
        <v>78</v>
      </c>
      <c r="C80" s="1" t="e">
        <f>'360'!#REF!</f>
        <v>#REF!</v>
      </c>
      <c r="D80" s="18"/>
      <c r="E80" s="3" t="e">
        <f t="shared" si="0"/>
        <v>#REF!</v>
      </c>
      <c r="F80" s="2" t="e">
        <f>'360'!#REF!</f>
        <v>#REF!</v>
      </c>
      <c r="G80" s="24" t="e">
        <f>'360'!#REF!</f>
        <v>#REF!</v>
      </c>
    </row>
    <row r="81" spans="1:7" ht="22.5" customHeight="1">
      <c r="A81" s="17">
        <f t="shared" si="1"/>
        <v>64</v>
      </c>
      <c r="B81" s="16" t="s">
        <v>78</v>
      </c>
      <c r="C81" s="1" t="e">
        <f>'360'!#REF!</f>
        <v>#REF!</v>
      </c>
      <c r="D81" s="18"/>
      <c r="E81" s="3" t="e">
        <f t="shared" si="0"/>
        <v>#REF!</v>
      </c>
      <c r="F81" s="2" t="e">
        <f>'360'!#REF!</f>
        <v>#REF!</v>
      </c>
      <c r="G81" s="24" t="e">
        <f>'360'!#REF!</f>
        <v>#REF!</v>
      </c>
    </row>
    <row r="82" spans="1:7" ht="22.5" customHeight="1">
      <c r="A82" s="17">
        <f t="shared" si="1"/>
        <v>65</v>
      </c>
      <c r="B82" s="16" t="s">
        <v>78</v>
      </c>
      <c r="C82" s="1" t="e">
        <f>'360'!#REF!</f>
        <v>#REF!</v>
      </c>
      <c r="D82" s="18"/>
      <c r="E82" s="3" t="e">
        <f t="shared" si="0"/>
        <v>#REF!</v>
      </c>
      <c r="F82" s="2" t="e">
        <f>'360'!#REF!</f>
        <v>#REF!</v>
      </c>
      <c r="G82" s="24" t="e">
        <f>'360'!#REF!</f>
        <v>#REF!</v>
      </c>
    </row>
    <row r="83" spans="1:7" ht="22.5" customHeight="1">
      <c r="A83" s="17">
        <f t="shared" si="1"/>
        <v>66</v>
      </c>
      <c r="B83" s="16" t="s">
        <v>78</v>
      </c>
      <c r="C83" s="1" t="e">
        <f>'360'!#REF!</f>
        <v>#REF!</v>
      </c>
      <c r="D83" s="18"/>
      <c r="E83" s="3" t="e">
        <f t="shared" ref="E83:E118" si="2">G83/F83</f>
        <v>#REF!</v>
      </c>
      <c r="F83" s="2" t="e">
        <f>'360'!#REF!</f>
        <v>#REF!</v>
      </c>
      <c r="G83" s="24" t="e">
        <f>'360'!#REF!</f>
        <v>#REF!</v>
      </c>
    </row>
    <row r="84" spans="1:7" ht="22.5" customHeight="1">
      <c r="A84" s="17">
        <f t="shared" ref="A84:A118" si="3">+A83+1</f>
        <v>67</v>
      </c>
      <c r="B84" s="16" t="s">
        <v>78</v>
      </c>
      <c r="C84" s="1" t="e">
        <f>'360'!#REF!</f>
        <v>#REF!</v>
      </c>
      <c r="D84" s="18"/>
      <c r="E84" s="3" t="e">
        <f t="shared" si="2"/>
        <v>#REF!</v>
      </c>
      <c r="F84" s="2" t="e">
        <f>'360'!#REF!</f>
        <v>#REF!</v>
      </c>
      <c r="G84" s="24" t="e">
        <f>'360'!#REF!</f>
        <v>#REF!</v>
      </c>
    </row>
    <row r="85" spans="1:7" ht="22.5" customHeight="1">
      <c r="A85" s="17">
        <f t="shared" si="3"/>
        <v>68</v>
      </c>
      <c r="B85" s="16" t="s">
        <v>78</v>
      </c>
      <c r="C85" s="1" t="e">
        <f>'360'!#REF!</f>
        <v>#REF!</v>
      </c>
      <c r="D85" s="18"/>
      <c r="E85" s="3" t="e">
        <f t="shared" si="2"/>
        <v>#REF!</v>
      </c>
      <c r="F85" s="2" t="e">
        <f>'360'!#REF!</f>
        <v>#REF!</v>
      </c>
      <c r="G85" s="24" t="e">
        <f>'360'!#REF!</f>
        <v>#REF!</v>
      </c>
    </row>
    <row r="86" spans="1:7" ht="22.5" customHeight="1">
      <c r="A86" s="17">
        <f t="shared" si="3"/>
        <v>69</v>
      </c>
      <c r="B86" s="16" t="s">
        <v>78</v>
      </c>
      <c r="C86" s="1" t="e">
        <f>'360'!#REF!</f>
        <v>#REF!</v>
      </c>
      <c r="D86" s="18"/>
      <c r="E86" s="3" t="e">
        <f t="shared" si="2"/>
        <v>#REF!</v>
      </c>
      <c r="F86" s="2" t="e">
        <f>'360'!#REF!</f>
        <v>#REF!</v>
      </c>
      <c r="G86" s="24" t="e">
        <f>'360'!#REF!</f>
        <v>#REF!</v>
      </c>
    </row>
    <row r="87" spans="1:7" ht="22.5" customHeight="1">
      <c r="A87" s="17">
        <f t="shared" si="3"/>
        <v>70</v>
      </c>
      <c r="B87" s="16" t="s">
        <v>78</v>
      </c>
      <c r="C87" s="1" t="e">
        <f>'360'!#REF!</f>
        <v>#REF!</v>
      </c>
      <c r="D87" s="18"/>
      <c r="E87" s="3" t="e">
        <f t="shared" si="2"/>
        <v>#REF!</v>
      </c>
      <c r="F87" s="2" t="e">
        <f>'360'!#REF!</f>
        <v>#REF!</v>
      </c>
      <c r="G87" s="24" t="e">
        <f>'360'!#REF!</f>
        <v>#REF!</v>
      </c>
    </row>
    <row r="88" spans="1:7" ht="22.5" customHeight="1">
      <c r="A88" s="17">
        <f t="shared" si="3"/>
        <v>71</v>
      </c>
      <c r="B88" s="16" t="s">
        <v>78</v>
      </c>
      <c r="C88" s="1" t="e">
        <f>'360'!#REF!</f>
        <v>#REF!</v>
      </c>
      <c r="D88" s="18"/>
      <c r="E88" s="3" t="e">
        <f t="shared" si="2"/>
        <v>#REF!</v>
      </c>
      <c r="F88" s="2" t="e">
        <f>'360'!#REF!</f>
        <v>#REF!</v>
      </c>
      <c r="G88" s="24" t="e">
        <f>'360'!#REF!</f>
        <v>#REF!</v>
      </c>
    </row>
    <row r="89" spans="1:7" ht="22.5" customHeight="1">
      <c r="A89" s="17">
        <f t="shared" si="3"/>
        <v>72</v>
      </c>
      <c r="B89" s="16" t="s">
        <v>78</v>
      </c>
      <c r="C89" s="1" t="e">
        <f>'360'!#REF!</f>
        <v>#REF!</v>
      </c>
      <c r="D89" s="18"/>
      <c r="E89" s="3" t="e">
        <f t="shared" si="2"/>
        <v>#REF!</v>
      </c>
      <c r="F89" s="2" t="e">
        <f>'360'!#REF!</f>
        <v>#REF!</v>
      </c>
      <c r="G89" s="24" t="e">
        <f>'360'!#REF!</f>
        <v>#REF!</v>
      </c>
    </row>
    <row r="90" spans="1:7" ht="22.5" customHeight="1">
      <c r="A90" s="17">
        <f t="shared" si="3"/>
        <v>73</v>
      </c>
      <c r="B90" s="16" t="s">
        <v>78</v>
      </c>
      <c r="C90" s="1" t="e">
        <f>'360'!#REF!</f>
        <v>#REF!</v>
      </c>
      <c r="D90" s="18"/>
      <c r="E90" s="3" t="e">
        <f t="shared" si="2"/>
        <v>#REF!</v>
      </c>
      <c r="F90" s="2" t="e">
        <f>'360'!#REF!</f>
        <v>#REF!</v>
      </c>
      <c r="G90" s="24" t="e">
        <f>'360'!#REF!</f>
        <v>#REF!</v>
      </c>
    </row>
    <row r="91" spans="1:7" ht="22.5" customHeight="1">
      <c r="A91" s="17">
        <f t="shared" si="3"/>
        <v>74</v>
      </c>
      <c r="B91" s="16" t="s">
        <v>78</v>
      </c>
      <c r="C91" s="1" t="e">
        <f>'360'!#REF!</f>
        <v>#REF!</v>
      </c>
      <c r="D91" s="18"/>
      <c r="E91" s="3" t="e">
        <f t="shared" si="2"/>
        <v>#REF!</v>
      </c>
      <c r="F91" s="2" t="e">
        <f>'360'!#REF!</f>
        <v>#REF!</v>
      </c>
      <c r="G91" s="24" t="e">
        <f>'360'!#REF!</f>
        <v>#REF!</v>
      </c>
    </row>
    <row r="92" spans="1:7" ht="22.5" customHeight="1">
      <c r="A92" s="17">
        <f t="shared" si="3"/>
        <v>75</v>
      </c>
      <c r="B92" s="16" t="s">
        <v>78</v>
      </c>
      <c r="C92" s="1" t="e">
        <f>'360'!#REF!</f>
        <v>#REF!</v>
      </c>
      <c r="D92" s="18"/>
      <c r="E92" s="3" t="e">
        <f t="shared" si="2"/>
        <v>#REF!</v>
      </c>
      <c r="F92" s="2" t="e">
        <f>'360'!#REF!</f>
        <v>#REF!</v>
      </c>
      <c r="G92" s="24" t="e">
        <f>'360'!#REF!</f>
        <v>#REF!</v>
      </c>
    </row>
    <row r="93" spans="1:7" ht="22.5" customHeight="1">
      <c r="A93" s="17">
        <f t="shared" si="3"/>
        <v>76</v>
      </c>
      <c r="B93" s="16" t="s">
        <v>78</v>
      </c>
      <c r="C93" s="1" t="e">
        <f>'360'!#REF!</f>
        <v>#REF!</v>
      </c>
      <c r="D93" s="18"/>
      <c r="E93" s="3" t="e">
        <f t="shared" si="2"/>
        <v>#REF!</v>
      </c>
      <c r="F93" s="2" t="e">
        <f>'360'!#REF!</f>
        <v>#REF!</v>
      </c>
      <c r="G93" s="24" t="e">
        <f>'360'!#REF!</f>
        <v>#REF!</v>
      </c>
    </row>
    <row r="94" spans="1:7" ht="22.5" customHeight="1">
      <c r="A94" s="17">
        <f t="shared" si="3"/>
        <v>77</v>
      </c>
      <c r="B94" s="16" t="s">
        <v>78</v>
      </c>
      <c r="C94" s="1" t="e">
        <f>'360'!#REF!</f>
        <v>#REF!</v>
      </c>
      <c r="D94" s="18"/>
      <c r="E94" s="3" t="e">
        <f t="shared" si="2"/>
        <v>#REF!</v>
      </c>
      <c r="F94" s="2" t="e">
        <f>'360'!#REF!</f>
        <v>#REF!</v>
      </c>
      <c r="G94" s="24" t="e">
        <f>'360'!#REF!</f>
        <v>#REF!</v>
      </c>
    </row>
    <row r="95" spans="1:7" ht="22.5" customHeight="1">
      <c r="A95" s="17">
        <f t="shared" si="3"/>
        <v>78</v>
      </c>
      <c r="B95" s="16" t="s">
        <v>78</v>
      </c>
      <c r="C95" s="1" t="e">
        <f>'360'!#REF!</f>
        <v>#REF!</v>
      </c>
      <c r="D95" s="18"/>
      <c r="E95" s="3" t="e">
        <f t="shared" si="2"/>
        <v>#REF!</v>
      </c>
      <c r="F95" s="2" t="e">
        <f>'360'!#REF!</f>
        <v>#REF!</v>
      </c>
      <c r="G95" s="24" t="e">
        <f>'360'!#REF!</f>
        <v>#REF!</v>
      </c>
    </row>
    <row r="96" spans="1:7" ht="22.5" customHeight="1">
      <c r="A96" s="17">
        <f t="shared" si="3"/>
        <v>79</v>
      </c>
      <c r="B96" s="16" t="s">
        <v>78</v>
      </c>
      <c r="C96" s="1" t="e">
        <f>'360'!#REF!</f>
        <v>#REF!</v>
      </c>
      <c r="D96" s="18"/>
      <c r="E96" s="3" t="e">
        <f t="shared" si="2"/>
        <v>#REF!</v>
      </c>
      <c r="F96" s="2" t="e">
        <f>'360'!#REF!</f>
        <v>#REF!</v>
      </c>
      <c r="G96" s="24" t="e">
        <f>'360'!#REF!</f>
        <v>#REF!</v>
      </c>
    </row>
    <row r="97" spans="1:7" ht="22.5" customHeight="1">
      <c r="A97" s="17">
        <f t="shared" si="3"/>
        <v>80</v>
      </c>
      <c r="B97" s="16" t="s">
        <v>78</v>
      </c>
      <c r="C97" s="1" t="e">
        <f>'360'!#REF!</f>
        <v>#REF!</v>
      </c>
      <c r="D97" s="18"/>
      <c r="E97" s="3" t="e">
        <f t="shared" si="2"/>
        <v>#REF!</v>
      </c>
      <c r="F97" s="2" t="e">
        <f>'360'!#REF!</f>
        <v>#REF!</v>
      </c>
      <c r="G97" s="24" t="e">
        <f>'360'!#REF!</f>
        <v>#REF!</v>
      </c>
    </row>
    <row r="98" spans="1:7" ht="22.5" customHeight="1">
      <c r="A98" s="17">
        <f t="shared" si="3"/>
        <v>81</v>
      </c>
      <c r="B98" s="16" t="s">
        <v>78</v>
      </c>
      <c r="C98" s="1" t="e">
        <f>'360'!#REF!</f>
        <v>#REF!</v>
      </c>
      <c r="D98" s="18"/>
      <c r="E98" s="3" t="e">
        <f t="shared" si="2"/>
        <v>#REF!</v>
      </c>
      <c r="F98" s="2" t="e">
        <f>'360'!#REF!</f>
        <v>#REF!</v>
      </c>
      <c r="G98" s="24" t="e">
        <f>'360'!#REF!</f>
        <v>#REF!</v>
      </c>
    </row>
    <row r="99" spans="1:7" ht="22.5" customHeight="1">
      <c r="A99" s="17">
        <f t="shared" si="3"/>
        <v>82</v>
      </c>
      <c r="B99" s="16" t="s">
        <v>78</v>
      </c>
      <c r="C99" s="1" t="e">
        <f>'360'!#REF!</f>
        <v>#REF!</v>
      </c>
      <c r="D99" s="18"/>
      <c r="E99" s="3" t="e">
        <f t="shared" si="2"/>
        <v>#REF!</v>
      </c>
      <c r="F99" s="2" t="e">
        <f>'360'!#REF!</f>
        <v>#REF!</v>
      </c>
      <c r="G99" s="24" t="e">
        <f>'360'!#REF!</f>
        <v>#REF!</v>
      </c>
    </row>
    <row r="100" spans="1:7" ht="22.5" customHeight="1">
      <c r="A100" s="17">
        <f t="shared" si="3"/>
        <v>83</v>
      </c>
      <c r="B100" s="16" t="s">
        <v>78</v>
      </c>
      <c r="C100" s="1" t="e">
        <f>'360'!#REF!</f>
        <v>#REF!</v>
      </c>
      <c r="D100" s="18"/>
      <c r="E100" s="3" t="e">
        <f t="shared" si="2"/>
        <v>#REF!</v>
      </c>
      <c r="F100" s="2" t="e">
        <f>'360'!#REF!</f>
        <v>#REF!</v>
      </c>
      <c r="G100" s="24" t="e">
        <f>'360'!#REF!</f>
        <v>#REF!</v>
      </c>
    </row>
    <row r="101" spans="1:7" ht="22.5" customHeight="1">
      <c r="A101" s="17">
        <f t="shared" si="3"/>
        <v>84</v>
      </c>
      <c r="B101" s="16" t="s">
        <v>78</v>
      </c>
      <c r="C101" s="1" t="e">
        <f>'360'!#REF!</f>
        <v>#REF!</v>
      </c>
      <c r="D101" s="18"/>
      <c r="E101" s="3" t="e">
        <f t="shared" si="2"/>
        <v>#REF!</v>
      </c>
      <c r="F101" s="2" t="e">
        <f>'360'!#REF!</f>
        <v>#REF!</v>
      </c>
      <c r="G101" s="24" t="e">
        <f>'360'!#REF!</f>
        <v>#REF!</v>
      </c>
    </row>
    <row r="102" spans="1:7" ht="22.5" customHeight="1">
      <c r="A102" s="17">
        <f t="shared" si="3"/>
        <v>85</v>
      </c>
      <c r="B102" s="16" t="s">
        <v>78</v>
      </c>
      <c r="C102" s="1" t="e">
        <f>'360'!#REF!</f>
        <v>#REF!</v>
      </c>
      <c r="D102" s="18"/>
      <c r="E102" s="3" t="e">
        <f t="shared" si="2"/>
        <v>#REF!</v>
      </c>
      <c r="F102" s="2" t="e">
        <f>'360'!#REF!</f>
        <v>#REF!</v>
      </c>
      <c r="G102" s="24" t="e">
        <f>'360'!#REF!</f>
        <v>#REF!</v>
      </c>
    </row>
    <row r="103" spans="1:7" ht="22.5" customHeight="1">
      <c r="A103" s="17">
        <f t="shared" si="3"/>
        <v>86</v>
      </c>
      <c r="B103" s="16" t="s">
        <v>78</v>
      </c>
      <c r="C103" s="1" t="e">
        <f>'360'!#REF!</f>
        <v>#REF!</v>
      </c>
      <c r="D103" s="18"/>
      <c r="E103" s="3" t="e">
        <f t="shared" si="2"/>
        <v>#REF!</v>
      </c>
      <c r="F103" s="2" t="e">
        <f>'360'!#REF!</f>
        <v>#REF!</v>
      </c>
      <c r="G103" s="24" t="e">
        <f>'360'!#REF!</f>
        <v>#REF!</v>
      </c>
    </row>
    <row r="104" spans="1:7" ht="22.5" customHeight="1">
      <c r="A104" s="17">
        <f t="shared" si="3"/>
        <v>87</v>
      </c>
      <c r="B104" s="16" t="s">
        <v>78</v>
      </c>
      <c r="C104" s="1" t="e">
        <f>'360'!#REF!</f>
        <v>#REF!</v>
      </c>
      <c r="D104" s="18"/>
      <c r="E104" s="3" t="e">
        <f t="shared" si="2"/>
        <v>#REF!</v>
      </c>
      <c r="F104" s="2" t="e">
        <f>'360'!#REF!</f>
        <v>#REF!</v>
      </c>
      <c r="G104" s="24" t="e">
        <f>'360'!#REF!</f>
        <v>#REF!</v>
      </c>
    </row>
    <row r="105" spans="1:7" ht="22.5" customHeight="1">
      <c r="A105" s="17">
        <f t="shared" si="3"/>
        <v>88</v>
      </c>
      <c r="B105" s="16" t="s">
        <v>78</v>
      </c>
      <c r="C105" s="1" t="e">
        <f>'360'!#REF!</f>
        <v>#REF!</v>
      </c>
      <c r="D105" s="18"/>
      <c r="E105" s="3" t="e">
        <f t="shared" si="2"/>
        <v>#REF!</v>
      </c>
      <c r="F105" s="2" t="e">
        <f>'360'!#REF!</f>
        <v>#REF!</v>
      </c>
      <c r="G105" s="24" t="e">
        <f>'360'!#REF!</f>
        <v>#REF!</v>
      </c>
    </row>
    <row r="106" spans="1:7" ht="22.5" customHeight="1">
      <c r="A106" s="17">
        <f t="shared" si="3"/>
        <v>89</v>
      </c>
      <c r="B106" s="16" t="s">
        <v>78</v>
      </c>
      <c r="C106" s="1" t="e">
        <f>'360'!#REF!</f>
        <v>#REF!</v>
      </c>
      <c r="D106" s="18"/>
      <c r="E106" s="3" t="e">
        <f t="shared" si="2"/>
        <v>#REF!</v>
      </c>
      <c r="F106" s="2" t="e">
        <f>'360'!#REF!</f>
        <v>#REF!</v>
      </c>
      <c r="G106" s="24" t="e">
        <f>'360'!#REF!</f>
        <v>#REF!</v>
      </c>
    </row>
    <row r="107" spans="1:7" ht="22.5" customHeight="1">
      <c r="A107" s="17">
        <f t="shared" si="3"/>
        <v>90</v>
      </c>
      <c r="B107" s="16" t="s">
        <v>78</v>
      </c>
      <c r="C107" s="1" t="e">
        <f>'360'!#REF!</f>
        <v>#REF!</v>
      </c>
      <c r="D107" s="18"/>
      <c r="E107" s="3" t="e">
        <f t="shared" si="2"/>
        <v>#REF!</v>
      </c>
      <c r="F107" s="2" t="e">
        <f>'360'!#REF!</f>
        <v>#REF!</v>
      </c>
      <c r="G107" s="24" t="e">
        <f>'360'!#REF!</f>
        <v>#REF!</v>
      </c>
    </row>
    <row r="108" spans="1:7" ht="22.5" customHeight="1">
      <c r="A108" s="17">
        <f t="shared" si="3"/>
        <v>91</v>
      </c>
      <c r="B108" s="16" t="s">
        <v>78</v>
      </c>
      <c r="C108" s="1" t="e">
        <f>'360'!#REF!</f>
        <v>#REF!</v>
      </c>
      <c r="D108" s="18"/>
      <c r="E108" s="3" t="e">
        <f t="shared" si="2"/>
        <v>#REF!</v>
      </c>
      <c r="F108" s="2" t="e">
        <f>'360'!#REF!</f>
        <v>#REF!</v>
      </c>
      <c r="G108" s="24" t="e">
        <f>'360'!#REF!</f>
        <v>#REF!</v>
      </c>
    </row>
    <row r="109" spans="1:7" ht="22.5" customHeight="1">
      <c r="A109" s="17">
        <f t="shared" si="3"/>
        <v>92</v>
      </c>
      <c r="B109" s="16" t="s">
        <v>78</v>
      </c>
      <c r="C109" s="1" t="e">
        <f>'360'!#REF!</f>
        <v>#REF!</v>
      </c>
      <c r="D109" s="18"/>
      <c r="E109" s="3" t="e">
        <f t="shared" si="2"/>
        <v>#REF!</v>
      </c>
      <c r="F109" s="2" t="e">
        <f>'360'!#REF!</f>
        <v>#REF!</v>
      </c>
      <c r="G109" s="24" t="e">
        <f>'360'!#REF!</f>
        <v>#REF!</v>
      </c>
    </row>
    <row r="110" spans="1:7" ht="22.5" customHeight="1">
      <c r="A110" s="17">
        <f t="shared" si="3"/>
        <v>93</v>
      </c>
      <c r="B110" s="16" t="s">
        <v>78</v>
      </c>
      <c r="C110" s="1" t="e">
        <f>'360'!#REF!</f>
        <v>#REF!</v>
      </c>
      <c r="D110" s="18"/>
      <c r="E110" s="3" t="e">
        <f t="shared" si="2"/>
        <v>#REF!</v>
      </c>
      <c r="F110" s="2" t="e">
        <f>'360'!#REF!</f>
        <v>#REF!</v>
      </c>
      <c r="G110" s="24" t="e">
        <f>'360'!#REF!</f>
        <v>#REF!</v>
      </c>
    </row>
    <row r="111" spans="1:7" ht="22.5" customHeight="1">
      <c r="A111" s="17">
        <f t="shared" si="3"/>
        <v>94</v>
      </c>
      <c r="B111" s="16" t="s">
        <v>78</v>
      </c>
      <c r="C111" s="1" t="e">
        <f>'360'!#REF!</f>
        <v>#REF!</v>
      </c>
      <c r="D111" s="18"/>
      <c r="E111" s="3" t="e">
        <f t="shared" si="2"/>
        <v>#REF!</v>
      </c>
      <c r="F111" s="2" t="e">
        <f>'360'!#REF!</f>
        <v>#REF!</v>
      </c>
      <c r="G111" s="24" t="e">
        <f>'360'!#REF!</f>
        <v>#REF!</v>
      </c>
    </row>
    <row r="112" spans="1:7" ht="22.5" customHeight="1">
      <c r="A112" s="17">
        <f t="shared" si="3"/>
        <v>95</v>
      </c>
      <c r="B112" s="16" t="s">
        <v>78</v>
      </c>
      <c r="C112" s="1" t="e">
        <f>'360'!#REF!</f>
        <v>#REF!</v>
      </c>
      <c r="D112" s="18"/>
      <c r="E112" s="3" t="e">
        <f t="shared" si="2"/>
        <v>#REF!</v>
      </c>
      <c r="F112" s="2" t="e">
        <f>'360'!#REF!</f>
        <v>#REF!</v>
      </c>
      <c r="G112" s="24" t="e">
        <f>'360'!#REF!</f>
        <v>#REF!</v>
      </c>
    </row>
    <row r="113" spans="1:7" ht="22.5" customHeight="1">
      <c r="A113" s="17">
        <f t="shared" si="3"/>
        <v>96</v>
      </c>
      <c r="B113" s="16" t="s">
        <v>78</v>
      </c>
      <c r="C113" s="1" t="e">
        <f>'360'!#REF!</f>
        <v>#REF!</v>
      </c>
      <c r="D113" s="18"/>
      <c r="E113" s="3" t="e">
        <f t="shared" si="2"/>
        <v>#REF!</v>
      </c>
      <c r="F113" s="2" t="e">
        <f>'360'!#REF!</f>
        <v>#REF!</v>
      </c>
      <c r="G113" s="24" t="e">
        <f>'360'!#REF!</f>
        <v>#REF!</v>
      </c>
    </row>
    <row r="114" spans="1:7" ht="22.5" customHeight="1">
      <c r="A114" s="17">
        <f t="shared" si="3"/>
        <v>97</v>
      </c>
      <c r="B114" s="16" t="s">
        <v>78</v>
      </c>
      <c r="C114" s="1" t="e">
        <f>'360'!#REF!</f>
        <v>#REF!</v>
      </c>
      <c r="D114" s="18"/>
      <c r="E114" s="3" t="e">
        <f t="shared" si="2"/>
        <v>#REF!</v>
      </c>
      <c r="F114" s="2" t="e">
        <f>'360'!#REF!</f>
        <v>#REF!</v>
      </c>
      <c r="G114" s="24" t="e">
        <f>'360'!#REF!</f>
        <v>#REF!</v>
      </c>
    </row>
    <row r="115" spans="1:7" ht="22.5" customHeight="1">
      <c r="A115" s="17">
        <f t="shared" si="3"/>
        <v>98</v>
      </c>
      <c r="B115" s="16" t="s">
        <v>78</v>
      </c>
      <c r="C115" s="1" t="e">
        <f>'360'!#REF!</f>
        <v>#REF!</v>
      </c>
      <c r="D115" s="18"/>
      <c r="E115" s="3" t="e">
        <f t="shared" si="2"/>
        <v>#REF!</v>
      </c>
      <c r="F115" s="2" t="e">
        <f>'360'!#REF!</f>
        <v>#REF!</v>
      </c>
      <c r="G115" s="24" t="e">
        <f>'360'!#REF!</f>
        <v>#REF!</v>
      </c>
    </row>
    <row r="116" spans="1:7" ht="22.5" customHeight="1">
      <c r="A116" s="17">
        <f t="shared" si="3"/>
        <v>99</v>
      </c>
      <c r="B116" s="16" t="s">
        <v>78</v>
      </c>
      <c r="C116" s="1" t="e">
        <f>'360'!#REF!</f>
        <v>#REF!</v>
      </c>
      <c r="D116" s="18"/>
      <c r="E116" s="3" t="e">
        <f t="shared" si="2"/>
        <v>#REF!</v>
      </c>
      <c r="F116" s="2" t="e">
        <f>'360'!#REF!</f>
        <v>#REF!</v>
      </c>
      <c r="G116" s="24" t="e">
        <f>'360'!#REF!</f>
        <v>#REF!</v>
      </c>
    </row>
    <row r="117" spans="1:7" ht="22.5" customHeight="1">
      <c r="A117" s="17">
        <f t="shared" si="3"/>
        <v>100</v>
      </c>
      <c r="B117" s="16" t="s">
        <v>78</v>
      </c>
      <c r="C117" s="1" t="e">
        <f>'360'!#REF!</f>
        <v>#REF!</v>
      </c>
      <c r="D117" s="18"/>
      <c r="E117" s="3" t="e">
        <f t="shared" si="2"/>
        <v>#REF!</v>
      </c>
      <c r="F117" s="2" t="e">
        <f>'360'!#REF!</f>
        <v>#REF!</v>
      </c>
      <c r="G117" s="24" t="e">
        <f>'360'!#REF!</f>
        <v>#REF!</v>
      </c>
    </row>
    <row r="118" spans="1:7" ht="22.5" customHeight="1">
      <c r="A118" s="17">
        <f t="shared" si="3"/>
        <v>101</v>
      </c>
      <c r="B118" s="16" t="s">
        <v>78</v>
      </c>
      <c r="C118" s="1" t="e">
        <f>'360'!#REF!</f>
        <v>#REF!</v>
      </c>
      <c r="D118" s="18"/>
      <c r="E118" s="3" t="e">
        <f t="shared" si="2"/>
        <v>#REF!</v>
      </c>
      <c r="F118" s="2" t="e">
        <f>'360'!#REF!</f>
        <v>#REF!</v>
      </c>
      <c r="G118" s="24" t="e">
        <f>'360'!#REF!</f>
        <v>#REF!</v>
      </c>
    </row>
    <row r="119" spans="1:7" ht="22.5" customHeight="1">
      <c r="A119" s="17"/>
      <c r="B119" s="16"/>
      <c r="C119" s="1"/>
      <c r="D119" s="18"/>
      <c r="E119" s="3"/>
      <c r="F119" s="2"/>
      <c r="G119" s="24"/>
    </row>
    <row r="120" spans="1:7" ht="22.5" customHeight="1">
      <c r="A120" s="323" t="s">
        <v>45</v>
      </c>
      <c r="B120" s="324"/>
      <c r="C120" s="324"/>
      <c r="D120" s="324"/>
      <c r="E120" s="324"/>
      <c r="F120" s="325"/>
      <c r="G120" s="26" t="e">
        <f>SUM(G18:G119)</f>
        <v>#REF!</v>
      </c>
    </row>
    <row r="121" spans="1:7" ht="22.5" hidden="1" customHeight="1">
      <c r="A121" s="326"/>
      <c r="B121" s="327"/>
      <c r="C121" s="327"/>
      <c r="D121" s="327"/>
      <c r="E121" s="327"/>
      <c r="F121" s="328"/>
      <c r="G121" s="26"/>
    </row>
    <row r="122" spans="1:7" ht="22.5" hidden="1" customHeight="1">
      <c r="A122" s="323" t="s">
        <v>79</v>
      </c>
      <c r="B122" s="324"/>
      <c r="C122" s="324"/>
      <c r="D122" s="324"/>
      <c r="E122" s="324"/>
      <c r="F122" s="325"/>
      <c r="G122" s="26" t="e">
        <f>G120-G121</f>
        <v>#REF!</v>
      </c>
    </row>
    <row r="123" spans="1:7" ht="20.25" customHeight="1">
      <c r="A123" s="329" t="s">
        <v>80</v>
      </c>
      <c r="B123" s="329"/>
      <c r="C123" s="329"/>
      <c r="D123" s="329"/>
      <c r="E123" s="329"/>
      <c r="F123" s="329"/>
      <c r="G123" s="329"/>
    </row>
    <row r="124" spans="1:7" ht="20.25" customHeight="1">
      <c r="A124" s="330" t="s">
        <v>81</v>
      </c>
      <c r="B124" s="330"/>
      <c r="C124" s="330"/>
      <c r="D124" s="330"/>
      <c r="E124" s="330"/>
      <c r="F124" s="330"/>
      <c r="G124" s="330"/>
    </row>
    <row r="125" spans="1:7" ht="20.25" customHeight="1">
      <c r="A125" s="321" t="s">
        <v>82</v>
      </c>
      <c r="B125" s="321"/>
      <c r="C125" s="321"/>
      <c r="D125" s="321"/>
      <c r="E125" s="321"/>
      <c r="F125" s="321"/>
      <c r="G125" s="321"/>
    </row>
    <row r="126" spans="1:7" ht="20.25" customHeight="1">
      <c r="A126" s="19"/>
      <c r="B126" s="19"/>
      <c r="C126" s="19"/>
      <c r="D126" s="19"/>
      <c r="E126" s="19"/>
      <c r="F126" s="19"/>
      <c r="G126" s="19"/>
    </row>
    <row r="127" spans="1:7" ht="23">
      <c r="A127" s="313" t="s">
        <v>83</v>
      </c>
      <c r="B127" s="313"/>
      <c r="C127" s="20"/>
      <c r="D127" s="20"/>
      <c r="E127" s="20"/>
      <c r="F127" s="313" t="s">
        <v>84</v>
      </c>
      <c r="G127" s="313"/>
    </row>
    <row r="128" spans="1:7" ht="22.5">
      <c r="A128" s="331" t="s">
        <v>85</v>
      </c>
      <c r="B128" s="331"/>
      <c r="C128" s="20"/>
      <c r="D128" s="20"/>
      <c r="E128" s="20"/>
      <c r="F128" s="331" t="s">
        <v>85</v>
      </c>
      <c r="G128" s="331"/>
    </row>
    <row r="129" spans="1:7" ht="22.5">
      <c r="A129" s="20"/>
      <c r="B129" s="20"/>
      <c r="C129" s="20"/>
      <c r="D129" s="20"/>
      <c r="E129" s="20"/>
      <c r="F129" s="20"/>
      <c r="G129" s="20"/>
    </row>
    <row r="130" spans="1:7" ht="22.5">
      <c r="A130" s="20"/>
      <c r="B130" s="20"/>
      <c r="C130" s="20"/>
      <c r="D130" s="20"/>
      <c r="E130" s="20"/>
      <c r="F130" s="20"/>
      <c r="G130" s="20"/>
    </row>
    <row r="131" spans="1:7" ht="19.5" customHeight="1">
      <c r="A131" s="21"/>
      <c r="B131" s="22"/>
      <c r="C131" s="21"/>
      <c r="D131" s="21"/>
      <c r="E131" s="21"/>
      <c r="F131" s="22"/>
      <c r="G131" s="21"/>
    </row>
    <row r="132" spans="1:7" ht="19.5" customHeight="1">
      <c r="A132" s="21"/>
      <c r="B132" s="22"/>
      <c r="C132" s="21"/>
      <c r="D132" s="21"/>
      <c r="E132" s="21"/>
      <c r="F132" s="22"/>
      <c r="G132" s="21"/>
    </row>
    <row r="133" spans="1:7" ht="29.25" customHeight="1">
      <c r="A133" s="332" t="s">
        <v>86</v>
      </c>
      <c r="B133" s="332"/>
      <c r="C133" s="23"/>
      <c r="D133" s="23"/>
      <c r="E133" s="23"/>
      <c r="F133" s="332" t="s">
        <v>88</v>
      </c>
      <c r="G133" s="332"/>
    </row>
  </sheetData>
  <mergeCells count="32">
    <mergeCell ref="A127:B127"/>
    <mergeCell ref="F127:G127"/>
    <mergeCell ref="A128:B128"/>
    <mergeCell ref="F128:G128"/>
    <mergeCell ref="A133:B133"/>
    <mergeCell ref="F133:G133"/>
    <mergeCell ref="A125:G125"/>
    <mergeCell ref="A12:G12"/>
    <mergeCell ref="A13:G13"/>
    <mergeCell ref="A14:G14"/>
    <mergeCell ref="A15:C15"/>
    <mergeCell ref="D15:G15"/>
    <mergeCell ref="A16:G16"/>
    <mergeCell ref="A120:F120"/>
    <mergeCell ref="A121:F121"/>
    <mergeCell ref="A122:F122"/>
    <mergeCell ref="A123:G123"/>
    <mergeCell ref="A124:G124"/>
    <mergeCell ref="A11:B11"/>
    <mergeCell ref="C11:G11"/>
    <mergeCell ref="A1:G1"/>
    <mergeCell ref="A2:G2"/>
    <mergeCell ref="A3:G3"/>
    <mergeCell ref="A4:G4"/>
    <mergeCell ref="A5:G5"/>
    <mergeCell ref="A6:B6"/>
    <mergeCell ref="C6:G6"/>
    <mergeCell ref="A7:G7"/>
    <mergeCell ref="A8:G8"/>
    <mergeCell ref="A9:G9"/>
    <mergeCell ref="A10:C10"/>
    <mergeCell ref="D10:G10"/>
  </mergeCells>
  <phoneticPr fontId="34" type="noConversion"/>
  <pageMargins left="0.7" right="0.7" top="0.75" bottom="0.75" header="0.3" footer="0.3"/>
  <pageSetup paperSize="9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38</vt:i4>
      </vt:variant>
    </vt:vector>
  </HeadingPairs>
  <TitlesOfParts>
    <vt:vector size="65" baseType="lpstr">
      <vt:lpstr>360</vt:lpstr>
      <vt:lpstr>D001</vt:lpstr>
      <vt:lpstr>366</vt:lpstr>
      <vt:lpstr>D002</vt:lpstr>
      <vt:lpstr>370</vt:lpstr>
      <vt:lpstr>D003</vt:lpstr>
      <vt:lpstr>375</vt:lpstr>
      <vt:lpstr>D004</vt:lpstr>
      <vt:lpstr>377</vt:lpstr>
      <vt:lpstr>D005</vt:lpstr>
      <vt:lpstr>379</vt:lpstr>
      <vt:lpstr>D006</vt:lpstr>
      <vt:lpstr>387</vt:lpstr>
      <vt:lpstr>D007</vt:lpstr>
      <vt:lpstr>388</vt:lpstr>
      <vt:lpstr>D008</vt:lpstr>
      <vt:lpstr>389</vt:lpstr>
      <vt:lpstr>D009</vt:lpstr>
      <vt:lpstr>393</vt:lpstr>
      <vt:lpstr>D010</vt:lpstr>
      <vt:lpstr>D011</vt:lpstr>
      <vt:lpstr>ST-INV</vt:lpstr>
      <vt:lpstr>STA-DN</vt:lpstr>
      <vt:lpstr>OR-INV</vt:lpstr>
      <vt:lpstr>Check list 1</vt:lpstr>
      <vt:lpstr>证书</vt:lpstr>
      <vt:lpstr>Contract</vt:lpstr>
      <vt:lpstr>'360'!Print_Area</vt:lpstr>
      <vt:lpstr>'366'!Print_Area</vt:lpstr>
      <vt:lpstr>'370'!Print_Area</vt:lpstr>
      <vt:lpstr>'375'!Print_Area</vt:lpstr>
      <vt:lpstr>'377'!Print_Area</vt:lpstr>
      <vt:lpstr>'379'!Print_Area</vt:lpstr>
      <vt:lpstr>'387'!Print_Area</vt:lpstr>
      <vt:lpstr>'388'!Print_Area</vt:lpstr>
      <vt:lpstr>'389'!Print_Area</vt:lpstr>
      <vt:lpstr>'393'!Print_Area</vt:lpstr>
      <vt:lpstr>'Check list 1'!Print_Area</vt:lpstr>
      <vt:lpstr>Contract!Print_Area</vt:lpstr>
      <vt:lpstr>'D001'!Print_Area</vt:lpstr>
      <vt:lpstr>'D002'!Print_Area</vt:lpstr>
      <vt:lpstr>'D003'!Print_Area</vt:lpstr>
      <vt:lpstr>'D004'!Print_Area</vt:lpstr>
      <vt:lpstr>'D005'!Print_Area</vt:lpstr>
      <vt:lpstr>'D006'!Print_Area</vt:lpstr>
      <vt:lpstr>'D007'!Print_Area</vt:lpstr>
      <vt:lpstr>'D008'!Print_Area</vt:lpstr>
      <vt:lpstr>'D009'!Print_Area</vt:lpstr>
      <vt:lpstr>'D010'!Print_Area</vt:lpstr>
      <vt:lpstr>'D011'!Print_Area</vt:lpstr>
      <vt:lpstr>'STA-DN'!Print_Area</vt:lpstr>
      <vt:lpstr>'ST-INV'!Print_Area</vt:lpstr>
      <vt:lpstr>证书!Print_Area</vt:lpstr>
      <vt:lpstr>'360'!Print_Titles</vt:lpstr>
      <vt:lpstr>'366'!Print_Titles</vt:lpstr>
      <vt:lpstr>'370'!Print_Titles</vt:lpstr>
      <vt:lpstr>'375'!Print_Titles</vt:lpstr>
      <vt:lpstr>'377'!Print_Titles</vt:lpstr>
      <vt:lpstr>'379'!Print_Titles</vt:lpstr>
      <vt:lpstr>'387'!Print_Titles</vt:lpstr>
      <vt:lpstr>'388'!Print_Titles</vt:lpstr>
      <vt:lpstr>'389'!Print_Titles</vt:lpstr>
      <vt:lpstr>'393'!Print_Titles</vt:lpstr>
      <vt:lpstr>Contract!Print_Titles</vt:lpstr>
      <vt:lpstr>证书!Print_Titles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 Ly Cheng</cp:lastModifiedBy>
  <cp:lastPrinted>2026-10-05T06:37:35Z</cp:lastPrinted>
  <dcterms:created xsi:type="dcterms:W3CDTF">2016-12-28T08:34:39Z</dcterms:created>
  <dcterms:modified xsi:type="dcterms:W3CDTF">2026-10-05T06:37:39Z</dcterms:modified>
</cp:coreProperties>
</file>